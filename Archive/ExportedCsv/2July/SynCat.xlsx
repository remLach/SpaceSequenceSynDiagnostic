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ylachelin/Documents/Tmp/WardPreprint/ExportedCsv/2July/"/>
    </mc:Choice>
  </mc:AlternateContent>
  <xr:revisionPtr revIDLastSave="0" documentId="13_ncr:9_{577B2AC8-0DE7-FE43-8237-2D0446F9D52E}" xr6:coauthVersionLast="47" xr6:coauthVersionMax="47" xr10:uidLastSave="{00000000-0000-0000-0000-000000000000}"/>
  <bookViews>
    <workbookView xWindow="33480" yWindow="-1460" windowWidth="34880" windowHeight="17440" activeTab="1" xr2:uid="{4EA21440-42BC-764E-A94C-9DAB515E9720}"/>
  </bookViews>
  <sheets>
    <sheet name="WorkingSheet_V2" sheetId="5" r:id="rId1"/>
    <sheet name="WorkingSheet_V3" sheetId="6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9" i="6" l="1"/>
  <c r="R280" i="6"/>
  <c r="R281" i="6"/>
  <c r="R282" i="6"/>
  <c r="R283" i="6"/>
  <c r="R284" i="6"/>
  <c r="R285" i="6"/>
  <c r="R286" i="6"/>
  <c r="R50" i="6"/>
  <c r="R51" i="6"/>
  <c r="R52" i="6"/>
  <c r="R287" i="6"/>
  <c r="R288" i="6"/>
  <c r="R289" i="6"/>
  <c r="R290" i="6"/>
  <c r="R291" i="6"/>
  <c r="R53" i="6"/>
  <c r="R292" i="6"/>
  <c r="R293" i="6"/>
  <c r="R294" i="6"/>
  <c r="R54" i="6"/>
  <c r="R55" i="6"/>
  <c r="R56" i="6"/>
  <c r="R295" i="6"/>
  <c r="R57" i="6"/>
  <c r="R296" i="6"/>
  <c r="R58" i="6"/>
  <c r="R59" i="6"/>
  <c r="R297" i="6"/>
  <c r="R298" i="6"/>
  <c r="R299" i="6"/>
  <c r="R300" i="6"/>
  <c r="R301" i="6"/>
  <c r="R302" i="6"/>
  <c r="R303" i="6"/>
  <c r="R60" i="6"/>
  <c r="R304" i="6"/>
  <c r="R305" i="6"/>
  <c r="R306" i="6"/>
  <c r="R307" i="6"/>
  <c r="R308" i="6"/>
  <c r="R61" i="6"/>
  <c r="R62" i="6"/>
  <c r="R309" i="6"/>
  <c r="R63" i="6"/>
  <c r="R310" i="6"/>
  <c r="R311" i="6"/>
  <c r="R2" i="6"/>
  <c r="R312" i="6"/>
  <c r="R313" i="6"/>
  <c r="R314" i="6"/>
  <c r="R64" i="6"/>
  <c r="R65" i="6"/>
  <c r="R66" i="6"/>
  <c r="R315" i="6"/>
  <c r="R316" i="6"/>
  <c r="R67" i="6"/>
  <c r="R68" i="6"/>
  <c r="R317" i="6"/>
  <c r="R318" i="6"/>
  <c r="R69" i="6"/>
  <c r="R70" i="6"/>
  <c r="R319" i="6"/>
  <c r="R320" i="6"/>
  <c r="R321" i="6"/>
  <c r="R322" i="6"/>
  <c r="R71" i="6"/>
  <c r="R72" i="6"/>
  <c r="R3" i="6"/>
  <c r="R4" i="6"/>
  <c r="R73" i="6"/>
  <c r="R74" i="6"/>
  <c r="R75" i="6"/>
  <c r="R76" i="6"/>
  <c r="R77" i="6"/>
  <c r="R5" i="6"/>
  <c r="R78" i="6"/>
  <c r="R6" i="6"/>
  <c r="R79" i="6"/>
  <c r="R80" i="6"/>
  <c r="R81" i="6"/>
  <c r="R82" i="6"/>
  <c r="R83" i="6"/>
  <c r="R323" i="6"/>
  <c r="R84" i="6"/>
  <c r="R85" i="6"/>
  <c r="R86" i="6"/>
  <c r="R87" i="6"/>
  <c r="R324" i="6"/>
  <c r="R325" i="6"/>
  <c r="R326" i="6"/>
  <c r="R327" i="6"/>
  <c r="R328" i="6"/>
  <c r="R88" i="6"/>
  <c r="R329" i="6"/>
  <c r="R89" i="6"/>
  <c r="R330" i="6"/>
  <c r="R331" i="6"/>
  <c r="R332" i="6"/>
  <c r="R333" i="6"/>
  <c r="R90" i="6"/>
  <c r="R91" i="6"/>
  <c r="R334" i="6"/>
  <c r="R335" i="6"/>
  <c r="R92" i="6"/>
  <c r="R7" i="6"/>
  <c r="R336" i="6"/>
  <c r="R337" i="6"/>
  <c r="R338" i="6"/>
  <c r="R339" i="6"/>
  <c r="R340" i="6"/>
  <c r="R341" i="6"/>
  <c r="R342" i="6"/>
  <c r="R343" i="6"/>
  <c r="R344" i="6"/>
  <c r="R345" i="6"/>
  <c r="R93" i="6"/>
  <c r="R346" i="6"/>
  <c r="R347" i="6"/>
  <c r="R348" i="6"/>
  <c r="R94" i="6"/>
  <c r="R349" i="6"/>
  <c r="R95" i="6"/>
  <c r="R350" i="6"/>
  <c r="R351" i="6"/>
  <c r="R352" i="6"/>
  <c r="R96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97" i="6"/>
  <c r="R366" i="6"/>
  <c r="R367" i="6"/>
  <c r="R98" i="6"/>
  <c r="R368" i="6"/>
  <c r="R369" i="6"/>
  <c r="R370" i="6"/>
  <c r="R371" i="6"/>
  <c r="R99" i="6"/>
  <c r="R372" i="6"/>
  <c r="R373" i="6"/>
  <c r="R100" i="6"/>
  <c r="R101" i="6"/>
  <c r="R374" i="6"/>
  <c r="R375" i="6"/>
  <c r="R376" i="6"/>
  <c r="R377" i="6"/>
  <c r="R378" i="6"/>
  <c r="R379" i="6"/>
  <c r="R380" i="6"/>
  <c r="R102" i="6"/>
  <c r="R381" i="6"/>
  <c r="R382" i="6"/>
  <c r="R383" i="6"/>
  <c r="R384" i="6"/>
  <c r="R385" i="6"/>
  <c r="R103" i="6"/>
  <c r="R386" i="6"/>
  <c r="R8" i="6"/>
  <c r="R387" i="6"/>
  <c r="R388" i="6"/>
  <c r="R389" i="6"/>
  <c r="R390" i="6"/>
  <c r="R391" i="6"/>
  <c r="R392" i="6"/>
  <c r="R104" i="6"/>
  <c r="R393" i="6"/>
  <c r="R394" i="6"/>
  <c r="R395" i="6"/>
  <c r="R396" i="6"/>
  <c r="R105" i="6"/>
  <c r="R397" i="6"/>
  <c r="R398" i="6"/>
  <c r="R106" i="6"/>
  <c r="R399" i="6"/>
  <c r="R107" i="6"/>
  <c r="R400" i="6"/>
  <c r="R9" i="6"/>
  <c r="R401" i="6"/>
  <c r="R402" i="6"/>
  <c r="R403" i="6"/>
  <c r="R404" i="6"/>
  <c r="R108" i="6"/>
  <c r="R405" i="6"/>
  <c r="R406" i="6"/>
  <c r="R407" i="6"/>
  <c r="R109" i="6"/>
  <c r="R408" i="6"/>
  <c r="R409" i="6"/>
  <c r="R410" i="6"/>
  <c r="R10" i="6"/>
  <c r="R411" i="6"/>
  <c r="R412" i="6"/>
  <c r="R413" i="6"/>
  <c r="R110" i="6"/>
  <c r="R414" i="6"/>
  <c r="R415" i="6"/>
  <c r="R416" i="6"/>
  <c r="R417" i="6"/>
  <c r="R111" i="6"/>
  <c r="R418" i="6"/>
  <c r="R11" i="6"/>
  <c r="R112" i="6"/>
  <c r="R12" i="6"/>
  <c r="R113" i="6"/>
  <c r="R13" i="6"/>
  <c r="R114" i="6"/>
  <c r="R115" i="6"/>
  <c r="R116" i="6"/>
  <c r="R419" i="6"/>
  <c r="R117" i="6"/>
  <c r="R14" i="6"/>
  <c r="R118" i="6"/>
  <c r="R119" i="6"/>
  <c r="R120" i="6"/>
  <c r="R121" i="6"/>
  <c r="R122" i="6"/>
  <c r="R123" i="6"/>
  <c r="R124" i="6"/>
  <c r="R125" i="6"/>
  <c r="R15" i="6"/>
  <c r="R126" i="6"/>
  <c r="R127" i="6"/>
  <c r="R128" i="6"/>
  <c r="R129" i="6"/>
  <c r="R130" i="6"/>
  <c r="R131" i="6"/>
  <c r="R132" i="6"/>
  <c r="R16" i="6"/>
  <c r="R17" i="6"/>
  <c r="R133" i="6"/>
  <c r="R134" i="6"/>
  <c r="R420" i="6"/>
  <c r="R135" i="6"/>
  <c r="R18" i="6"/>
  <c r="R136" i="6"/>
  <c r="R19" i="6"/>
  <c r="R137" i="6"/>
  <c r="R138" i="6"/>
  <c r="R139" i="6"/>
  <c r="R140" i="6"/>
  <c r="R141" i="6"/>
  <c r="R20" i="6"/>
  <c r="R21" i="6"/>
  <c r="R22" i="6"/>
  <c r="R142" i="6"/>
  <c r="R143" i="6"/>
  <c r="R144" i="6"/>
  <c r="R145" i="6"/>
  <c r="R146" i="6"/>
  <c r="R147" i="6"/>
  <c r="R148" i="6"/>
  <c r="R149" i="6"/>
  <c r="R150" i="6"/>
  <c r="R23" i="6"/>
  <c r="R151" i="6"/>
  <c r="R152" i="6"/>
  <c r="R153" i="6"/>
  <c r="R154" i="6"/>
  <c r="R421" i="6"/>
  <c r="R155" i="6"/>
  <c r="R156" i="6"/>
  <c r="R422" i="6"/>
  <c r="R157" i="6"/>
  <c r="R158" i="6"/>
  <c r="R159" i="6"/>
  <c r="R160" i="6"/>
  <c r="R24" i="6"/>
  <c r="R161" i="6"/>
  <c r="R162" i="6"/>
  <c r="R163" i="6"/>
  <c r="R164" i="6"/>
  <c r="R165" i="6"/>
  <c r="R25" i="6"/>
  <c r="R166" i="6"/>
  <c r="R26" i="6"/>
  <c r="R167" i="6"/>
  <c r="R168" i="6"/>
  <c r="R27" i="6"/>
  <c r="R169" i="6"/>
  <c r="R170" i="6"/>
  <c r="R171" i="6"/>
  <c r="R423" i="6"/>
  <c r="R28" i="6"/>
  <c r="R172" i="6"/>
  <c r="R424" i="6"/>
  <c r="R173" i="6"/>
  <c r="R425" i="6"/>
  <c r="R174" i="6"/>
  <c r="R175" i="6"/>
  <c r="R176" i="6"/>
  <c r="R426" i="6"/>
  <c r="R177" i="6"/>
  <c r="R427" i="6"/>
  <c r="R428" i="6"/>
  <c r="R178" i="6"/>
  <c r="R429" i="6"/>
  <c r="R430" i="6"/>
  <c r="R431" i="6"/>
  <c r="R432" i="6"/>
  <c r="R179" i="6"/>
  <c r="R180" i="6"/>
  <c r="R433" i="6"/>
  <c r="R181" i="6"/>
  <c r="R182" i="6"/>
  <c r="R183" i="6"/>
  <c r="R184" i="6"/>
  <c r="R434" i="6"/>
  <c r="R29" i="6"/>
  <c r="R185" i="6"/>
  <c r="R30" i="6"/>
  <c r="R186" i="6"/>
  <c r="R31" i="6"/>
  <c r="R187" i="6"/>
  <c r="R188" i="6"/>
  <c r="R189" i="6"/>
  <c r="R190" i="6"/>
  <c r="R435" i="6"/>
  <c r="R191" i="6"/>
  <c r="R192" i="6"/>
  <c r="R193" i="6"/>
  <c r="R436" i="6"/>
  <c r="R194" i="6"/>
  <c r="R437" i="6"/>
  <c r="R32" i="6"/>
  <c r="R438" i="6"/>
  <c r="R439" i="6"/>
  <c r="R440" i="6"/>
  <c r="R441" i="6"/>
  <c r="R195" i="6"/>
  <c r="R442" i="6"/>
  <c r="R196" i="6"/>
  <c r="R443" i="6"/>
  <c r="R197" i="6"/>
  <c r="R198" i="6"/>
  <c r="R444" i="6"/>
  <c r="R33" i="6"/>
  <c r="R199" i="6"/>
  <c r="R200" i="6"/>
  <c r="R445" i="6"/>
  <c r="R446" i="6"/>
  <c r="R447" i="6"/>
  <c r="R448" i="6"/>
  <c r="R449" i="6"/>
  <c r="R201" i="6"/>
  <c r="R450" i="6"/>
  <c r="R34" i="6"/>
  <c r="R451" i="6"/>
  <c r="R202" i="6"/>
  <c r="R203" i="6"/>
  <c r="R452" i="6"/>
  <c r="R204" i="6"/>
  <c r="R205" i="6"/>
  <c r="R206" i="6"/>
  <c r="R207" i="6"/>
  <c r="R208" i="6"/>
  <c r="R209" i="6"/>
  <c r="R210" i="6"/>
  <c r="R35" i="6"/>
  <c r="R36" i="6"/>
  <c r="R211" i="6"/>
  <c r="R212" i="6"/>
  <c r="R37" i="6"/>
  <c r="R453" i="6"/>
  <c r="R213" i="6"/>
  <c r="R454" i="6"/>
  <c r="R455" i="6"/>
  <c r="R214" i="6"/>
  <c r="R215" i="6"/>
  <c r="R216" i="6"/>
  <c r="R456" i="6"/>
  <c r="R38" i="6"/>
  <c r="R217" i="6"/>
  <c r="R457" i="6"/>
  <c r="R218" i="6"/>
  <c r="R219" i="6"/>
  <c r="R458" i="6"/>
  <c r="R220" i="6"/>
  <c r="R459" i="6"/>
  <c r="R221" i="6"/>
  <c r="R222" i="6"/>
  <c r="R223" i="6"/>
  <c r="R224" i="6"/>
  <c r="R225" i="6"/>
  <c r="R460" i="6"/>
  <c r="R39" i="6"/>
  <c r="R40" i="6"/>
  <c r="R461" i="6"/>
  <c r="R462" i="6"/>
  <c r="R41" i="6"/>
  <c r="R42" i="6"/>
  <c r="R226" i="6"/>
  <c r="R227" i="6"/>
  <c r="R43" i="6"/>
  <c r="R228" i="6"/>
  <c r="R229" i="6"/>
  <c r="R230" i="6"/>
  <c r="R231" i="6"/>
  <c r="R232" i="6"/>
  <c r="R233" i="6"/>
  <c r="R234" i="6"/>
  <c r="R235" i="6"/>
  <c r="R236" i="6"/>
  <c r="R44" i="6"/>
  <c r="R237" i="6"/>
  <c r="R238" i="6"/>
  <c r="R239" i="6"/>
  <c r="R463" i="6"/>
  <c r="R464" i="6"/>
  <c r="R465" i="6"/>
  <c r="R466" i="6"/>
  <c r="R45" i="6"/>
  <c r="R240" i="6"/>
  <c r="R241" i="6"/>
  <c r="R242" i="6"/>
  <c r="R243" i="6"/>
  <c r="R244" i="6"/>
  <c r="R245" i="6"/>
  <c r="R246" i="6"/>
  <c r="R467" i="6"/>
  <c r="R247" i="6"/>
  <c r="R248" i="6"/>
  <c r="R468" i="6"/>
  <c r="R267" i="6"/>
  <c r="R268" i="6"/>
  <c r="R269" i="6"/>
  <c r="R270" i="6"/>
  <c r="R271" i="6"/>
  <c r="R272" i="6"/>
  <c r="R273" i="6"/>
  <c r="R274" i="6"/>
  <c r="R275" i="6"/>
  <c r="R276" i="6"/>
  <c r="R49" i="6"/>
  <c r="R277" i="6"/>
  <c r="R278" i="6"/>
  <c r="R249" i="6"/>
  <c r="R263" i="6"/>
  <c r="R264" i="6"/>
  <c r="R265" i="6"/>
  <c r="R266" i="6"/>
  <c r="R251" i="6"/>
  <c r="R252" i="6"/>
  <c r="R253" i="6"/>
  <c r="R254" i="6"/>
  <c r="R255" i="6"/>
  <c r="R256" i="6"/>
  <c r="R46" i="6"/>
  <c r="R47" i="6"/>
  <c r="R257" i="6"/>
  <c r="R258" i="6"/>
  <c r="R259" i="6"/>
  <c r="R260" i="6"/>
  <c r="R261" i="6"/>
  <c r="R48" i="6"/>
  <c r="R262" i="6"/>
  <c r="R250" i="6"/>
  <c r="V32" i="5"/>
  <c r="W32" i="5"/>
  <c r="X32" i="5"/>
  <c r="Y32" i="5"/>
  <c r="Z32" i="5"/>
  <c r="AA32" i="5"/>
  <c r="AB32" i="5"/>
  <c r="V33" i="5"/>
  <c r="W33" i="5"/>
  <c r="X33" i="5"/>
  <c r="Y33" i="5"/>
  <c r="Z33" i="5"/>
  <c r="AA33" i="5"/>
  <c r="AB33" i="5"/>
  <c r="V34" i="5"/>
  <c r="W34" i="5"/>
  <c r="X34" i="5"/>
  <c r="Y34" i="5"/>
  <c r="Z34" i="5"/>
  <c r="AA34" i="5"/>
  <c r="AB34" i="5"/>
  <c r="V35" i="5"/>
  <c r="W35" i="5"/>
  <c r="X35" i="5"/>
  <c r="Y35" i="5"/>
  <c r="Z35" i="5"/>
  <c r="AA35" i="5"/>
  <c r="AB35" i="5"/>
  <c r="V36" i="5"/>
  <c r="W36" i="5"/>
  <c r="X36" i="5"/>
  <c r="Y36" i="5"/>
  <c r="Z36" i="5"/>
  <c r="AA36" i="5"/>
  <c r="AB36" i="5"/>
  <c r="V6" i="5"/>
  <c r="W15" i="5"/>
  <c r="X15" i="5"/>
  <c r="V15" i="5"/>
  <c r="V14" i="5"/>
  <c r="W14" i="5"/>
  <c r="Y16" i="5"/>
  <c r="X14" i="5"/>
  <c r="Y14" i="5"/>
  <c r="Z14" i="5"/>
  <c r="AA14" i="5"/>
  <c r="AB14" i="5"/>
  <c r="Y15" i="5"/>
  <c r="Z15" i="5"/>
  <c r="AA15" i="5"/>
  <c r="AB15" i="5"/>
  <c r="V16" i="5"/>
  <c r="W16" i="5"/>
  <c r="X16" i="5"/>
  <c r="Z16" i="5"/>
  <c r="AA16" i="5"/>
  <c r="AB16" i="5"/>
  <c r="V17" i="5"/>
  <c r="W17" i="5"/>
  <c r="X17" i="5"/>
  <c r="Y17" i="5"/>
  <c r="Z17" i="5"/>
  <c r="AA17" i="5"/>
  <c r="AB17" i="5"/>
  <c r="V18" i="5"/>
  <c r="W18" i="5"/>
  <c r="X18" i="5"/>
  <c r="Y18" i="5"/>
  <c r="Z18" i="5"/>
  <c r="AA18" i="5"/>
  <c r="AB18" i="5"/>
  <c r="B2" i="4"/>
  <c r="C2" i="4"/>
  <c r="C1" i="4"/>
  <c r="B1" i="4"/>
  <c r="V22" i="5" l="1"/>
  <c r="V10" i="5"/>
  <c r="V26" i="5" s="1"/>
  <c r="V9" i="5"/>
  <c r="V25" i="5" s="1"/>
  <c r="V8" i="5"/>
  <c r="V24" i="5" s="1"/>
  <c r="V7" i="5"/>
  <c r="V23" i="5" s="1"/>
  <c r="W6" i="5"/>
  <c r="W22" i="5" s="1"/>
  <c r="Z9" i="5"/>
  <c r="Z25" i="5" s="1"/>
  <c r="X6" i="5"/>
  <c r="X22" i="5" s="1"/>
  <c r="Y6" i="5"/>
  <c r="Y22" i="5" s="1"/>
  <c r="Z6" i="5"/>
  <c r="Z22" i="5" s="1"/>
  <c r="AA6" i="5"/>
  <c r="AA22" i="5" s="1"/>
  <c r="AB6" i="5"/>
  <c r="AB22" i="5" s="1"/>
  <c r="W7" i="5"/>
  <c r="W23" i="5" s="1"/>
  <c r="X7" i="5"/>
  <c r="X23" i="5" s="1"/>
  <c r="Y7" i="5"/>
  <c r="Y23" i="5" s="1"/>
  <c r="Z7" i="5"/>
  <c r="Z23" i="5" s="1"/>
  <c r="AA7" i="5"/>
  <c r="AA23" i="5" s="1"/>
  <c r="AB7" i="5"/>
  <c r="AB23" i="5" s="1"/>
  <c r="W8" i="5"/>
  <c r="W24" i="5" s="1"/>
  <c r="X8" i="5"/>
  <c r="X24" i="5" s="1"/>
  <c r="Y8" i="5"/>
  <c r="Y24" i="5" s="1"/>
  <c r="Z8" i="5"/>
  <c r="Z24" i="5" s="1"/>
  <c r="AA8" i="5"/>
  <c r="AA24" i="5" s="1"/>
  <c r="AB8" i="5"/>
  <c r="AB24" i="5" s="1"/>
  <c r="W9" i="5"/>
  <c r="W25" i="5" s="1"/>
  <c r="X9" i="5"/>
  <c r="X25" i="5" s="1"/>
  <c r="Y9" i="5"/>
  <c r="Y25" i="5" s="1"/>
  <c r="AA9" i="5"/>
  <c r="AA25" i="5" s="1"/>
  <c r="AB9" i="5"/>
  <c r="AB25" i="5" s="1"/>
  <c r="W10" i="5"/>
  <c r="W26" i="5" s="1"/>
  <c r="X10" i="5"/>
  <c r="X26" i="5" s="1"/>
  <c r="Y10" i="5"/>
  <c r="Y26" i="5" s="1"/>
  <c r="Z10" i="5"/>
  <c r="Z26" i="5" s="1"/>
  <c r="AA10" i="5"/>
  <c r="AA26" i="5" s="1"/>
  <c r="AB10" i="5"/>
  <c r="AB26" i="5" s="1"/>
</calcChain>
</file>

<file path=xl/sharedStrings.xml><?xml version="1.0" encoding="utf-8"?>
<sst xmlns="http://schemas.openxmlformats.org/spreadsheetml/2006/main" count="1996" uniqueCount="45">
  <si>
    <t>ID</t>
  </si>
  <si>
    <t>group</t>
  </si>
  <si>
    <t>triangle_area</t>
  </si>
  <si>
    <t>Consistency</t>
  </si>
  <si>
    <t>totLineCross</t>
  </si>
  <si>
    <t>SynQuest</t>
  </si>
  <si>
    <t>SynCons</t>
  </si>
  <si>
    <t>SynSD</t>
  </si>
  <si>
    <t>SynPermzs</t>
  </si>
  <si>
    <t>SynLine</t>
  </si>
  <si>
    <t>Syn</t>
  </si>
  <si>
    <t>Ctl</t>
  </si>
  <si>
    <t>consistency</t>
  </si>
  <si>
    <t>x-sd</t>
  </si>
  <si>
    <t>y-sd</t>
  </si>
  <si>
    <t>mean_simulation</t>
  </si>
  <si>
    <t>SD_simulation</t>
  </si>
  <si>
    <t>z-score</t>
  </si>
  <si>
    <t>NA</t>
  </si>
  <si>
    <t>Sensitivity (Prob of classing syn as a syn)</t>
  </si>
  <si>
    <t>&lt;=17</t>
  </si>
  <si>
    <t>&lt;=18</t>
  </si>
  <si>
    <t>&lt;=19</t>
  </si>
  <si>
    <t>&lt;=20</t>
  </si>
  <si>
    <t>&lt;=21</t>
  </si>
  <si>
    <t>Specificity (Prob of classing control as a control)</t>
  </si>
  <si>
    <t>Accuracy (mean of sensitivity+specificity)</t>
  </si>
  <si>
    <t>questionnaire</t>
  </si>
  <si>
    <t>control</t>
  </si>
  <si>
    <t>syns</t>
  </si>
  <si>
    <t>&lt;=-4</t>
  </si>
  <si>
    <t>&lt;=-3</t>
  </si>
  <si>
    <t>&lt;=-2.5</t>
  </si>
  <si>
    <t>&lt;=-2</t>
  </si>
  <si>
    <t>&lt;=-1.5</t>
  </si>
  <si>
    <t>&lt;=-4.5</t>
  </si>
  <si>
    <t>&lt;=-3.5</t>
  </si>
  <si>
    <t>&lt;=300</t>
  </si>
  <si>
    <t>&lt;=500</t>
  </si>
  <si>
    <t>&lt;=700</t>
  </si>
  <si>
    <t>&lt;=900</t>
  </si>
  <si>
    <t>&lt;=1200</t>
  </si>
  <si>
    <t>&lt;=1400</t>
  </si>
  <si>
    <t>&lt;=1800</t>
  </si>
  <si>
    <t>CONS|Line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</si>
</sst>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left"/>
    </xf>
    <xf numFmtId="0" fontId="18" fillId="0" borderId="0" xfId="0" applyFont="1"/>
    <xf numFmtId="164" fontId="0" fillId="0" borderId="0" xfId="0" applyNumberFormat="1"/>
    <xf numFmtId="0" fontId="0" fillId="33" borderId="0" xfId="0" applyFill="1"/>
    <xf numFmtId="0" fontId="19" fillId="0" borderId="0" xfId="0" applyFont="1"/>
    <xf numFmtId="0" fontId="16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4EE6-034E-3546-95D9-2FE165192218}">
  <dimension ref="A1:AC468"/>
  <sheetViews>
    <sheetView topLeftCell="F1" zoomScale="82" zoomScaleNormal="82" workbookViewId="0">
      <selection activeCell="Q36" sqref="A1:R468"/>
    </sheetView>
  </sheetViews>
  <sheetFormatPr baseColWidth="10" defaultRowHeight="16" x14ac:dyDescent="0.2"/>
  <cols>
    <col min="22" max="22" width="10.6640625" customWidth="1"/>
    <col min="24" max="24" width="14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s="3" t="s">
        <v>1</v>
      </c>
      <c r="M1" s="3" t="s">
        <v>27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29" x14ac:dyDescent="0.2">
      <c r="A2">
        <v>28301</v>
      </c>
      <c r="B2" t="s">
        <v>10</v>
      </c>
      <c r="C2">
        <v>197.5</v>
      </c>
      <c r="D2">
        <v>6.8738450411623006E-2</v>
      </c>
      <c r="E2">
        <v>145</v>
      </c>
      <c r="F2">
        <v>6.8738450411623006E-2</v>
      </c>
      <c r="G2">
        <v>0.28328979298046297</v>
      </c>
      <c r="H2">
        <v>0.20302706466314299</v>
      </c>
      <c r="I2">
        <v>13.4210508459411</v>
      </c>
      <c r="J2">
        <v>2.5870185692829799</v>
      </c>
      <c r="K2">
        <v>-5.1612742769102704</v>
      </c>
      <c r="L2" t="s">
        <v>29</v>
      </c>
      <c r="M2">
        <v>10</v>
      </c>
      <c r="N2" t="b">
        <v>1</v>
      </c>
      <c r="O2" t="b">
        <v>1</v>
      </c>
      <c r="P2" t="b">
        <v>1</v>
      </c>
      <c r="Q2" t="b">
        <v>1</v>
      </c>
      <c r="R2" t="b">
        <v>1</v>
      </c>
    </row>
    <row r="3" spans="1:29" x14ac:dyDescent="0.2">
      <c r="A3">
        <v>28307</v>
      </c>
      <c r="B3" t="s">
        <v>10</v>
      </c>
      <c r="C3">
        <v>167</v>
      </c>
      <c r="D3">
        <v>3.3773696765245102E-2</v>
      </c>
      <c r="E3">
        <v>248</v>
      </c>
      <c r="F3">
        <v>3.3773696765245102E-2</v>
      </c>
      <c r="G3">
        <v>0.31174082775227202</v>
      </c>
      <c r="H3">
        <v>8.6703869404525596E-2</v>
      </c>
      <c r="I3">
        <v>4.4117589679006102</v>
      </c>
      <c r="J3">
        <v>1.0806097943055999</v>
      </c>
      <c r="K3">
        <v>-4.0514025453088296</v>
      </c>
      <c r="L3" t="s">
        <v>29</v>
      </c>
      <c r="M3">
        <v>15</v>
      </c>
      <c r="N3" t="b">
        <v>1</v>
      </c>
      <c r="O3" t="b">
        <v>1</v>
      </c>
      <c r="P3" t="b">
        <v>1</v>
      </c>
      <c r="Q3" t="b">
        <v>1</v>
      </c>
      <c r="R3" t="b">
        <v>1</v>
      </c>
    </row>
    <row r="4" spans="1:29" x14ac:dyDescent="0.2">
      <c r="A4">
        <v>28521</v>
      </c>
      <c r="B4" t="s">
        <v>10</v>
      </c>
      <c r="C4">
        <v>966</v>
      </c>
      <c r="D4">
        <v>7.3563256684557501E-2</v>
      </c>
      <c r="E4">
        <v>327</v>
      </c>
      <c r="F4">
        <v>7.3563256684557501E-2</v>
      </c>
      <c r="G4">
        <v>0.12913891002359501</v>
      </c>
      <c r="H4">
        <v>0.149801403491061</v>
      </c>
      <c r="I4">
        <v>4.3636985245799904</v>
      </c>
      <c r="J4">
        <v>0.65757535702808201</v>
      </c>
      <c r="K4">
        <v>-6.52417281463336</v>
      </c>
      <c r="L4" t="s">
        <v>29</v>
      </c>
      <c r="M4">
        <v>10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U4" s="2" t="s">
        <v>19</v>
      </c>
      <c r="AC4" s="3"/>
    </row>
    <row r="5" spans="1:29" x14ac:dyDescent="0.2">
      <c r="A5">
        <v>28563</v>
      </c>
      <c r="B5" t="s">
        <v>10</v>
      </c>
      <c r="C5">
        <v>122</v>
      </c>
      <c r="D5">
        <v>8.1397578153028199E-2</v>
      </c>
      <c r="E5">
        <v>258</v>
      </c>
      <c r="F5">
        <v>8.1397578153028199E-2</v>
      </c>
      <c r="G5">
        <v>0.26256045142578299</v>
      </c>
      <c r="H5">
        <v>0.29032828052242199</v>
      </c>
      <c r="I5">
        <v>17.145408631144502</v>
      </c>
      <c r="J5">
        <v>2.7233331045464499</v>
      </c>
      <c r="K5">
        <v>-6.2658552582142999</v>
      </c>
      <c r="L5" t="s">
        <v>29</v>
      </c>
      <c r="M5">
        <v>11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U5" s="3"/>
      <c r="V5" s="3" t="s">
        <v>35</v>
      </c>
      <c r="W5" s="3" t="s">
        <v>30</v>
      </c>
      <c r="X5" s="3" t="s">
        <v>36</v>
      </c>
      <c r="Y5" s="3" t="s">
        <v>31</v>
      </c>
      <c r="Z5" s="3" t="s">
        <v>32</v>
      </c>
      <c r="AA5" s="3" t="s">
        <v>33</v>
      </c>
      <c r="AB5" s="3" t="s">
        <v>34</v>
      </c>
    </row>
    <row r="6" spans="1:29" ht="17" x14ac:dyDescent="0.25">
      <c r="A6">
        <v>28740</v>
      </c>
      <c r="B6" t="s">
        <v>10</v>
      </c>
      <c r="C6">
        <v>0</v>
      </c>
      <c r="D6">
        <v>4.7638103925215801E-2</v>
      </c>
      <c r="E6">
        <v>442</v>
      </c>
      <c r="F6">
        <v>4.7638103925215801E-2</v>
      </c>
      <c r="G6">
        <v>0.27630696980012098</v>
      </c>
      <c r="H6">
        <v>0.20255789552661699</v>
      </c>
      <c r="I6">
        <v>13.0439506547864</v>
      </c>
      <c r="J6">
        <v>2.1143714121091102</v>
      </c>
      <c r="K6">
        <v>-6.1466554439918299</v>
      </c>
      <c r="L6" t="s">
        <v>29</v>
      </c>
      <c r="M6">
        <v>9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U6" t="s">
        <v>20</v>
      </c>
      <c r="V6" s="8">
        <f>COUNTIFS(L2:L468,"syns",M2:M468,U6,K2:K468,V5)/COUNTIF(L:L,"syns")</f>
        <v>0.55158730158730163</v>
      </c>
      <c r="W6" s="8">
        <f>COUNTIFS(L2:L468,"syns",M2:M468,U6,K2:K468,W5)/COUNTIF(L:L,"syns")</f>
        <v>0.59126984126984128</v>
      </c>
      <c r="X6" s="8">
        <f>COUNTIFS(L2:L468,"syns",M2:M468,U6,K2:K468,X5)/COUNTIF(L:L,"syns")</f>
        <v>0.59126984126984128</v>
      </c>
      <c r="Y6" s="8">
        <f>COUNTIFS(L2:L468,"syns",M2:M468,U6,K2:K468,Y5)/COUNTIF(L:L,"syns")</f>
        <v>0.61111111111111116</v>
      </c>
      <c r="Z6" s="8">
        <f>COUNTIFS(L2:L468,"syns",M2:M468,U6,K2:K468,Z5)/COUNTIF(L:L,"syns")</f>
        <v>0.61507936507936511</v>
      </c>
      <c r="AA6" s="8">
        <f>COUNTIFS(L2:L468,"syns",M2:M468,U6,K2:K468,AA5)/COUNTIF(L:L,"syns")</f>
        <v>0.63095238095238093</v>
      </c>
      <c r="AB6" s="8">
        <f>COUNTIFS(L2:L468,"syns",M2:M468,U6,K2:K468,AB5)/COUNTIF(L:L,"syns")</f>
        <v>0.65079365079365081</v>
      </c>
      <c r="AC6" s="4"/>
    </row>
    <row r="7" spans="1:29" ht="17" x14ac:dyDescent="0.25">
      <c r="A7">
        <v>28746</v>
      </c>
      <c r="B7" t="s">
        <v>10</v>
      </c>
      <c r="C7">
        <v>0</v>
      </c>
      <c r="D7">
        <v>6.7366690253876801E-2</v>
      </c>
      <c r="E7">
        <v>287</v>
      </c>
      <c r="F7">
        <v>6.7366690253876801E-2</v>
      </c>
      <c r="G7">
        <v>0.29988379934918702</v>
      </c>
      <c r="H7">
        <v>7.94887459588456E-2</v>
      </c>
      <c r="I7">
        <v>5.1684926092371004</v>
      </c>
      <c r="J7">
        <v>0.94625586206190004</v>
      </c>
      <c r="K7">
        <v>-5.3908526472616201</v>
      </c>
      <c r="L7" t="s">
        <v>29</v>
      </c>
      <c r="M7">
        <v>9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U7" t="s">
        <v>21</v>
      </c>
      <c r="V7" s="8">
        <f>COUNTIFS(L2:L468,"syns",M2:M468,U7,K2:K468,V5)/COUNTIF(L:L,"syns")</f>
        <v>0.57936507936507942</v>
      </c>
      <c r="W7" s="8">
        <f>COUNTIFS(L2:L468,"syns",M2:M468,U7,K2:K468,W5)/COUNTIF(L:L,"syns")</f>
        <v>0.61904761904761907</v>
      </c>
      <c r="X7" s="8">
        <f>COUNTIFS(L2:L468,"syns",M2:M468,U7,K2:K468,X5)/COUNTIF(L:L,"syns")</f>
        <v>0.61904761904761907</v>
      </c>
      <c r="Y7" s="8">
        <f>COUNTIFS(L2:L468,"syns",M2:M468,U7,K2:K468,Y5)/COUNTIF(L:L,"syns")</f>
        <v>0.63888888888888884</v>
      </c>
      <c r="Z7" s="8">
        <f>COUNTIFS(L2:L468,"syns",M2:M468,U7,K2:K468,Z5)/COUNTIF(L:L,"syns")</f>
        <v>0.6428571428571429</v>
      </c>
      <c r="AA7" s="8">
        <f>COUNTIFS(L2:L468,"syns",M2:M468,U7,K2:K468,AA5)/COUNTIF(L:L,"syns")</f>
        <v>0.65873015873015872</v>
      </c>
      <c r="AB7" s="8">
        <f>COUNTIFS(L2:L468,"syns",M2:M468,U7,K2:K468,AB5)/COUNTIF(L:L,"syns")</f>
        <v>0.6785714285714286</v>
      </c>
      <c r="AC7" s="4"/>
    </row>
    <row r="8" spans="1:29" ht="17" x14ac:dyDescent="0.25">
      <c r="A8">
        <v>28777</v>
      </c>
      <c r="B8" t="s">
        <v>10</v>
      </c>
      <c r="C8">
        <v>4</v>
      </c>
      <c r="D8">
        <v>3.97825235109718E-2</v>
      </c>
      <c r="E8">
        <v>310</v>
      </c>
      <c r="F8">
        <v>3.97825235109718E-2</v>
      </c>
      <c r="G8">
        <v>0.20617526324722299</v>
      </c>
      <c r="H8">
        <v>0.195156279649564</v>
      </c>
      <c r="I8">
        <v>7.5273807846786802</v>
      </c>
      <c r="J8">
        <v>1.2844551400862301</v>
      </c>
      <c r="K8">
        <v>-5.8293964713045998</v>
      </c>
      <c r="L8" t="s">
        <v>29</v>
      </c>
      <c r="M8">
        <v>15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U8" t="s">
        <v>22</v>
      </c>
      <c r="V8" s="8">
        <f>COUNTIFS(L2:L468,"syns",M2:M468,U8,K2:K468,V5)/COUNTIF(L:L,"syns")</f>
        <v>0.61111111111111116</v>
      </c>
      <c r="W8" s="8">
        <f>COUNTIFS(L2:L468,"syns",M2:M468,U8,K2:K468,W5)/COUNTIF(L:L,"syns")</f>
        <v>0.65476190476190477</v>
      </c>
      <c r="X8" s="8">
        <f>COUNTIFS(L2:L468,"syns",M2:M468,U8,K2:K468,X5)/COUNTIF(L:L,"syns")</f>
        <v>0.65476190476190477</v>
      </c>
      <c r="Y8" s="8">
        <f>COUNTIFS(L2:L468,"syns",M2:M468,U8,K2:K468,Y5)/COUNTIF(L:L,"syns")</f>
        <v>0.67460317460317465</v>
      </c>
      <c r="Z8" s="8">
        <f>COUNTIFS(L2:L468,"syns",M2:M468,U8,K2:K468,Z5)/COUNTIF(L:L,"syns")</f>
        <v>0.6785714285714286</v>
      </c>
      <c r="AA8" s="8">
        <f>COUNTIFS(L2:L468,"syns",M2:M468,U8,K2:K468,AA5)/COUNTIF(L:L,"syns")</f>
        <v>0.69444444444444442</v>
      </c>
      <c r="AB8" s="8">
        <f>COUNTIFS(L2:L468,"syns",M2:M468,U8,K2:K468,AB5)/COUNTIF(L:L,"syns")</f>
        <v>0.71825396825396826</v>
      </c>
      <c r="AC8" s="4"/>
    </row>
    <row r="9" spans="1:29" ht="17" x14ac:dyDescent="0.25">
      <c r="A9">
        <v>28779</v>
      </c>
      <c r="B9" t="s">
        <v>10</v>
      </c>
      <c r="C9">
        <v>30.5</v>
      </c>
      <c r="D9">
        <v>0.10235184415292101</v>
      </c>
      <c r="E9">
        <v>316</v>
      </c>
      <c r="F9">
        <v>0.10235184415292101</v>
      </c>
      <c r="G9">
        <v>0.262025378769284</v>
      </c>
      <c r="H9">
        <v>0.20217207244030999</v>
      </c>
      <c r="I9">
        <v>12.192621254950399</v>
      </c>
      <c r="J9">
        <v>2.5044107634829502</v>
      </c>
      <c r="K9">
        <v>-4.8275904205040296</v>
      </c>
      <c r="L9" t="s">
        <v>29</v>
      </c>
      <c r="M9">
        <v>9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U9" t="s">
        <v>23</v>
      </c>
      <c r="V9" s="8">
        <f>COUNTIFS(L2:L468,"syns",M2:M468,U9,K2:K468,V5)/COUNTIF(L:L,"syns")</f>
        <v>0.62698412698412698</v>
      </c>
      <c r="W9" s="8">
        <f>COUNTIFS(L2:L468,"syns",M2:M468,U9,K2:K468,W5)/COUNTIF(L:L,"syns")</f>
        <v>0.67063492063492058</v>
      </c>
      <c r="X9" s="8">
        <f>COUNTIFS(L2:L468,"syns",M2:M468,U9,K2:K468,X5)/COUNTIF(L:L,"syns")</f>
        <v>0.67063492063492058</v>
      </c>
      <c r="Y9" s="8">
        <f>COUNTIFS(L2:L468,"syns",M2:M468,U9,K2:K468,Y5)/COUNTIF(L:L,"syns")</f>
        <v>0.69047619047619047</v>
      </c>
      <c r="Z9" s="8">
        <f>COUNTIFS(L2:L468,"syns",M2:M468,U9,K2:K468,Z5)/COUNTIF(L:L,"syns")</f>
        <v>0.69444444444444442</v>
      </c>
      <c r="AA9" s="8">
        <f>COUNTIFS(L2:L468,"syns",M2:M468,U9,K2:K468,AA5)/COUNTIF(L:L,"syns")</f>
        <v>0.71031746031746035</v>
      </c>
      <c r="AB9" s="8">
        <f>COUNTIFS(L2:L468,"syns",M2:M468,U9,K2:K468,AB5)/COUNTIF(L:L,"syns")</f>
        <v>0.73412698412698407</v>
      </c>
      <c r="AC9" s="4"/>
    </row>
    <row r="10" spans="1:29" ht="17" x14ac:dyDescent="0.25">
      <c r="A10">
        <v>28796</v>
      </c>
      <c r="B10" t="s">
        <v>10</v>
      </c>
      <c r="C10">
        <v>73.5</v>
      </c>
      <c r="D10">
        <v>0.54432146829810901</v>
      </c>
      <c r="E10">
        <v>335</v>
      </c>
      <c r="F10">
        <v>0.54432146829810901</v>
      </c>
      <c r="G10">
        <v>0.29657407563307098</v>
      </c>
      <c r="H10">
        <v>0.30456936387245098</v>
      </c>
      <c r="I10">
        <v>24.841247748887699</v>
      </c>
      <c r="J10">
        <v>3.6333517574144101</v>
      </c>
      <c r="K10">
        <v>-6.6871935069341797</v>
      </c>
      <c r="L10" s="5" t="s">
        <v>29</v>
      </c>
      <c r="M10" s="5">
        <v>15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U10" t="s">
        <v>24</v>
      </c>
      <c r="V10" s="8">
        <f>COUNTIFS(L2:L468,"syns",M2:M468,U10,K2:K468,V5)/COUNTIF(L:L,"syns")</f>
        <v>0.63888888888888884</v>
      </c>
      <c r="W10" s="8">
        <f>COUNTIFS(L2:L468,"syns",M2:M468,U10,K2:K468,W5)/COUNTIF(L:L,"syns")</f>
        <v>0.68253968253968256</v>
      </c>
      <c r="X10" s="8">
        <f>COUNTIFS(L2:L468,"syns",M2:M468,U10,K2:K468,X5)/COUNTIF(L:L,"syns")</f>
        <v>0.68650793650793651</v>
      </c>
      <c r="Y10" s="8">
        <f>COUNTIFS(L2:L468,"syns",M2:M468,U10,K2:K468,Y5)/COUNTIF(L:L,"syns")</f>
        <v>0.70634920634920639</v>
      </c>
      <c r="Z10" s="8">
        <f>COUNTIFS(L2:L468,"syns",M2:M468,U10,K2:K468,Z5)/COUNTIF(L:L,"syns")</f>
        <v>0.71031746031746035</v>
      </c>
      <c r="AA10" s="8">
        <f>COUNTIFS(L2:L468,"syns",M2:M468,U10,K2:K468,AA5)/COUNTIF(L:L,"syns")</f>
        <v>0.72619047619047616</v>
      </c>
      <c r="AB10" s="8">
        <f>COUNTIFS(L2:L468,"syns",M2:M468,U10,K2:K468,AB5)/COUNTIF(L:L,"syns")</f>
        <v>0.75</v>
      </c>
      <c r="AC10" s="4"/>
    </row>
    <row r="11" spans="1:29" ht="17" x14ac:dyDescent="0.25">
      <c r="A11">
        <v>29027</v>
      </c>
      <c r="B11" t="s">
        <v>10</v>
      </c>
      <c r="C11">
        <v>0</v>
      </c>
      <c r="D11">
        <v>0</v>
      </c>
      <c r="E11">
        <v>2498</v>
      </c>
      <c r="F11">
        <v>0</v>
      </c>
      <c r="G11">
        <v>1.3511905831924301E-3</v>
      </c>
      <c r="H11">
        <v>9.2815765137050396E-4</v>
      </c>
      <c r="I11" s="1">
        <v>9.9631550935660207E-5</v>
      </c>
      <c r="J11" s="1">
        <v>6.5561267087270003E-5</v>
      </c>
      <c r="K11">
        <v>-1.5196709179375401</v>
      </c>
      <c r="L11" t="s">
        <v>29</v>
      </c>
      <c r="M11">
        <v>25</v>
      </c>
      <c r="N11" t="b">
        <v>1</v>
      </c>
      <c r="O11" t="b">
        <v>1</v>
      </c>
      <c r="P11" t="b">
        <v>0</v>
      </c>
      <c r="Q11" t="b">
        <v>0</v>
      </c>
      <c r="R11" t="b">
        <v>0</v>
      </c>
      <c r="W11" s="8"/>
      <c r="X11" s="8"/>
      <c r="Y11" s="8"/>
      <c r="Z11" s="8"/>
      <c r="AA11" s="8"/>
      <c r="AB11" s="8"/>
    </row>
    <row r="12" spans="1:29" x14ac:dyDescent="0.2">
      <c r="A12">
        <v>29043</v>
      </c>
      <c r="B12" t="s">
        <v>10</v>
      </c>
      <c r="C12">
        <v>1224</v>
      </c>
      <c r="D12">
        <v>0.151459139670513</v>
      </c>
      <c r="E12">
        <v>387</v>
      </c>
      <c r="F12">
        <v>0.151459139670513</v>
      </c>
      <c r="G12">
        <v>0.30463365976242202</v>
      </c>
      <c r="H12">
        <v>2.61183678304448E-2</v>
      </c>
      <c r="I12">
        <v>2.0759324058394202</v>
      </c>
      <c r="J12">
        <v>0.31936609508727898</v>
      </c>
      <c r="K12">
        <v>-6.0259160122898097</v>
      </c>
      <c r="L12" t="s">
        <v>29</v>
      </c>
      <c r="M12">
        <v>17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U12" s="2" t="s">
        <v>25</v>
      </c>
      <c r="AC12" s="3"/>
    </row>
    <row r="13" spans="1:29" x14ac:dyDescent="0.2">
      <c r="A13">
        <v>29048</v>
      </c>
      <c r="B13" t="s">
        <v>10</v>
      </c>
      <c r="C13">
        <v>104</v>
      </c>
      <c r="D13">
        <v>9.2320285892933202E-2</v>
      </c>
      <c r="E13">
        <v>395</v>
      </c>
      <c r="F13">
        <v>9.2320285892933202E-2</v>
      </c>
      <c r="G13">
        <v>0.310594911305694</v>
      </c>
      <c r="H13">
        <v>4.1496785284621501E-2</v>
      </c>
      <c r="I13">
        <v>3.4485475534801999</v>
      </c>
      <c r="J13">
        <v>0.55014879230501101</v>
      </c>
      <c r="K13">
        <v>-6.1005809965070803</v>
      </c>
      <c r="L13" t="s">
        <v>29</v>
      </c>
      <c r="M13">
        <v>14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U13" s="3"/>
      <c r="V13" s="3" t="s">
        <v>35</v>
      </c>
      <c r="W13" s="3" t="s">
        <v>30</v>
      </c>
      <c r="X13" s="3" t="s">
        <v>36</v>
      </c>
      <c r="Y13" s="3" t="s">
        <v>31</v>
      </c>
      <c r="Z13" s="3" t="s">
        <v>32</v>
      </c>
      <c r="AA13" s="3" t="s">
        <v>33</v>
      </c>
      <c r="AB13" s="3" t="s">
        <v>34</v>
      </c>
    </row>
    <row r="14" spans="1:29" ht="17" x14ac:dyDescent="0.25">
      <c r="A14">
        <v>29053</v>
      </c>
      <c r="B14" t="s">
        <v>10</v>
      </c>
      <c r="C14">
        <v>180</v>
      </c>
      <c r="D14">
        <v>9.6073710264454604E-2</v>
      </c>
      <c r="E14">
        <v>389</v>
      </c>
      <c r="F14">
        <v>9.6073710264454604E-2</v>
      </c>
      <c r="G14">
        <v>0.26743410921741101</v>
      </c>
      <c r="H14">
        <v>0.10938139184496801</v>
      </c>
      <c r="I14">
        <v>6.6540823691997897</v>
      </c>
      <c r="J14">
        <v>1.2970288690657501</v>
      </c>
      <c r="K14">
        <v>-5.0561778656931899</v>
      </c>
      <c r="L14" t="s">
        <v>29</v>
      </c>
      <c r="M14">
        <v>9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U14" t="s">
        <v>20</v>
      </c>
      <c r="V14" s="8">
        <f>1-(COUNTIFS(L2:L468,"control",M2:M468,U14,K2:K468,V13)/COUNTIF(L:L,"control"))</f>
        <v>0.97209302325581393</v>
      </c>
      <c r="W14" s="8">
        <f>1-(COUNTIFS(L2:L468,"control",M2:M468,U14,K2:K468,W13)/COUNTIF(L:L,"control"))</f>
        <v>0.97209302325581393</v>
      </c>
      <c r="X14" s="8">
        <f>1-(COUNTIFS(L2:L468,"control",M2:M468,U14,K2:K468,X13)/COUNTIF(L:L,"control"))</f>
        <v>0.97209302325581393</v>
      </c>
      <c r="Y14" s="8">
        <f>1-(COUNTIFS(L2:L468,"control",M2:M468,U14,K2:K468,Y13)/COUNTIF(L:L,"control"))</f>
        <v>0.96744186046511627</v>
      </c>
      <c r="Z14" s="8">
        <f>1-(COUNTIFS(L2:L468,"control",M2:M468,U14,K2:K468,Z13)/COUNTIF(L:L,"control"))</f>
        <v>0.96744186046511627</v>
      </c>
      <c r="AA14" s="8">
        <f>1-(COUNTIFS(L2:L468,"control",M2:M468,U14,K2:K468,AA13)/COUNTIF(L:L,"control"))</f>
        <v>0.96279069767441861</v>
      </c>
      <c r="AB14" s="8">
        <f>1-(COUNTIFS(L2:L468,"control",M2:M468,U14,K2:K468,AB13)/COUNTIF(L:L,"control"))</f>
        <v>0.95813953488372094</v>
      </c>
      <c r="AC14" s="4"/>
    </row>
    <row r="15" spans="1:29" ht="17" x14ac:dyDescent="0.25">
      <c r="A15">
        <v>29058</v>
      </c>
      <c r="B15" t="s">
        <v>10</v>
      </c>
      <c r="C15">
        <v>202.5</v>
      </c>
      <c r="D15">
        <v>3.1267966575635998E-2</v>
      </c>
      <c r="E15">
        <v>337</v>
      </c>
      <c r="F15">
        <v>3.1267966575635998E-2</v>
      </c>
      <c r="G15">
        <v>0.27680340091959199</v>
      </c>
      <c r="H15">
        <v>0.20619209161690999</v>
      </c>
      <c r="I15">
        <v>13.9947435652437</v>
      </c>
      <c r="J15">
        <v>2.2867393211982501</v>
      </c>
      <c r="K15">
        <v>-6.1062821937006797</v>
      </c>
      <c r="L15" t="s">
        <v>29</v>
      </c>
      <c r="M15">
        <v>9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U15" t="s">
        <v>21</v>
      </c>
      <c r="V15" s="8">
        <f>1-(COUNTIFS(L2:L468,"control",M2:M468,U15,K2:K468,V13)/COUNTIF(L:L,"control"))</f>
        <v>0.94418604651162785</v>
      </c>
      <c r="W15" s="8">
        <f>1-(COUNTIFS(L2:L468,"control",M2:M468,U15,K2:K468,W13)/COUNTIF(L:L,"control"))</f>
        <v>0.94418604651162785</v>
      </c>
      <c r="X15" s="8">
        <f>1-(COUNTIFS(L2:L468,"control",M2:M468,U15,K2:K468,X13)/COUNTIF(L:L,"control"))</f>
        <v>0.94418604651162785</v>
      </c>
      <c r="Y15" s="8">
        <f>1-(COUNTIFS(L2:L468,"control",M2:M468,U15,K2:K468,Y13)/COUNTIF(L:L,"control"))</f>
        <v>0.93953488372093019</v>
      </c>
      <c r="Z15" s="8">
        <f>1-(COUNTIFS(L2:L468,"control",M2:M468,U15,K2:K468,Z13)/COUNTIF(L:L,"control"))</f>
        <v>0.93953488372093019</v>
      </c>
      <c r="AA15" s="8">
        <f>1-(COUNTIFS(L2:L468,"control",M2:M468,U15,K2:K468,AA13)/COUNTIF(L:L,"control"))</f>
        <v>0.93488372093023253</v>
      </c>
      <c r="AB15" s="8">
        <f>1-(COUNTIFS(L2:L468,"control",M2:M468,U15,K2:K468,AB13)/COUNTIF(L:L,"control"))</f>
        <v>0.92558139534883721</v>
      </c>
      <c r="AC15" s="4"/>
    </row>
    <row r="16" spans="1:29" ht="17" x14ac:dyDescent="0.25">
      <c r="A16">
        <v>29063</v>
      </c>
      <c r="B16" t="s">
        <v>10</v>
      </c>
      <c r="C16">
        <v>1.5</v>
      </c>
      <c r="D16">
        <v>4.6227201673578099E-2</v>
      </c>
      <c r="E16">
        <v>290</v>
      </c>
      <c r="F16">
        <v>4.6227201673578099E-2</v>
      </c>
      <c r="G16">
        <v>0.212611857643519</v>
      </c>
      <c r="H16">
        <v>0.26873458965308</v>
      </c>
      <c r="I16">
        <v>7.4915002583075898</v>
      </c>
      <c r="J16">
        <v>1.28766852969432</v>
      </c>
      <c r="K16">
        <v>-5.7819795117626001</v>
      </c>
      <c r="L16" t="s">
        <v>29</v>
      </c>
      <c r="M16">
        <v>11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U16" t="s">
        <v>22</v>
      </c>
      <c r="V16" s="8">
        <f>1-(COUNTIFS(L2:L468,"control",M2:M468,U16,K2:K468,V13)/COUNTIF(L:L,"control"))</f>
        <v>0.92558139534883721</v>
      </c>
      <c r="W16" s="8">
        <f>1-(COUNTIFS(L2:L468,"control",M2:M468,U16,K2:K468,W13)/COUNTIF(L:L,"control"))</f>
        <v>0.92558139534883721</v>
      </c>
      <c r="X16" s="8">
        <f>1-(COUNTIFS(L2:L468,"control",M2:M468,U16,K2:K468,X13)/COUNTIF(L:L,"control"))</f>
        <v>0.92558139534883721</v>
      </c>
      <c r="Y16" s="8">
        <f>1-(COUNTIFS(L2:L468,"control",M2:M468,U16,K2:K468,Y13)/COUNTIF(L:L,"control"))</f>
        <v>0.92093023255813955</v>
      </c>
      <c r="Z16" s="8">
        <f>1-(COUNTIFS(L2:L468,"control",M2:M468,U16,K2:K468,Z13)/COUNTIF(L:L,"control"))</f>
        <v>0.92093023255813955</v>
      </c>
      <c r="AA16" s="8">
        <f>1-(COUNTIFS(L2:L468,"control",M2:M468,U16,K2:K468,AA13)/COUNTIF(L:L,"control"))</f>
        <v>0.91627906976744189</v>
      </c>
      <c r="AB16" s="8">
        <f>1-(COUNTIFS(L2:L468,"control",M2:M468,U16,K2:K468,AB13)/COUNTIF(L:L,"control"))</f>
        <v>0.9023255813953488</v>
      </c>
      <c r="AC16" s="4"/>
    </row>
    <row r="17" spans="1:29" ht="17" x14ac:dyDescent="0.25">
      <c r="A17">
        <v>29104</v>
      </c>
      <c r="B17" t="s">
        <v>10</v>
      </c>
      <c r="C17">
        <v>301.5</v>
      </c>
      <c r="D17">
        <v>0.102013781723513</v>
      </c>
      <c r="E17">
        <v>906</v>
      </c>
      <c r="F17">
        <v>0.102013781723513</v>
      </c>
      <c r="G17">
        <v>0.14355141228257801</v>
      </c>
      <c r="H17">
        <v>0.16485512766014501</v>
      </c>
      <c r="I17">
        <v>5.7672621965897104</v>
      </c>
      <c r="J17">
        <v>0.91945972045304802</v>
      </c>
      <c r="K17">
        <v>-6.1614971149304303</v>
      </c>
      <c r="L17" t="s">
        <v>29</v>
      </c>
      <c r="M17">
        <v>13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U17" t="s">
        <v>23</v>
      </c>
      <c r="V17" s="8">
        <f>1-(COUNTIFS(L2:L468,"control",M2:M468,U17,K2:K468,V13)/COUNTIF(L:L,"control"))</f>
        <v>0.90697674418604657</v>
      </c>
      <c r="W17" s="8">
        <f>1-(COUNTIFS(L2:L468,"control",M2:M468,U17,K2:K468,W13)/COUNTIF(L:L,"control"))</f>
        <v>0.90697674418604657</v>
      </c>
      <c r="X17" s="8">
        <f>1-(COUNTIFS(L2:L468,"control",M2:M468,U17,K2:K468,X13)/COUNTIF(L:L,"control"))</f>
        <v>0.9023255813953488</v>
      </c>
      <c r="Y17" s="8">
        <f>1-(COUNTIFS(L2:L468,"control",M2:M468,U17,K2:K468,Y13)/COUNTIF(L:L,"control"))</f>
        <v>0.89767441860465114</v>
      </c>
      <c r="Z17" s="8">
        <f>1-(COUNTIFS(L2:L468,"control",M2:M468,U17,K2:K468,Z13)/COUNTIF(L:L,"control"))</f>
        <v>0.89302325581395348</v>
      </c>
      <c r="AA17" s="8">
        <f>1-(COUNTIFS(L2:L468,"control",M2:M468,U17,K2:K468,AA13)/COUNTIF(L:L,"control"))</f>
        <v>0.88837209302325582</v>
      </c>
      <c r="AB17" s="8">
        <f>1-(COUNTIFS(L2:L468,"control",M2:M468,U17,K2:K468,AB13)/COUNTIF(L:L,"control"))</f>
        <v>0.86976744186046506</v>
      </c>
      <c r="AC17" s="4"/>
    </row>
    <row r="18" spans="1:29" ht="17" x14ac:dyDescent="0.25">
      <c r="A18">
        <v>29119</v>
      </c>
      <c r="B18" t="s">
        <v>10</v>
      </c>
      <c r="C18">
        <v>1391.5</v>
      </c>
      <c r="D18">
        <v>7.8571008918745397E-2</v>
      </c>
      <c r="E18">
        <v>451</v>
      </c>
      <c r="F18">
        <v>7.8571008918745397E-2</v>
      </c>
      <c r="G18">
        <v>0.17188978884366901</v>
      </c>
      <c r="H18">
        <v>0.20120410994846</v>
      </c>
      <c r="I18">
        <v>8.4938734450588704</v>
      </c>
      <c r="J18">
        <v>1.5809289737706</v>
      </c>
      <c r="K18">
        <v>-5.32301107498155</v>
      </c>
      <c r="L18" t="s">
        <v>29</v>
      </c>
      <c r="M18">
        <v>16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U18" t="s">
        <v>24</v>
      </c>
      <c r="V18" s="8">
        <f>1-(COUNTIFS(L2:L468,"control",M2:M468,U18,K2:K468,V13)/COUNTIF(L:L,"control"))</f>
        <v>0.89767441860465114</v>
      </c>
      <c r="W18" s="8">
        <f>1-(COUNTIFS(L2:L468,"control",M2:M468,U18,K2:K468,W13)/COUNTIF(L:L,"control"))</f>
        <v>0.89767441860465114</v>
      </c>
      <c r="X18" s="8">
        <f>1-(COUNTIFS(L2:L468,"control",M2:M468,U18,K2:K468,X13)/COUNTIF(L:L,"control"))</f>
        <v>0.89302325581395348</v>
      </c>
      <c r="Y18" s="8">
        <f>1-(COUNTIFS(L2:L468,"control",M2:M468,U18,K2:K468,Y13)/COUNTIF(L:L,"control"))</f>
        <v>0.88372093023255816</v>
      </c>
      <c r="Z18" s="8">
        <f>1-(COUNTIFS(L2:L468,"control",M2:M468,U18,K2:K468,Z13)/COUNTIF(L:L,"control"))</f>
        <v>0.87906976744186049</v>
      </c>
      <c r="AA18" s="8">
        <f>1-(COUNTIFS(L2:L468,"control",M2:M468,U18,K2:K468,AA13)/COUNTIF(L:L,"control"))</f>
        <v>0.86976744186046506</v>
      </c>
      <c r="AB18" s="8">
        <f>1-(COUNTIFS(L2:L468,"control",M2:M468,U18,K2:K468,AB13)/COUNTIF(L:L,"control"))</f>
        <v>0.85116279069767442</v>
      </c>
      <c r="AC18" s="4"/>
    </row>
    <row r="19" spans="1:29" x14ac:dyDescent="0.2">
      <c r="A19">
        <v>29123</v>
      </c>
      <c r="B19" t="s">
        <v>10</v>
      </c>
      <c r="C19">
        <v>38</v>
      </c>
      <c r="D19">
        <v>0.164440932174717</v>
      </c>
      <c r="E19">
        <v>322</v>
      </c>
      <c r="F19">
        <v>0.164440932174717</v>
      </c>
      <c r="G19">
        <v>0.22441579686891999</v>
      </c>
      <c r="H19">
        <v>0.28849430656425501</v>
      </c>
      <c r="I19">
        <v>11.7434728397012</v>
      </c>
      <c r="J19">
        <v>2.4168300023553502</v>
      </c>
      <c r="K19">
        <v>-4.7909997377730402</v>
      </c>
      <c r="L19" t="s">
        <v>29</v>
      </c>
      <c r="M19">
        <v>9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</row>
    <row r="20" spans="1:29" x14ac:dyDescent="0.2">
      <c r="A20">
        <v>29128</v>
      </c>
      <c r="B20" t="s">
        <v>10</v>
      </c>
      <c r="C20">
        <v>155</v>
      </c>
      <c r="D20">
        <v>0.126551279930397</v>
      </c>
      <c r="E20">
        <v>299</v>
      </c>
      <c r="F20">
        <v>0.126551279930397</v>
      </c>
      <c r="G20">
        <v>0.22548175007600099</v>
      </c>
      <c r="H20">
        <v>0.22528063785255401</v>
      </c>
      <c r="I20">
        <v>12.87444472718</v>
      </c>
      <c r="J20">
        <v>2.0266691716655898</v>
      </c>
      <c r="K20">
        <v>-6.2900712289282597</v>
      </c>
      <c r="L20" t="s">
        <v>29</v>
      </c>
      <c r="M20">
        <v>12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U20" s="3" t="s">
        <v>26</v>
      </c>
    </row>
    <row r="21" spans="1:29" x14ac:dyDescent="0.2">
      <c r="A21">
        <v>29147</v>
      </c>
      <c r="B21" t="s">
        <v>10</v>
      </c>
      <c r="C21">
        <v>5</v>
      </c>
      <c r="D21">
        <v>4.7113234682756397E-2</v>
      </c>
      <c r="E21">
        <v>358</v>
      </c>
      <c r="F21">
        <v>4.7113234682756397E-2</v>
      </c>
      <c r="G21">
        <v>0.28855683677479399</v>
      </c>
      <c r="H21">
        <v>0.275606837240362</v>
      </c>
      <c r="I21">
        <v>17.6816658503135</v>
      </c>
      <c r="J21">
        <v>3.1564901830993102</v>
      </c>
      <c r="K21">
        <v>-5.5867598480270404</v>
      </c>
      <c r="L21" t="s">
        <v>29</v>
      </c>
      <c r="M21">
        <v>15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U21" s="3"/>
      <c r="V21" s="3" t="s">
        <v>35</v>
      </c>
      <c r="W21" s="3" t="s">
        <v>30</v>
      </c>
      <c r="X21" s="3" t="s">
        <v>36</v>
      </c>
      <c r="Y21" s="3" t="s">
        <v>31</v>
      </c>
      <c r="Z21" s="3" t="s">
        <v>32</v>
      </c>
      <c r="AA21" s="3" t="s">
        <v>33</v>
      </c>
      <c r="AB21" s="3" t="s">
        <v>34</v>
      </c>
    </row>
    <row r="22" spans="1:29" x14ac:dyDescent="0.2">
      <c r="A22">
        <v>29151</v>
      </c>
      <c r="B22" t="s">
        <v>10</v>
      </c>
      <c r="C22">
        <v>59</v>
      </c>
      <c r="D22">
        <v>1.6617540237195898E-2</v>
      </c>
      <c r="E22">
        <v>273</v>
      </c>
      <c r="F22">
        <v>1.6617540237195898E-2</v>
      </c>
      <c r="G22">
        <v>0.15168315614012001</v>
      </c>
      <c r="H22">
        <v>0.37849491836196397</v>
      </c>
      <c r="I22">
        <v>15.0637074438878</v>
      </c>
      <c r="J22">
        <v>2.5146250098980398</v>
      </c>
      <c r="K22">
        <v>-5.9838305291733001</v>
      </c>
      <c r="L22" t="s">
        <v>29</v>
      </c>
      <c r="M22">
        <v>21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U22" t="s">
        <v>20</v>
      </c>
      <c r="V22" s="4">
        <f>(V14+V6)/2</f>
        <v>0.76184016242155783</v>
      </c>
      <c r="W22" s="4">
        <f t="shared" ref="W22:AB22" si="0">(W14+W6)/2</f>
        <v>0.7816814322628276</v>
      </c>
      <c r="X22" s="4">
        <f t="shared" si="0"/>
        <v>0.7816814322628276</v>
      </c>
      <c r="Y22" s="4">
        <f t="shared" si="0"/>
        <v>0.78927648578811371</v>
      </c>
      <c r="Z22" s="4">
        <f t="shared" si="0"/>
        <v>0.79126061277224069</v>
      </c>
      <c r="AA22" s="4">
        <f t="shared" si="0"/>
        <v>0.79687153931339982</v>
      </c>
      <c r="AB22" s="4">
        <f t="shared" si="0"/>
        <v>0.80446659283868582</v>
      </c>
    </row>
    <row r="23" spans="1:29" x14ac:dyDescent="0.2">
      <c r="A23">
        <v>29153</v>
      </c>
      <c r="B23" t="s">
        <v>10</v>
      </c>
      <c r="C23">
        <v>118.5</v>
      </c>
      <c r="D23">
        <v>2.9334129851159001E-2</v>
      </c>
      <c r="E23">
        <v>275</v>
      </c>
      <c r="F23">
        <v>2.9334129851159001E-2</v>
      </c>
      <c r="G23">
        <v>0.32627529361726998</v>
      </c>
      <c r="H23">
        <v>0.18643468006238401</v>
      </c>
      <c r="I23">
        <v>11.071669630480701</v>
      </c>
      <c r="J23">
        <v>2.57727089391742</v>
      </c>
      <c r="K23">
        <v>-4.2845071221230198</v>
      </c>
      <c r="L23" t="s">
        <v>29</v>
      </c>
      <c r="M23">
        <v>9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U23" t="s">
        <v>21</v>
      </c>
      <c r="V23" s="4">
        <f t="shared" ref="V23:AB23" si="1">(V15+V7)/2</f>
        <v>0.76177556293835358</v>
      </c>
      <c r="W23" s="4">
        <f t="shared" si="1"/>
        <v>0.78161683277962346</v>
      </c>
      <c r="X23" s="4">
        <f t="shared" si="1"/>
        <v>0.78161683277962346</v>
      </c>
      <c r="Y23" s="4">
        <f t="shared" si="1"/>
        <v>0.78921188630490957</v>
      </c>
      <c r="Z23" s="4">
        <f t="shared" si="1"/>
        <v>0.79119601328903655</v>
      </c>
      <c r="AA23" s="4">
        <f t="shared" si="1"/>
        <v>0.79680693983019557</v>
      </c>
      <c r="AB23" s="4">
        <f t="shared" si="1"/>
        <v>0.80207641196013291</v>
      </c>
    </row>
    <row r="24" spans="1:29" x14ac:dyDescent="0.2">
      <c r="A24">
        <v>29154</v>
      </c>
      <c r="B24" t="s">
        <v>10</v>
      </c>
      <c r="C24">
        <v>0</v>
      </c>
      <c r="D24">
        <v>3.1329346422140303E-2</v>
      </c>
      <c r="E24">
        <v>338</v>
      </c>
      <c r="F24">
        <v>3.1329346422140303E-2</v>
      </c>
      <c r="G24">
        <v>0.262815481511325</v>
      </c>
      <c r="H24">
        <v>9.6331653178598306E-2</v>
      </c>
      <c r="I24">
        <v>6.4459784922549499</v>
      </c>
      <c r="J24">
        <v>1.14234800084254</v>
      </c>
      <c r="K24">
        <v>-5.6153196233561804</v>
      </c>
      <c r="L24" t="s">
        <v>29</v>
      </c>
      <c r="M24">
        <v>14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U24" t="s">
        <v>22</v>
      </c>
      <c r="V24" s="4">
        <f t="shared" ref="V24:AB24" si="2">(V16+V8)/2</f>
        <v>0.76834625322997419</v>
      </c>
      <c r="W24" s="4">
        <f t="shared" si="2"/>
        <v>0.79017165005537104</v>
      </c>
      <c r="X24" s="4">
        <f t="shared" si="2"/>
        <v>0.79017165005537104</v>
      </c>
      <c r="Y24" s="4">
        <f t="shared" si="2"/>
        <v>0.79776670358065704</v>
      </c>
      <c r="Z24" s="4">
        <f t="shared" si="2"/>
        <v>0.79975083056478402</v>
      </c>
      <c r="AA24" s="4">
        <f t="shared" si="2"/>
        <v>0.80536175710594315</v>
      </c>
      <c r="AB24" s="4">
        <f t="shared" si="2"/>
        <v>0.81028977482465847</v>
      </c>
    </row>
    <row r="25" spans="1:29" x14ac:dyDescent="0.2">
      <c r="A25">
        <v>29157</v>
      </c>
      <c r="B25" t="s">
        <v>10</v>
      </c>
      <c r="C25">
        <v>66</v>
      </c>
      <c r="D25">
        <v>0.19370255487520999</v>
      </c>
      <c r="E25">
        <v>380</v>
      </c>
      <c r="F25">
        <v>0.19370255487520999</v>
      </c>
      <c r="G25">
        <v>0.25728082536119601</v>
      </c>
      <c r="H25">
        <v>0.177303228344803</v>
      </c>
      <c r="I25">
        <v>11.613709137326801</v>
      </c>
      <c r="J25">
        <v>1.9099751039856301</v>
      </c>
      <c r="K25">
        <v>-5.9791389733933897</v>
      </c>
      <c r="L25" t="s">
        <v>29</v>
      </c>
      <c r="M25">
        <v>9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U25" t="s">
        <v>23</v>
      </c>
      <c r="V25" s="4">
        <f t="shared" ref="V25:AB25" si="3">(V17+V9)/2</f>
        <v>0.76698043558508677</v>
      </c>
      <c r="W25" s="4">
        <f t="shared" si="3"/>
        <v>0.78880583241048363</v>
      </c>
      <c r="X25" s="4">
        <f t="shared" si="3"/>
        <v>0.78648025101513475</v>
      </c>
      <c r="Y25" s="4">
        <f t="shared" si="3"/>
        <v>0.79407530454042075</v>
      </c>
      <c r="Z25" s="4">
        <f t="shared" si="3"/>
        <v>0.79373385012919895</v>
      </c>
      <c r="AA25" s="4">
        <f t="shared" si="3"/>
        <v>0.79934477667035808</v>
      </c>
      <c r="AB25" s="4">
        <f t="shared" si="3"/>
        <v>0.80194721299372462</v>
      </c>
    </row>
    <row r="26" spans="1:29" x14ac:dyDescent="0.2">
      <c r="A26">
        <v>29166</v>
      </c>
      <c r="B26" t="s">
        <v>10</v>
      </c>
      <c r="C26">
        <v>34.5</v>
      </c>
      <c r="D26">
        <v>8.8116926765716794E-2</v>
      </c>
      <c r="E26">
        <v>328</v>
      </c>
      <c r="F26">
        <v>8.8116926765716794E-2</v>
      </c>
      <c r="G26">
        <v>0.27896992088672501</v>
      </c>
      <c r="H26">
        <v>0.30606794804009801</v>
      </c>
      <c r="I26">
        <v>21.630154452579301</v>
      </c>
      <c r="J26">
        <v>3.4071223070940002</v>
      </c>
      <c r="K26">
        <v>-6.3226487293868701</v>
      </c>
      <c r="L26" t="s">
        <v>29</v>
      </c>
      <c r="M26">
        <v>10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U26" t="s">
        <v>24</v>
      </c>
      <c r="V26" s="4">
        <f t="shared" ref="V26:AB26" si="4">(V18+V10)/2</f>
        <v>0.76828165374677004</v>
      </c>
      <c r="W26" s="4">
        <f t="shared" si="4"/>
        <v>0.79010705057216679</v>
      </c>
      <c r="X26" s="4">
        <f t="shared" si="4"/>
        <v>0.78976559616094499</v>
      </c>
      <c r="Y26" s="4">
        <f t="shared" si="4"/>
        <v>0.79503506829088222</v>
      </c>
      <c r="Z26" s="4">
        <f t="shared" si="4"/>
        <v>0.79469361387966042</v>
      </c>
      <c r="AA26" s="4">
        <f t="shared" si="4"/>
        <v>0.79797895902547067</v>
      </c>
      <c r="AB26" s="4">
        <f t="shared" si="4"/>
        <v>0.80058139534883721</v>
      </c>
    </row>
    <row r="27" spans="1:29" x14ac:dyDescent="0.2">
      <c r="A27">
        <v>29172</v>
      </c>
      <c r="B27" t="s">
        <v>10</v>
      </c>
      <c r="C27">
        <v>267.5</v>
      </c>
      <c r="D27">
        <v>0.113993784357821</v>
      </c>
      <c r="E27">
        <v>385</v>
      </c>
      <c r="F27">
        <v>0.113993784357821</v>
      </c>
      <c r="G27">
        <v>0.22413379116393001</v>
      </c>
      <c r="H27">
        <v>0.243453209164739</v>
      </c>
      <c r="I27">
        <v>13.878796201508599</v>
      </c>
      <c r="J27">
        <v>2.31440773118003</v>
      </c>
      <c r="K27">
        <v>-5.9474405618808897</v>
      </c>
      <c r="L27" t="s">
        <v>29</v>
      </c>
      <c r="M27">
        <v>17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</row>
    <row r="28" spans="1:29" x14ac:dyDescent="0.2">
      <c r="A28">
        <v>29180</v>
      </c>
      <c r="B28" t="s">
        <v>10</v>
      </c>
      <c r="C28">
        <v>7.5</v>
      </c>
      <c r="D28">
        <v>3.4250447199485799E-2</v>
      </c>
      <c r="E28">
        <v>414</v>
      </c>
      <c r="F28">
        <v>3.4250447199485799E-2</v>
      </c>
      <c r="G28">
        <v>0.110408476946889</v>
      </c>
      <c r="H28">
        <v>0.15505312912244201</v>
      </c>
      <c r="I28">
        <v>4.0112320698173303</v>
      </c>
      <c r="J28">
        <v>0.65127229370131601</v>
      </c>
      <c r="K28">
        <v>-6.1064805935714297</v>
      </c>
      <c r="L28" t="s">
        <v>29</v>
      </c>
      <c r="M28">
        <v>9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</row>
    <row r="29" spans="1:29" x14ac:dyDescent="0.2">
      <c r="A29">
        <v>29189</v>
      </c>
      <c r="B29" t="s">
        <v>10</v>
      </c>
      <c r="C29">
        <v>15</v>
      </c>
      <c r="D29">
        <v>3.5908657405196297E-2</v>
      </c>
      <c r="E29">
        <v>386</v>
      </c>
      <c r="F29">
        <v>3.5908657405196297E-2</v>
      </c>
      <c r="G29">
        <v>0.315903339178572</v>
      </c>
      <c r="H29">
        <v>0.21697624402417401</v>
      </c>
      <c r="I29">
        <v>17.137098922824201</v>
      </c>
      <c r="J29">
        <v>2.84855445940235</v>
      </c>
      <c r="K29">
        <v>-6.0034626366269297</v>
      </c>
      <c r="L29" t="s">
        <v>29</v>
      </c>
      <c r="M29">
        <v>15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</row>
    <row r="30" spans="1:29" x14ac:dyDescent="0.2">
      <c r="A30">
        <v>29195</v>
      </c>
      <c r="B30" t="s">
        <v>10</v>
      </c>
      <c r="C30">
        <v>4427.5</v>
      </c>
      <c r="D30">
        <v>0.19872258293321701</v>
      </c>
      <c r="E30">
        <v>316</v>
      </c>
      <c r="F30">
        <v>0.19872258293321701</v>
      </c>
      <c r="G30">
        <v>0.26230447711687299</v>
      </c>
      <c r="H30">
        <v>0.21975966262423399</v>
      </c>
      <c r="I30">
        <v>15.025311457082999</v>
      </c>
      <c r="J30">
        <v>2.3641805034952501</v>
      </c>
      <c r="K30">
        <v>-6.2713438556107999</v>
      </c>
      <c r="L30" t="s">
        <v>29</v>
      </c>
      <c r="M30">
        <v>9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U30" s="2" t="s">
        <v>19</v>
      </c>
    </row>
    <row r="31" spans="1:29" x14ac:dyDescent="0.2">
      <c r="A31">
        <v>29207</v>
      </c>
      <c r="B31" t="s">
        <v>10</v>
      </c>
      <c r="C31">
        <v>126</v>
      </c>
      <c r="D31">
        <v>3.8270311257257203E-2</v>
      </c>
      <c r="E31">
        <v>287</v>
      </c>
      <c r="F31">
        <v>3.8270311257257203E-2</v>
      </c>
      <c r="G31">
        <v>6.8985415469972999E-2</v>
      </c>
      <c r="H31">
        <v>9.2235993961415394E-2</v>
      </c>
      <c r="I31">
        <v>1.75947363772837</v>
      </c>
      <c r="J31">
        <v>0.25740584897129698</v>
      </c>
      <c r="K31">
        <v>-6.6867296658167197</v>
      </c>
      <c r="L31" t="s">
        <v>29</v>
      </c>
      <c r="M31">
        <v>9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U31" s="3"/>
      <c r="V31" s="3" t="s">
        <v>37</v>
      </c>
      <c r="W31" s="3" t="s">
        <v>38</v>
      </c>
      <c r="X31" s="3" t="s">
        <v>39</v>
      </c>
      <c r="Y31" s="3" t="s">
        <v>40</v>
      </c>
      <c r="Z31" s="3" t="s">
        <v>41</v>
      </c>
      <c r="AA31" s="3" t="s">
        <v>42</v>
      </c>
      <c r="AB31" s="3" t="s">
        <v>43</v>
      </c>
      <c r="AC31" s="7"/>
    </row>
    <row r="32" spans="1:29" x14ac:dyDescent="0.2">
      <c r="A32">
        <v>29213</v>
      </c>
      <c r="B32" t="s">
        <v>10</v>
      </c>
      <c r="C32">
        <v>18</v>
      </c>
      <c r="D32">
        <v>4.1787259370867698E-2</v>
      </c>
      <c r="E32">
        <v>354</v>
      </c>
      <c r="F32">
        <v>4.1787259370867698E-2</v>
      </c>
      <c r="G32">
        <v>0.25855025418385502</v>
      </c>
      <c r="H32">
        <v>0.29524023635393798</v>
      </c>
      <c r="I32">
        <v>18.635759793637501</v>
      </c>
      <c r="J32">
        <v>3.2570028092974201</v>
      </c>
      <c r="K32">
        <v>-5.7089212453818998</v>
      </c>
      <c r="L32" t="s">
        <v>29</v>
      </c>
      <c r="M32">
        <v>9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U32" t="s">
        <v>20</v>
      </c>
      <c r="V32" s="6">
        <f>COUNTIFS(L2:L468,"syns",M2:M468,U32,E2:E468,V31)/COUNTIF(L:L,"syns")</f>
        <v>0.14682539682539683</v>
      </c>
      <c r="W32" s="6">
        <f>COUNTIFS(L2:L468,"syns",M2:M468,U32,E2:E468,W31)/COUNTIF(L:L,"syns")</f>
        <v>0.5357142857142857</v>
      </c>
      <c r="X32" s="6">
        <f>COUNTIFS(L2:L468,"syns",M2:M468,U32,E2:E468,X31)/COUNTIF(L:L,"syns")</f>
        <v>0.58730158730158732</v>
      </c>
      <c r="Y32" s="6">
        <f>COUNTIFS(L2:L468,"syns",M2:M468,U32,E2:E468,Y31)/COUNTIF(L:L,"syns")</f>
        <v>0.59523809523809523</v>
      </c>
      <c r="Z32" s="6">
        <f>COUNTIFS(L2:L468,"syns",M2:M468,U32,E2:E468,Z31)/COUNTIF(L:L,"syns")</f>
        <v>0.60317460317460314</v>
      </c>
      <c r="AA32" s="6">
        <f>COUNTIFS(L2:L468,"syns",M2:M468,U32,E2:E468,AA31)/COUNTIF(L:L,"syns")</f>
        <v>0.60317460317460314</v>
      </c>
      <c r="AB32" s="6">
        <f>COUNTIFS(L2:L468,"syns",M2:M468,U32,E2:E468,AB31)/COUNTIF(L:L,"syns")</f>
        <v>0.62301587301587302</v>
      </c>
    </row>
    <row r="33" spans="1:28" x14ac:dyDescent="0.2">
      <c r="A33">
        <v>29216</v>
      </c>
      <c r="B33" t="s">
        <v>10</v>
      </c>
      <c r="C33">
        <v>30.5</v>
      </c>
      <c r="D33">
        <v>0.28552707770103902</v>
      </c>
      <c r="E33">
        <v>327</v>
      </c>
      <c r="F33">
        <v>0.28552707770103902</v>
      </c>
      <c r="G33">
        <v>0.163049037246526</v>
      </c>
      <c r="H33">
        <v>0.190955405688647</v>
      </c>
      <c r="I33">
        <v>7.9675098145938898</v>
      </c>
      <c r="J33">
        <v>1.1845038766547999</v>
      </c>
      <c r="K33">
        <v>-6.4854010934838104</v>
      </c>
      <c r="L33" t="s">
        <v>29</v>
      </c>
      <c r="M33">
        <v>13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U33" t="s">
        <v>21</v>
      </c>
      <c r="V33" s="6">
        <f>COUNTIFS(L2:L468,"syns",M2:M468,U33,E2:E468,V31)/COUNTIF(L:L,"syns")</f>
        <v>0.15476190476190477</v>
      </c>
      <c r="W33" s="6">
        <f>COUNTIFS(L2:L468,"syns",M2:M468,U33,E2:E468,W31)/COUNTIF(L:L,"syns")</f>
        <v>0.55952380952380953</v>
      </c>
      <c r="X33">
        <f>COUNTIFS(L2:L468,"syns",M2:M468,U33,E2:E468,X31)/COUNTIF(L:L,"syns")</f>
        <v>0.61507936507936511</v>
      </c>
      <c r="Y33">
        <f>COUNTIFS(L2:L468,"syns",M2:M468,U33,E2:E468,Y31)/COUNTIF(L:L,"syns")</f>
        <v>0.62301587301587302</v>
      </c>
      <c r="Z33">
        <f>COUNTIFS(L2:L468,"syns",M2:M468,U33,E2:E468,Z31)/COUNTIF(L:L,"syns")</f>
        <v>0.63095238095238093</v>
      </c>
      <c r="AA33">
        <f>COUNTIFS(L2:L468,"syns",M2:M468,U33,E2:E468,AA31)/COUNTIF(L:L,"syns")</f>
        <v>0.63095238095238093</v>
      </c>
      <c r="AB33">
        <f>COUNTIFS(L2:L468,"syns",M2:M468,U33,E2:E468,AB31)/COUNTIF(L:L,"syns")</f>
        <v>0.65079365079365081</v>
      </c>
    </row>
    <row r="34" spans="1:28" x14ac:dyDescent="0.2">
      <c r="A34">
        <v>29255</v>
      </c>
      <c r="B34" t="s">
        <v>10</v>
      </c>
      <c r="C34">
        <v>573</v>
      </c>
      <c r="D34">
        <v>9.0125981578354303E-2</v>
      </c>
      <c r="E34">
        <v>328</v>
      </c>
      <c r="F34">
        <v>9.0125981578354303E-2</v>
      </c>
      <c r="G34">
        <v>0.154119351328209</v>
      </c>
      <c r="H34">
        <v>0.25771486933900101</v>
      </c>
      <c r="I34">
        <v>10.3125037420821</v>
      </c>
      <c r="J34">
        <v>1.5851390418651801</v>
      </c>
      <c r="K34">
        <v>-6.4488839720176401</v>
      </c>
      <c r="L34" t="s">
        <v>29</v>
      </c>
      <c r="M34">
        <v>10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U34" t="s">
        <v>22</v>
      </c>
      <c r="V34">
        <f>COUNTIFS(L2:L468,"syns",M2:M468,U34,E2:E468,V31)/COUNTIF(L:L,"syns")</f>
        <v>0.15873015873015872</v>
      </c>
      <c r="W34">
        <f>COUNTIFS(L2:L468,"syns",M2:M468,U34,E2:E468,W31)/COUNTIF(L:L,"syns")</f>
        <v>0.59126984126984128</v>
      </c>
      <c r="X34">
        <f>COUNTIFS(L2:L468,"syns",M2:M468,U34,E2:E468,X31)/COUNTIF(L:L,"syns")</f>
        <v>0.64682539682539686</v>
      </c>
      <c r="Y34">
        <f>COUNTIFS(L2:L468,"syns",M2:M468,U34,E2:E468,Y31)/COUNTIF(L:L,"syns")</f>
        <v>0.65873015873015872</v>
      </c>
      <c r="Z34">
        <f>COUNTIFS(L2:L468,"syns",M2:M468,U34,E2:E468,Z31)/COUNTIF(L:L,"syns")</f>
        <v>0.66666666666666663</v>
      </c>
      <c r="AA34">
        <f>COUNTIFS(L2:L468,"syns",M2:M468,U34,E2:E468,AA31)/COUNTIF(L:L,"syns")</f>
        <v>0.66666666666666663</v>
      </c>
      <c r="AB34">
        <f>COUNTIFS(L2:L468,"syns",M2:M468,U34,E2:E468,AB31)/COUNTIF(L:L,"syns")</f>
        <v>0.68650793650793651</v>
      </c>
    </row>
    <row r="35" spans="1:28" x14ac:dyDescent="0.2">
      <c r="A35">
        <v>29289</v>
      </c>
      <c r="B35" t="s">
        <v>10</v>
      </c>
      <c r="C35">
        <v>23265</v>
      </c>
      <c r="D35">
        <v>0.16443221818987699</v>
      </c>
      <c r="E35">
        <v>457</v>
      </c>
      <c r="F35">
        <v>0.16443221818987699</v>
      </c>
      <c r="G35">
        <v>0.23363406996473399</v>
      </c>
      <c r="H35">
        <v>5.3654429840654598E-2</v>
      </c>
      <c r="I35">
        <v>2.6997246894996798</v>
      </c>
      <c r="J35">
        <v>0.48356765078529201</v>
      </c>
      <c r="K35">
        <v>-5.2428909733572899</v>
      </c>
      <c r="L35" s="5" t="s">
        <v>29</v>
      </c>
      <c r="M35" s="5">
        <v>14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U35" t="s">
        <v>23</v>
      </c>
      <c r="V35">
        <f>COUNTIFS(L2:L468,"syns",M2:M468,U35,E2:E468,V31)/COUNTIF(L:L,"syns")</f>
        <v>0.1626984126984127</v>
      </c>
      <c r="W35">
        <f>COUNTIFS(L2:L468,"syns",M2:M468,U35,E2:E468,W31)/COUNTIF(L:L,"syns")</f>
        <v>0.6071428571428571</v>
      </c>
      <c r="X35">
        <f>COUNTIFS(L2:L468,"syns",M2:M468,U35,E2:E468,X31)/COUNTIF(L:L,"syns")</f>
        <v>0.66269841269841268</v>
      </c>
      <c r="Y35">
        <f>COUNTIFS(L2:L468,"syns",M2:M468,U35,E2:E468,Y31)/COUNTIF(L:L,"syns")</f>
        <v>0.67460317460317465</v>
      </c>
      <c r="Z35">
        <f>COUNTIFS(L2:L468,"syns",M2:M468,U35,E2:E468,Z31)/COUNTIF(L:L,"syns")</f>
        <v>0.68253968253968256</v>
      </c>
      <c r="AA35">
        <f>COUNTIFS(L2:L468,"syns",M2:M468,U35,E2:E468,AA31)/COUNTIF(L:L,"syns")</f>
        <v>0.68253968253968256</v>
      </c>
      <c r="AB35">
        <f>COUNTIFS(L2:L468,"syns",M2:M468,U35,E2:E468,AB31)/COUNTIF(L:L,"syns")</f>
        <v>0.70238095238095233</v>
      </c>
    </row>
    <row r="36" spans="1:28" x14ac:dyDescent="0.2">
      <c r="A36">
        <v>29291</v>
      </c>
      <c r="B36" t="s">
        <v>10</v>
      </c>
      <c r="C36">
        <v>104</v>
      </c>
      <c r="D36">
        <v>7.4290646900423002E-2</v>
      </c>
      <c r="E36">
        <v>316</v>
      </c>
      <c r="F36">
        <v>7.4290646900423002E-2</v>
      </c>
      <c r="G36">
        <v>0.12257231761114</v>
      </c>
      <c r="H36">
        <v>0.25496002862223099</v>
      </c>
      <c r="I36">
        <v>7.8375238840924997</v>
      </c>
      <c r="J36">
        <v>1.23396673566571</v>
      </c>
      <c r="K36">
        <v>-6.2912824250516701</v>
      </c>
      <c r="L36" t="s">
        <v>29</v>
      </c>
      <c r="M36">
        <v>9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U36" t="s">
        <v>24</v>
      </c>
      <c r="V36">
        <f>COUNTIFS(L2:L468,"syns",M2:M468,U36,E2:E468,V31)/COUNTIF(L:L,"syns")</f>
        <v>0.16666666666666666</v>
      </c>
      <c r="W36">
        <f>COUNTIFS(L2:L468,"syns",M2:M468,U36,E2:E468,W31)/COUNTIF(L:L,"syns")</f>
        <v>0.61507936507936511</v>
      </c>
      <c r="X36">
        <f>COUNTIFS(L2:L468,"syns",M2:M468,U36,E2:E468,X31)/COUNTIF(L:L,"syns")</f>
        <v>0.67460317460317465</v>
      </c>
      <c r="Y36">
        <f>COUNTIFS(L2:L468,"syns",M2:M468,U36,E2:E468,Y31)/COUNTIF(L:L,"syns")</f>
        <v>0.69047619047619047</v>
      </c>
      <c r="Z36">
        <f>COUNTIFS(L2:L468,"syns",M2:M468,U36,E2:E468,Z31)/COUNTIF(L:L,"syns")</f>
        <v>0.69841269841269837</v>
      </c>
      <c r="AA36">
        <f>COUNTIFS(L2:L468,"syns",M2:M468,U36,E2:E468,AA31)/COUNTIF(L:L,"syns")</f>
        <v>0.69841269841269837</v>
      </c>
      <c r="AB36">
        <f>COUNTIFS(L2:L468,"syns",M2:M468,U36,E2:E468,AB31)/COUNTIF(L:L,"syns")</f>
        <v>0.72222222222222221</v>
      </c>
    </row>
    <row r="37" spans="1:28" ht="17" x14ac:dyDescent="0.25">
      <c r="A37">
        <v>29303</v>
      </c>
      <c r="B37" t="s">
        <v>10</v>
      </c>
      <c r="C37">
        <v>1</v>
      </c>
      <c r="D37">
        <v>0.120438333675895</v>
      </c>
      <c r="E37">
        <v>258</v>
      </c>
      <c r="F37">
        <v>0.120438333675895</v>
      </c>
      <c r="G37">
        <v>0.19463947499620801</v>
      </c>
      <c r="H37">
        <v>0.29854496723009799</v>
      </c>
      <c r="I37">
        <v>15.354189167022399</v>
      </c>
      <c r="J37">
        <v>2.37136833076167</v>
      </c>
      <c r="K37">
        <v>-6.4240340210892102</v>
      </c>
      <c r="L37" t="s">
        <v>29</v>
      </c>
      <c r="M37">
        <v>13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W37" s="8"/>
      <c r="X37" s="8"/>
      <c r="Y37" s="8"/>
      <c r="Z37" s="8"/>
      <c r="AA37" s="8"/>
      <c r="AB37" s="8"/>
    </row>
    <row r="38" spans="1:28" x14ac:dyDescent="0.2">
      <c r="A38">
        <v>29306</v>
      </c>
      <c r="B38" t="s">
        <v>10</v>
      </c>
      <c r="C38">
        <v>27</v>
      </c>
      <c r="D38">
        <v>0.17344876290668201</v>
      </c>
      <c r="E38">
        <v>179</v>
      </c>
      <c r="F38">
        <v>0.17344876290668201</v>
      </c>
      <c r="G38">
        <v>0.30195419723334499</v>
      </c>
      <c r="H38">
        <v>0.224772438046627</v>
      </c>
      <c r="I38">
        <v>15.283786819703</v>
      </c>
      <c r="J38">
        <v>2.6596773520960801</v>
      </c>
      <c r="K38">
        <v>-5.68126733300487</v>
      </c>
      <c r="L38" t="s">
        <v>29</v>
      </c>
      <c r="M38">
        <v>14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U38" s="2" t="s">
        <v>25</v>
      </c>
    </row>
    <row r="39" spans="1:28" x14ac:dyDescent="0.2">
      <c r="A39">
        <v>29320</v>
      </c>
      <c r="B39" t="s">
        <v>10</v>
      </c>
      <c r="C39">
        <v>232.5</v>
      </c>
      <c r="D39">
        <v>0.17700539470830601</v>
      </c>
      <c r="E39">
        <v>315</v>
      </c>
      <c r="F39">
        <v>0.17700539470830601</v>
      </c>
      <c r="G39">
        <v>0.13068204421497201</v>
      </c>
      <c r="H39">
        <v>0.21144012959081701</v>
      </c>
      <c r="I39">
        <v>7.3661290256994096</v>
      </c>
      <c r="J39">
        <v>1.1498755017904301</v>
      </c>
      <c r="K39">
        <v>-6.2520886998611198</v>
      </c>
      <c r="L39" t="s">
        <v>29</v>
      </c>
      <c r="M39">
        <v>9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U39" s="3"/>
      <c r="V39" s="3" t="s">
        <v>35</v>
      </c>
      <c r="W39" s="3" t="s">
        <v>30</v>
      </c>
      <c r="X39" s="3" t="s">
        <v>36</v>
      </c>
      <c r="Y39" s="3" t="s">
        <v>31</v>
      </c>
      <c r="Z39" s="3" t="s">
        <v>32</v>
      </c>
      <c r="AA39" s="3" t="s">
        <v>33</v>
      </c>
      <c r="AB39" s="3" t="s">
        <v>34</v>
      </c>
    </row>
    <row r="40" spans="1:28" ht="17" x14ac:dyDescent="0.25">
      <c r="A40">
        <v>29332</v>
      </c>
      <c r="B40" t="s">
        <v>10</v>
      </c>
      <c r="C40">
        <v>33</v>
      </c>
      <c r="D40">
        <v>6.4297279222151699E-2</v>
      </c>
      <c r="E40">
        <v>313</v>
      </c>
      <c r="F40">
        <v>6.4297279222151699E-2</v>
      </c>
      <c r="G40">
        <v>0.19745114357770399</v>
      </c>
      <c r="H40">
        <v>0.191908840948079</v>
      </c>
      <c r="I40">
        <v>9.5744061452648292</v>
      </c>
      <c r="J40">
        <v>1.5587332059862999</v>
      </c>
      <c r="K40">
        <v>-6.1011780781465301</v>
      </c>
      <c r="L40" t="s">
        <v>29</v>
      </c>
      <c r="M40">
        <v>11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U40" t="s">
        <v>20</v>
      </c>
      <c r="V40" s="8"/>
      <c r="W40" s="8"/>
      <c r="X40" s="8"/>
      <c r="Y40" s="8"/>
      <c r="Z40" s="8"/>
      <c r="AA40" s="8"/>
      <c r="AB40" s="8"/>
    </row>
    <row r="41" spans="1:28" ht="17" x14ac:dyDescent="0.25">
      <c r="A41">
        <v>29346</v>
      </c>
      <c r="B41" t="s">
        <v>10</v>
      </c>
      <c r="C41">
        <v>433</v>
      </c>
      <c r="D41">
        <v>5.9976015752694199E-2</v>
      </c>
      <c r="E41">
        <v>345</v>
      </c>
      <c r="F41">
        <v>5.9976015752694199E-2</v>
      </c>
      <c r="G41">
        <v>0.35171446487403202</v>
      </c>
      <c r="H41">
        <v>0.121216425124494</v>
      </c>
      <c r="I41">
        <v>10.5362046625162</v>
      </c>
      <c r="J41">
        <v>1.8043652829719801</v>
      </c>
      <c r="K41">
        <v>-5.8060464505878802</v>
      </c>
      <c r="L41" t="s">
        <v>29</v>
      </c>
      <c r="M41">
        <v>9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U41" t="s">
        <v>21</v>
      </c>
      <c r="V41" s="8"/>
      <c r="W41" s="8"/>
      <c r="X41" s="8"/>
      <c r="Y41" s="8"/>
      <c r="Z41" s="8"/>
      <c r="AA41" s="8"/>
      <c r="AB41" s="8"/>
    </row>
    <row r="42" spans="1:28" ht="17" x14ac:dyDescent="0.25">
      <c r="A42">
        <v>29352</v>
      </c>
      <c r="B42" t="s">
        <v>10</v>
      </c>
      <c r="C42">
        <v>65.5</v>
      </c>
      <c r="D42">
        <v>3.6111086665218402E-2</v>
      </c>
      <c r="E42">
        <v>332</v>
      </c>
      <c r="F42">
        <v>3.6111086665218402E-2</v>
      </c>
      <c r="G42">
        <v>0.31254258916316602</v>
      </c>
      <c r="H42">
        <v>0.32182633882412998</v>
      </c>
      <c r="I42">
        <v>24.204082463432702</v>
      </c>
      <c r="J42">
        <v>4.3465692862339802</v>
      </c>
      <c r="K42">
        <v>-5.5602406829933297</v>
      </c>
      <c r="L42" t="s">
        <v>29</v>
      </c>
      <c r="M42">
        <v>26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U42" t="s">
        <v>22</v>
      </c>
      <c r="V42" s="8"/>
      <c r="W42" s="8"/>
      <c r="X42" s="8"/>
      <c r="Y42" s="8"/>
      <c r="Z42" s="8"/>
      <c r="AA42" s="8"/>
      <c r="AB42" s="8"/>
    </row>
    <row r="43" spans="1:28" ht="17" x14ac:dyDescent="0.25">
      <c r="A43">
        <v>29367</v>
      </c>
      <c r="B43" t="s">
        <v>10</v>
      </c>
      <c r="C43">
        <v>42.5</v>
      </c>
      <c r="D43">
        <v>2.5899022437075699E-2</v>
      </c>
      <c r="E43">
        <v>429</v>
      </c>
      <c r="F43">
        <v>2.5899022437075699E-2</v>
      </c>
      <c r="G43">
        <v>0.29950818962896703</v>
      </c>
      <c r="H43">
        <v>1.13845073572607E-2</v>
      </c>
      <c r="I43">
        <v>0.885182957020623</v>
      </c>
      <c r="J43">
        <v>0.13318671976358501</v>
      </c>
      <c r="K43">
        <v>-6.4517238363467104</v>
      </c>
      <c r="L43" t="s">
        <v>29</v>
      </c>
      <c r="M43">
        <v>9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U43" t="s">
        <v>23</v>
      </c>
      <c r="V43" s="8"/>
      <c r="W43" s="8"/>
      <c r="X43" s="8"/>
      <c r="Y43" s="8"/>
      <c r="Z43" s="8"/>
      <c r="AA43" s="8"/>
      <c r="AB43" s="8"/>
    </row>
    <row r="44" spans="1:28" ht="17" x14ac:dyDescent="0.25">
      <c r="A44">
        <v>29403</v>
      </c>
      <c r="B44" t="s">
        <v>10</v>
      </c>
      <c r="C44">
        <v>302</v>
      </c>
      <c r="D44">
        <v>0.26621601497853298</v>
      </c>
      <c r="E44">
        <v>378</v>
      </c>
      <c r="F44">
        <v>0.26621601497853298</v>
      </c>
      <c r="G44">
        <v>0.27622672486597399</v>
      </c>
      <c r="H44">
        <v>0.225749808658295</v>
      </c>
      <c r="I44">
        <v>16.3389810878984</v>
      </c>
      <c r="J44">
        <v>2.5267218816432102</v>
      </c>
      <c r="K44">
        <v>-6.3611136586458299</v>
      </c>
      <c r="L44" t="s">
        <v>29</v>
      </c>
      <c r="M44">
        <v>14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U44" t="s">
        <v>24</v>
      </c>
      <c r="V44" s="8"/>
      <c r="W44" s="8"/>
      <c r="X44" s="8"/>
      <c r="Y44" s="8"/>
      <c r="Z44" s="8"/>
      <c r="AA44" s="8"/>
      <c r="AB44" s="8"/>
    </row>
    <row r="45" spans="1:28" x14ac:dyDescent="0.2">
      <c r="A45">
        <v>29408</v>
      </c>
      <c r="B45" t="s">
        <v>10</v>
      </c>
      <c r="C45">
        <v>147.5</v>
      </c>
      <c r="D45">
        <v>6.3014021006738002E-2</v>
      </c>
      <c r="E45">
        <v>589</v>
      </c>
      <c r="F45">
        <v>6.3014021006738002E-2</v>
      </c>
      <c r="G45">
        <v>0.193545293379353</v>
      </c>
      <c r="H45">
        <v>0.19278330838013</v>
      </c>
      <c r="I45">
        <v>1.13009926595246</v>
      </c>
      <c r="J45">
        <v>0.21450763658921099</v>
      </c>
      <c r="K45">
        <v>-4.9745792826444699</v>
      </c>
      <c r="L45" t="s">
        <v>29</v>
      </c>
      <c r="M45">
        <v>10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</row>
    <row r="46" spans="1:28" x14ac:dyDescent="0.2">
      <c r="A46">
        <v>29426</v>
      </c>
      <c r="B46" t="s">
        <v>10</v>
      </c>
      <c r="C46">
        <v>4.5</v>
      </c>
      <c r="D46">
        <v>3.5798436564220902E-2</v>
      </c>
      <c r="E46">
        <v>751</v>
      </c>
      <c r="F46">
        <v>3.5798436564220902E-2</v>
      </c>
      <c r="G46">
        <v>9.24689716314092E-2</v>
      </c>
      <c r="H46">
        <v>0.17247841678617201</v>
      </c>
      <c r="I46">
        <v>3.1582453937376398</v>
      </c>
      <c r="J46">
        <v>0.65097295547455203</v>
      </c>
      <c r="K46">
        <v>-4.7965847596498001</v>
      </c>
      <c r="L46" t="s">
        <v>29</v>
      </c>
      <c r="M46">
        <v>19</v>
      </c>
      <c r="N46" t="b">
        <v>1</v>
      </c>
      <c r="O46" t="b">
        <v>1</v>
      </c>
      <c r="P46" t="b">
        <v>1</v>
      </c>
      <c r="Q46" t="b">
        <v>1</v>
      </c>
      <c r="R46" t="b">
        <v>0</v>
      </c>
      <c r="U46" s="3" t="s">
        <v>26</v>
      </c>
    </row>
    <row r="47" spans="1:28" x14ac:dyDescent="0.2">
      <c r="A47">
        <v>29434</v>
      </c>
      <c r="B47" t="s">
        <v>10</v>
      </c>
      <c r="C47">
        <v>0</v>
      </c>
      <c r="D47">
        <v>0.163240495137047</v>
      </c>
      <c r="E47">
        <v>388</v>
      </c>
      <c r="F47">
        <v>0.163240495137047</v>
      </c>
      <c r="G47">
        <v>0.233828644354099</v>
      </c>
      <c r="H47">
        <v>0.22332680256526199</v>
      </c>
      <c r="I47">
        <v>13.9896659022252</v>
      </c>
      <c r="J47">
        <v>2.1277013706005299</v>
      </c>
      <c r="K47">
        <v>-6.4982922876933999</v>
      </c>
      <c r="L47" t="s">
        <v>29</v>
      </c>
      <c r="M47">
        <v>22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U47" s="3"/>
      <c r="V47" s="3" t="s">
        <v>35</v>
      </c>
      <c r="W47" s="3" t="s">
        <v>30</v>
      </c>
      <c r="X47" s="3" t="s">
        <v>36</v>
      </c>
      <c r="Y47" s="3" t="s">
        <v>31</v>
      </c>
      <c r="Z47" s="3" t="s">
        <v>32</v>
      </c>
      <c r="AA47" s="3" t="s">
        <v>33</v>
      </c>
      <c r="AB47" s="3" t="s">
        <v>34</v>
      </c>
    </row>
    <row r="48" spans="1:28" x14ac:dyDescent="0.2">
      <c r="A48">
        <v>29436</v>
      </c>
      <c r="B48" t="s">
        <v>10</v>
      </c>
      <c r="C48">
        <v>465</v>
      </c>
      <c r="D48">
        <v>3.5892958223525499E-2</v>
      </c>
      <c r="E48">
        <v>318</v>
      </c>
      <c r="F48">
        <v>3.5892958223525499E-2</v>
      </c>
      <c r="G48">
        <v>0.20804615733491799</v>
      </c>
      <c r="H48">
        <v>0.137302529097868</v>
      </c>
      <c r="I48">
        <v>7.6007026668228699</v>
      </c>
      <c r="J48">
        <v>1.17553301871572</v>
      </c>
      <c r="K48">
        <v>-6.4352166958814898</v>
      </c>
      <c r="L48" t="s">
        <v>29</v>
      </c>
      <c r="M48">
        <v>20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U48" t="s">
        <v>20</v>
      </c>
      <c r="V48" s="4"/>
      <c r="W48" s="4"/>
      <c r="X48" s="4"/>
      <c r="Y48" s="4"/>
      <c r="Z48" s="4"/>
      <c r="AA48" s="4"/>
      <c r="AB48" s="4"/>
    </row>
    <row r="49" spans="1:28" x14ac:dyDescent="0.2">
      <c r="A49">
        <v>29457</v>
      </c>
      <c r="B49" t="s">
        <v>10</v>
      </c>
      <c r="C49">
        <v>451.5</v>
      </c>
      <c r="D49">
        <v>0.113284409234615</v>
      </c>
      <c r="E49">
        <v>294</v>
      </c>
      <c r="F49">
        <v>0.113284409234615</v>
      </c>
      <c r="G49">
        <v>0.250369363979563</v>
      </c>
      <c r="H49">
        <v>0.20619384528684101</v>
      </c>
      <c r="I49">
        <v>12.506095688621199</v>
      </c>
      <c r="J49">
        <v>2.1560301934283399</v>
      </c>
      <c r="K49">
        <v>-5.7479766828685204</v>
      </c>
      <c r="L49" s="5" t="s">
        <v>29</v>
      </c>
      <c r="M49" s="5">
        <v>14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U49" t="s">
        <v>21</v>
      </c>
      <c r="V49" s="4"/>
      <c r="W49" s="4"/>
      <c r="X49" s="4"/>
      <c r="Y49" s="4"/>
      <c r="Z49" s="4"/>
      <c r="AA49" s="4"/>
      <c r="AB49" s="4"/>
    </row>
    <row r="50" spans="1:28" x14ac:dyDescent="0.2">
      <c r="A50">
        <v>29463</v>
      </c>
      <c r="B50" t="s">
        <v>10</v>
      </c>
      <c r="C50">
        <v>824.5</v>
      </c>
      <c r="D50">
        <v>0.140466464669702</v>
      </c>
      <c r="E50">
        <v>341</v>
      </c>
      <c r="F50">
        <v>0.140466464669702</v>
      </c>
      <c r="G50">
        <v>0.35100011217640498</v>
      </c>
      <c r="H50">
        <v>0.285818346978639</v>
      </c>
      <c r="I50">
        <v>26.958326188523099</v>
      </c>
      <c r="J50">
        <v>4.2591604169167603</v>
      </c>
      <c r="K50">
        <v>-6.2965131854007597</v>
      </c>
      <c r="L50" t="s">
        <v>29</v>
      </c>
      <c r="M50">
        <v>17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U50" t="s">
        <v>22</v>
      </c>
      <c r="V50" s="4"/>
      <c r="W50" s="4"/>
      <c r="X50" s="4"/>
      <c r="Y50" s="4"/>
      <c r="Z50" s="4"/>
      <c r="AA50" s="4"/>
      <c r="AB50" s="4"/>
    </row>
    <row r="51" spans="1:28" x14ac:dyDescent="0.2">
      <c r="A51">
        <v>29485</v>
      </c>
      <c r="B51" t="s">
        <v>10</v>
      </c>
      <c r="C51">
        <v>141</v>
      </c>
      <c r="D51">
        <v>0.198626953822439</v>
      </c>
      <c r="E51">
        <v>318</v>
      </c>
      <c r="F51">
        <v>0.198626953822439</v>
      </c>
      <c r="G51">
        <v>0.326768171910785</v>
      </c>
      <c r="H51">
        <v>6.2269038463240202E-2</v>
      </c>
      <c r="I51">
        <v>5.4357425397999899</v>
      </c>
      <c r="J51">
        <v>0.819124739211888</v>
      </c>
      <c r="K51">
        <v>-6.3935507441960402</v>
      </c>
      <c r="L51" t="s">
        <v>29</v>
      </c>
      <c r="M51">
        <v>17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U51" t="s">
        <v>23</v>
      </c>
      <c r="V51" s="4"/>
      <c r="W51" s="4"/>
      <c r="X51" s="4"/>
      <c r="Y51" s="4"/>
      <c r="Z51" s="4"/>
      <c r="AA51" s="4"/>
      <c r="AB51" s="4"/>
    </row>
    <row r="52" spans="1:28" x14ac:dyDescent="0.2">
      <c r="A52">
        <v>29489</v>
      </c>
      <c r="B52" t="s">
        <v>10</v>
      </c>
      <c r="C52">
        <v>1697.44873046875</v>
      </c>
      <c r="D52">
        <v>0.43458472376356799</v>
      </c>
      <c r="E52">
        <v>415</v>
      </c>
      <c r="F52">
        <v>0.43458472376356799</v>
      </c>
      <c r="G52">
        <v>0.33242347787903898</v>
      </c>
      <c r="H52">
        <v>0.191506460771555</v>
      </c>
      <c r="I52">
        <v>17.385084480242401</v>
      </c>
      <c r="J52">
        <v>2.5935512829651102</v>
      </c>
      <c r="K52">
        <v>-6.5356331559019498</v>
      </c>
      <c r="L52" t="s">
        <v>29</v>
      </c>
      <c r="M52">
        <v>9</v>
      </c>
      <c r="N52" t="b">
        <v>1</v>
      </c>
      <c r="O52" t="b">
        <v>0</v>
      </c>
      <c r="P52" t="b">
        <v>1</v>
      </c>
      <c r="Q52" t="b">
        <v>1</v>
      </c>
      <c r="R52" t="b">
        <v>1</v>
      </c>
      <c r="U52" t="s">
        <v>24</v>
      </c>
      <c r="V52" s="4"/>
      <c r="W52" s="4"/>
      <c r="X52" s="4"/>
      <c r="Y52" s="4"/>
      <c r="Z52" s="4"/>
      <c r="AA52" s="4"/>
      <c r="AB52" s="4"/>
    </row>
    <row r="53" spans="1:28" x14ac:dyDescent="0.2">
      <c r="A53">
        <v>29497</v>
      </c>
      <c r="B53" t="s">
        <v>10</v>
      </c>
      <c r="C53">
        <v>39</v>
      </c>
      <c r="D53">
        <v>8.1513435682803101E-2</v>
      </c>
      <c r="E53">
        <v>427</v>
      </c>
      <c r="F53">
        <v>8.1513435682803101E-2</v>
      </c>
      <c r="G53">
        <v>0.18968463825335699</v>
      </c>
      <c r="H53">
        <v>0.20346045109227601</v>
      </c>
      <c r="I53">
        <v>7.5806144093299697</v>
      </c>
      <c r="J53">
        <v>1.7757852497362501</v>
      </c>
      <c r="K53">
        <v>-4.2229773981741197</v>
      </c>
      <c r="L53" t="s">
        <v>29</v>
      </c>
      <c r="M53">
        <v>9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</row>
    <row r="54" spans="1:28" x14ac:dyDescent="0.2">
      <c r="A54">
        <v>29514</v>
      </c>
      <c r="B54" t="s">
        <v>10</v>
      </c>
      <c r="C54">
        <v>25.5</v>
      </c>
      <c r="D54">
        <v>1.24680132070918E-2</v>
      </c>
      <c r="E54">
        <v>339</v>
      </c>
      <c r="F54">
        <v>1.24680132070918E-2</v>
      </c>
      <c r="G54">
        <v>0.30409262271266702</v>
      </c>
      <c r="H54">
        <v>6.6394780632611002E-3</v>
      </c>
      <c r="I54">
        <v>0.51961047061048504</v>
      </c>
      <c r="J54">
        <v>8.1550645060323196E-2</v>
      </c>
      <c r="K54">
        <v>-6.21874243947744</v>
      </c>
      <c r="L54" t="s">
        <v>29</v>
      </c>
      <c r="M54">
        <v>13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</row>
    <row r="55" spans="1:28" x14ac:dyDescent="0.2">
      <c r="A55">
        <v>29526</v>
      </c>
      <c r="B55" t="s">
        <v>10</v>
      </c>
      <c r="C55">
        <v>16</v>
      </c>
      <c r="D55">
        <v>6.37392994409504E-2</v>
      </c>
      <c r="E55">
        <v>393</v>
      </c>
      <c r="F55">
        <v>6.37392994409504E-2</v>
      </c>
      <c r="G55">
        <v>0.30565045695520598</v>
      </c>
      <c r="H55">
        <v>0.363282394889203</v>
      </c>
      <c r="I55">
        <v>21.327129955315201</v>
      </c>
      <c r="J55">
        <v>3.56625412681118</v>
      </c>
      <c r="K55">
        <v>-5.9623879566000699</v>
      </c>
      <c r="L55" t="s">
        <v>29</v>
      </c>
      <c r="M55">
        <v>9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</row>
    <row r="56" spans="1:28" x14ac:dyDescent="0.2">
      <c r="A56">
        <v>29530</v>
      </c>
      <c r="B56" t="s">
        <v>10</v>
      </c>
      <c r="C56">
        <v>48</v>
      </c>
      <c r="D56">
        <v>0.43360487225670502</v>
      </c>
      <c r="E56">
        <v>218</v>
      </c>
      <c r="F56">
        <v>0.43360487225670502</v>
      </c>
      <c r="G56">
        <v>0.19311781326084501</v>
      </c>
      <c r="H56">
        <v>0.243952254179023</v>
      </c>
      <c r="I56">
        <v>9.9400387223326696</v>
      </c>
      <c r="J56">
        <v>1.89196554595753</v>
      </c>
      <c r="K56">
        <v>-5.0246337045554998</v>
      </c>
      <c r="L56" t="s">
        <v>29</v>
      </c>
      <c r="M56">
        <v>18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</row>
    <row r="57" spans="1:28" x14ac:dyDescent="0.2">
      <c r="A57">
        <v>29535</v>
      </c>
      <c r="B57" t="s">
        <v>10</v>
      </c>
      <c r="C57">
        <v>6.5</v>
      </c>
      <c r="D57">
        <v>0.29985560111077902</v>
      </c>
      <c r="E57">
        <v>377</v>
      </c>
      <c r="F57">
        <v>0.29985560111077902</v>
      </c>
      <c r="G57">
        <v>0.229971249490345</v>
      </c>
      <c r="H57">
        <v>0.24501028628518701</v>
      </c>
      <c r="I57">
        <v>11.4144789105159</v>
      </c>
      <c r="J57">
        <v>2.0898987141807801</v>
      </c>
      <c r="K57">
        <v>-5.3182593175392201</v>
      </c>
      <c r="L57" s="5" t="s">
        <v>29</v>
      </c>
      <c r="M57" s="5">
        <v>9</v>
      </c>
      <c r="N57" t="b">
        <v>1</v>
      </c>
      <c r="O57" t="b">
        <v>0</v>
      </c>
      <c r="P57" t="b">
        <v>1</v>
      </c>
      <c r="Q57" t="b">
        <v>1</v>
      </c>
      <c r="R57" t="b">
        <v>1</v>
      </c>
    </row>
    <row r="58" spans="1:28" x14ac:dyDescent="0.2">
      <c r="A58">
        <v>29544</v>
      </c>
      <c r="B58" t="s">
        <v>10</v>
      </c>
      <c r="C58">
        <v>1.5</v>
      </c>
      <c r="D58">
        <v>0.83291152244858802</v>
      </c>
      <c r="E58">
        <v>432</v>
      </c>
      <c r="F58">
        <v>0.83291152244858802</v>
      </c>
      <c r="G58">
        <v>0.187667273394308</v>
      </c>
      <c r="H58">
        <v>0.22088553563263499</v>
      </c>
      <c r="I58">
        <v>11.1253099747588</v>
      </c>
      <c r="J58">
        <v>1.6810501369334101</v>
      </c>
      <c r="K58">
        <v>-6.1226005258152298</v>
      </c>
      <c r="L58" t="s">
        <v>29</v>
      </c>
      <c r="M58">
        <v>9</v>
      </c>
      <c r="N58" t="b">
        <v>1</v>
      </c>
      <c r="O58" t="b">
        <v>0</v>
      </c>
      <c r="P58" t="b">
        <v>1</v>
      </c>
      <c r="Q58" t="b">
        <v>1</v>
      </c>
      <c r="R58" t="b">
        <v>1</v>
      </c>
    </row>
    <row r="59" spans="1:28" x14ac:dyDescent="0.2">
      <c r="A59">
        <v>29548</v>
      </c>
      <c r="B59" t="s">
        <v>10</v>
      </c>
      <c r="C59">
        <v>288</v>
      </c>
      <c r="D59">
        <v>5.21525392144154E-2</v>
      </c>
      <c r="E59">
        <v>289</v>
      </c>
      <c r="F59">
        <v>5.21525392144154E-2</v>
      </c>
      <c r="G59">
        <v>0.28637132914540497</v>
      </c>
      <c r="H59">
        <v>0.30362038404567498</v>
      </c>
      <c r="I59">
        <v>23.060074425861298</v>
      </c>
      <c r="J59">
        <v>3.7993206984496801</v>
      </c>
      <c r="K59">
        <v>-6.0557988421549398</v>
      </c>
      <c r="L59" t="s">
        <v>29</v>
      </c>
      <c r="M59">
        <v>14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</row>
    <row r="60" spans="1:28" x14ac:dyDescent="0.2">
      <c r="A60">
        <v>29571</v>
      </c>
      <c r="B60" t="s">
        <v>10</v>
      </c>
      <c r="C60">
        <v>336</v>
      </c>
      <c r="D60">
        <v>0.76347725651869303</v>
      </c>
      <c r="E60">
        <v>471</v>
      </c>
      <c r="F60">
        <v>0.76347725651869303</v>
      </c>
      <c r="G60">
        <v>0.21095638862483099</v>
      </c>
      <c r="H60">
        <v>0.24483018377137</v>
      </c>
      <c r="I60">
        <v>11.7999355129561</v>
      </c>
      <c r="J60">
        <v>2.22228764612733</v>
      </c>
      <c r="K60">
        <v>-4.9662600049413301</v>
      </c>
      <c r="L60" t="s">
        <v>29</v>
      </c>
      <c r="M60">
        <v>9</v>
      </c>
      <c r="N60" t="b">
        <v>1</v>
      </c>
      <c r="O60" t="b">
        <v>0</v>
      </c>
      <c r="P60" t="b">
        <v>1</v>
      </c>
      <c r="Q60" t="b">
        <v>1</v>
      </c>
      <c r="R60" t="b">
        <v>1</v>
      </c>
    </row>
    <row r="61" spans="1:28" x14ac:dyDescent="0.2">
      <c r="A61">
        <v>29578</v>
      </c>
      <c r="B61" t="s">
        <v>10</v>
      </c>
      <c r="C61">
        <v>638</v>
      </c>
      <c r="D61">
        <v>0.17117066741475301</v>
      </c>
      <c r="E61">
        <v>234</v>
      </c>
      <c r="F61">
        <v>0.17117066741475301</v>
      </c>
      <c r="G61">
        <v>0.195528588147587</v>
      </c>
      <c r="H61">
        <v>0.25392010575908203</v>
      </c>
      <c r="I61">
        <v>12.621201892457499</v>
      </c>
      <c r="J61">
        <v>1.91861945326396</v>
      </c>
      <c r="K61">
        <v>-6.4890571206617702</v>
      </c>
      <c r="L61" s="5" t="s">
        <v>29</v>
      </c>
      <c r="M61" s="5">
        <v>9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</row>
    <row r="62" spans="1:28" x14ac:dyDescent="0.2">
      <c r="A62">
        <v>29599</v>
      </c>
      <c r="B62" t="s">
        <v>10</v>
      </c>
      <c r="C62">
        <v>19179</v>
      </c>
      <c r="D62">
        <v>0.25270526217435002</v>
      </c>
      <c r="E62">
        <v>397</v>
      </c>
      <c r="F62">
        <v>0.25270526217435002</v>
      </c>
      <c r="G62">
        <v>0.29027129151111802</v>
      </c>
      <c r="H62">
        <v>0.12199081244656999</v>
      </c>
      <c r="I62">
        <v>6.6223897944085</v>
      </c>
      <c r="J62">
        <v>1.0369761305710199</v>
      </c>
      <c r="K62">
        <v>-6.1425565588733697</v>
      </c>
      <c r="L62" s="5" t="s">
        <v>29</v>
      </c>
      <c r="M62" s="5">
        <v>19</v>
      </c>
      <c r="N62" t="b">
        <v>1</v>
      </c>
      <c r="O62" t="b">
        <v>0</v>
      </c>
      <c r="P62" t="b">
        <v>1</v>
      </c>
      <c r="Q62" t="b">
        <v>1</v>
      </c>
      <c r="R62" t="b">
        <v>1</v>
      </c>
    </row>
    <row r="63" spans="1:28" x14ac:dyDescent="0.2">
      <c r="A63">
        <v>29696</v>
      </c>
      <c r="B63" t="s">
        <v>10</v>
      </c>
      <c r="C63">
        <v>6.5</v>
      </c>
      <c r="D63">
        <v>1.26695946914064E-2</v>
      </c>
      <c r="E63">
        <v>676</v>
      </c>
      <c r="F63">
        <v>1.26695946914064E-2</v>
      </c>
      <c r="G63">
        <v>6.0609455615239199E-2</v>
      </c>
      <c r="H63">
        <v>7.0132747459296901E-2</v>
      </c>
      <c r="I63">
        <v>1.0628171216693401</v>
      </c>
      <c r="J63">
        <v>0.17330179053823899</v>
      </c>
      <c r="K63">
        <v>-6.0596461451228798</v>
      </c>
      <c r="L63" s="5" t="s">
        <v>29</v>
      </c>
      <c r="M63" s="5">
        <v>18</v>
      </c>
      <c r="N63" t="b">
        <v>1</v>
      </c>
      <c r="O63" t="b">
        <v>1</v>
      </c>
      <c r="P63" t="b">
        <v>0</v>
      </c>
      <c r="Q63" t="b">
        <v>1</v>
      </c>
      <c r="R63" t="b">
        <v>0</v>
      </c>
    </row>
    <row r="64" spans="1:28" x14ac:dyDescent="0.2">
      <c r="A64">
        <v>29704</v>
      </c>
      <c r="B64" t="s">
        <v>10</v>
      </c>
      <c r="C64">
        <v>89.5</v>
      </c>
      <c r="D64">
        <v>6.3637805125269203E-2</v>
      </c>
      <c r="E64">
        <v>270</v>
      </c>
      <c r="F64">
        <v>6.3637805125269203E-2</v>
      </c>
      <c r="G64">
        <v>0.214178214534328</v>
      </c>
      <c r="H64">
        <v>0.19024641654294</v>
      </c>
      <c r="I64">
        <v>10.085160022427401</v>
      </c>
      <c r="J64">
        <v>1.7981368021416999</v>
      </c>
      <c r="K64">
        <v>-5.5732813017151397</v>
      </c>
      <c r="L64" t="s">
        <v>29</v>
      </c>
      <c r="M64">
        <v>10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</row>
    <row r="65" spans="1:18" x14ac:dyDescent="0.2">
      <c r="A65">
        <v>29711</v>
      </c>
      <c r="B65" t="s">
        <v>10</v>
      </c>
      <c r="C65">
        <v>4</v>
      </c>
      <c r="D65">
        <v>3.1512681715907903E-2</v>
      </c>
      <c r="E65">
        <v>270</v>
      </c>
      <c r="F65">
        <v>3.1512681715907903E-2</v>
      </c>
      <c r="G65">
        <v>5.1635384852888898E-2</v>
      </c>
      <c r="H65">
        <v>0.27000242609709502</v>
      </c>
      <c r="I65">
        <v>3.5022956317621698</v>
      </c>
      <c r="J65">
        <v>0.65643697360905895</v>
      </c>
      <c r="K65">
        <v>-5.2873056966368903</v>
      </c>
      <c r="L65" s="5" t="s">
        <v>29</v>
      </c>
      <c r="M65" s="5">
        <v>15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</row>
    <row r="66" spans="1:18" x14ac:dyDescent="0.2">
      <c r="A66">
        <v>29775</v>
      </c>
      <c r="B66" t="s">
        <v>10</v>
      </c>
      <c r="C66">
        <v>2250.5</v>
      </c>
      <c r="D66">
        <v>7.8671393472514395E-2</v>
      </c>
      <c r="E66">
        <v>429</v>
      </c>
      <c r="F66">
        <v>7.8671393472514395E-2</v>
      </c>
      <c r="G66">
        <v>0.173261110898564</v>
      </c>
      <c r="H66">
        <v>0.196981966503393</v>
      </c>
      <c r="I66">
        <v>8.8789891780011097</v>
      </c>
      <c r="J66">
        <v>1.34852731886</v>
      </c>
      <c r="K66">
        <v>-6.5258728254523604</v>
      </c>
      <c r="L66" t="s">
        <v>29</v>
      </c>
      <c r="M66">
        <v>14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</row>
    <row r="67" spans="1:18" x14ac:dyDescent="0.2">
      <c r="A67">
        <v>29784</v>
      </c>
      <c r="B67" t="s">
        <v>10</v>
      </c>
      <c r="C67">
        <v>90</v>
      </c>
      <c r="D67">
        <v>0.13525736465456001</v>
      </c>
      <c r="E67">
        <v>311</v>
      </c>
      <c r="F67">
        <v>0.13525736465456001</v>
      </c>
      <c r="G67">
        <v>0.17057490908529399</v>
      </c>
      <c r="H67">
        <v>0.23473127491218401</v>
      </c>
      <c r="I67">
        <v>9.1292221648454195</v>
      </c>
      <c r="J67">
        <v>1.7076329445071601</v>
      </c>
      <c r="K67">
        <v>-5.2669192340902002</v>
      </c>
      <c r="L67" s="5" t="s">
        <v>29</v>
      </c>
      <c r="M67" s="5">
        <v>10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</row>
    <row r="68" spans="1:18" x14ac:dyDescent="0.2">
      <c r="A68">
        <v>29818</v>
      </c>
      <c r="B68" t="s">
        <v>10</v>
      </c>
      <c r="C68">
        <v>0</v>
      </c>
      <c r="D68">
        <v>3.8209492703557099E-2</v>
      </c>
      <c r="E68">
        <v>345</v>
      </c>
      <c r="F68">
        <v>3.8209492703557099E-2</v>
      </c>
      <c r="G68">
        <v>0.26423916121347102</v>
      </c>
      <c r="H68">
        <v>1.04903070179155E-2</v>
      </c>
      <c r="I68">
        <v>0.720295958678982</v>
      </c>
      <c r="J68">
        <v>0.109562272472982</v>
      </c>
      <c r="K68">
        <v>-6.2255596801684199</v>
      </c>
      <c r="L68" s="5" t="s">
        <v>29</v>
      </c>
      <c r="M68" s="5">
        <v>14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</row>
    <row r="69" spans="1:18" x14ac:dyDescent="0.2">
      <c r="A69">
        <v>29844</v>
      </c>
      <c r="B69" t="s">
        <v>10</v>
      </c>
      <c r="C69">
        <v>28.5</v>
      </c>
      <c r="D69">
        <v>0.119072866755688</v>
      </c>
      <c r="E69">
        <v>331</v>
      </c>
      <c r="F69">
        <v>0.119072866755688</v>
      </c>
      <c r="G69">
        <v>0.171225238418656</v>
      </c>
      <c r="H69">
        <v>0.116683923590989</v>
      </c>
      <c r="I69">
        <v>4.8506907077213102</v>
      </c>
      <c r="J69">
        <v>0.85701953924694496</v>
      </c>
      <c r="K69">
        <v>-5.5210151277568897</v>
      </c>
      <c r="L69" t="s">
        <v>29</v>
      </c>
      <c r="M69">
        <v>17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</row>
    <row r="70" spans="1:18" x14ac:dyDescent="0.2">
      <c r="A70">
        <v>29851</v>
      </c>
      <c r="B70" t="s">
        <v>10</v>
      </c>
      <c r="C70">
        <v>276.5</v>
      </c>
      <c r="D70">
        <v>2.8111352074484699E-2</v>
      </c>
      <c r="E70">
        <v>447</v>
      </c>
      <c r="F70">
        <v>2.8111352074484699E-2</v>
      </c>
      <c r="G70">
        <v>0.30247218800671399</v>
      </c>
      <c r="H70">
        <v>2.1038621592805298E-2</v>
      </c>
      <c r="I70">
        <v>1.66378790673818</v>
      </c>
      <c r="J70">
        <v>0.26255140843951802</v>
      </c>
      <c r="K70">
        <v>-6.2299287000034802</v>
      </c>
      <c r="L70" t="s">
        <v>29</v>
      </c>
      <c r="M70">
        <v>10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</row>
    <row r="71" spans="1:18" x14ac:dyDescent="0.2">
      <c r="A71">
        <v>29863</v>
      </c>
      <c r="B71" t="s">
        <v>10</v>
      </c>
      <c r="C71">
        <v>282</v>
      </c>
      <c r="D71">
        <v>0.47189168269024001</v>
      </c>
      <c r="E71">
        <v>378</v>
      </c>
      <c r="F71">
        <v>0.47189168269024001</v>
      </c>
      <c r="G71">
        <v>0.274283458796445</v>
      </c>
      <c r="H71">
        <v>0.25925504393404802</v>
      </c>
      <c r="I71">
        <v>19.122571414439001</v>
      </c>
      <c r="J71">
        <v>2.9924482526495102</v>
      </c>
      <c r="K71">
        <v>-6.2325822059698002</v>
      </c>
      <c r="L71" t="s">
        <v>29</v>
      </c>
      <c r="M71">
        <v>14</v>
      </c>
      <c r="N71" t="b">
        <v>1</v>
      </c>
      <c r="O71" t="b">
        <v>0</v>
      </c>
      <c r="P71" t="b">
        <v>1</v>
      </c>
      <c r="Q71" t="b">
        <v>1</v>
      </c>
      <c r="R71" t="b">
        <v>1</v>
      </c>
    </row>
    <row r="72" spans="1:18" x14ac:dyDescent="0.2">
      <c r="A72">
        <v>29864</v>
      </c>
      <c r="B72" t="s">
        <v>10</v>
      </c>
      <c r="C72">
        <v>3910</v>
      </c>
      <c r="D72">
        <v>0.108762399622107</v>
      </c>
      <c r="E72">
        <v>333</v>
      </c>
      <c r="F72">
        <v>0.108762399622107</v>
      </c>
      <c r="G72">
        <v>0.25759931958245802</v>
      </c>
      <c r="H72">
        <v>0.27424586649856803</v>
      </c>
      <c r="I72">
        <v>15.457520346652601</v>
      </c>
      <c r="J72">
        <v>2.4996835771072599</v>
      </c>
      <c r="K72">
        <v>-6.1402803489203102</v>
      </c>
      <c r="L72" t="s">
        <v>29</v>
      </c>
      <c r="M72">
        <v>9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</row>
    <row r="73" spans="1:18" x14ac:dyDescent="0.2">
      <c r="A73">
        <v>29995</v>
      </c>
      <c r="B73" t="s">
        <v>10</v>
      </c>
      <c r="C73">
        <v>79.9997255199996</v>
      </c>
      <c r="D73">
        <v>0.11483119680269301</v>
      </c>
      <c r="E73">
        <v>316</v>
      </c>
      <c r="F73">
        <v>0.11483119680269301</v>
      </c>
      <c r="G73">
        <v>0.275898664846143</v>
      </c>
      <c r="H73">
        <v>0.24606226023161001</v>
      </c>
      <c r="I73">
        <v>10.911783555888</v>
      </c>
      <c r="J73">
        <v>2.0250780774125801</v>
      </c>
      <c r="K73">
        <v>-5.3316227554448004</v>
      </c>
      <c r="L73" t="s">
        <v>29</v>
      </c>
      <c r="M73">
        <v>12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</row>
    <row r="74" spans="1:18" x14ac:dyDescent="0.2">
      <c r="A74">
        <v>30159</v>
      </c>
      <c r="B74" t="s">
        <v>10</v>
      </c>
      <c r="C74">
        <v>4</v>
      </c>
      <c r="D74">
        <v>6.7669143077029897E-2</v>
      </c>
      <c r="E74">
        <v>277</v>
      </c>
      <c r="F74">
        <v>6.7669143077029897E-2</v>
      </c>
      <c r="G74">
        <v>0.20321091853789999</v>
      </c>
      <c r="H74">
        <v>0.26710244011981299</v>
      </c>
      <c r="I74">
        <v>13.2698046009499</v>
      </c>
      <c r="J74">
        <v>1.9731579185378001</v>
      </c>
      <c r="K74">
        <v>-6.6908661156002696</v>
      </c>
      <c r="L74" t="s">
        <v>29</v>
      </c>
      <c r="M74">
        <v>9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</row>
    <row r="75" spans="1:18" x14ac:dyDescent="0.2">
      <c r="A75">
        <v>30259</v>
      </c>
      <c r="B75" t="s">
        <v>10</v>
      </c>
      <c r="C75">
        <v>745</v>
      </c>
      <c r="D75">
        <v>0.19143832573959599</v>
      </c>
      <c r="E75">
        <v>408</v>
      </c>
      <c r="F75">
        <v>0.19143832573959599</v>
      </c>
      <c r="G75">
        <v>0.202543474141679</v>
      </c>
      <c r="H75">
        <v>0.186946013664086</v>
      </c>
      <c r="I75">
        <v>10.3206804189458</v>
      </c>
      <c r="J75">
        <v>1.5939522800861401</v>
      </c>
      <c r="K75">
        <v>-6.3547963259344504</v>
      </c>
      <c r="L75" t="s">
        <v>29</v>
      </c>
      <c r="M75">
        <v>12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</row>
    <row r="76" spans="1:18" x14ac:dyDescent="0.2">
      <c r="A76">
        <v>30642</v>
      </c>
      <c r="B76" t="s">
        <v>10</v>
      </c>
      <c r="C76">
        <v>209</v>
      </c>
      <c r="D76">
        <v>6.5343183507748606E-2</v>
      </c>
      <c r="E76">
        <v>268</v>
      </c>
      <c r="F76">
        <v>6.5343183507748606E-2</v>
      </c>
      <c r="G76">
        <v>0.23558737771201699</v>
      </c>
      <c r="H76">
        <v>0.26766793393989502</v>
      </c>
      <c r="I76">
        <v>15.3578027092447</v>
      </c>
      <c r="J76">
        <v>2.6209003030185301</v>
      </c>
      <c r="K76">
        <v>-5.8348116134461199</v>
      </c>
      <c r="L76" s="5" t="s">
        <v>29</v>
      </c>
      <c r="M76" s="5">
        <v>12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</row>
    <row r="77" spans="1:18" x14ac:dyDescent="0.2">
      <c r="A77">
        <v>30648</v>
      </c>
      <c r="B77" t="s">
        <v>10</v>
      </c>
      <c r="C77">
        <v>577.5</v>
      </c>
      <c r="D77">
        <v>0.321197329936111</v>
      </c>
      <c r="E77">
        <v>345</v>
      </c>
      <c r="F77">
        <v>0.321197329936111</v>
      </c>
      <c r="G77">
        <v>0.24971803373700799</v>
      </c>
      <c r="H77">
        <v>0.19253512049223001</v>
      </c>
      <c r="I77">
        <v>12.713044621641499</v>
      </c>
      <c r="J77">
        <v>1.9322941298840499</v>
      </c>
      <c r="K77">
        <v>-6.4130233074035399</v>
      </c>
      <c r="L77" t="s">
        <v>29</v>
      </c>
      <c r="M77">
        <v>9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</row>
    <row r="78" spans="1:18" x14ac:dyDescent="0.2">
      <c r="A78">
        <v>30650</v>
      </c>
      <c r="B78" t="s">
        <v>10</v>
      </c>
      <c r="C78">
        <v>5</v>
      </c>
      <c r="D78">
        <v>0.212549289045082</v>
      </c>
      <c r="E78">
        <v>352</v>
      </c>
      <c r="F78">
        <v>0.212549289045082</v>
      </c>
      <c r="G78">
        <v>0.25847301191323802</v>
      </c>
      <c r="H78">
        <v>0.36017976544172697</v>
      </c>
      <c r="I78">
        <v>21.406120815873201</v>
      </c>
      <c r="J78">
        <v>3.68254133553619</v>
      </c>
      <c r="K78">
        <v>-5.755148305414</v>
      </c>
      <c r="L78" t="s">
        <v>29</v>
      </c>
      <c r="M78">
        <v>9</v>
      </c>
      <c r="N78" t="b">
        <v>1</v>
      </c>
      <c r="O78" t="b">
        <v>0</v>
      </c>
      <c r="P78" t="b">
        <v>1</v>
      </c>
      <c r="Q78" t="b">
        <v>1</v>
      </c>
      <c r="R78" t="b">
        <v>1</v>
      </c>
    </row>
    <row r="79" spans="1:18" x14ac:dyDescent="0.2">
      <c r="A79">
        <v>30653</v>
      </c>
      <c r="B79" t="s">
        <v>10</v>
      </c>
      <c r="C79">
        <v>700</v>
      </c>
      <c r="D79">
        <v>0.115904823398834</v>
      </c>
      <c r="E79">
        <v>318</v>
      </c>
      <c r="F79">
        <v>0.115904823398834</v>
      </c>
      <c r="G79">
        <v>0.28163803164879597</v>
      </c>
      <c r="H79">
        <v>0.33772537349194298</v>
      </c>
      <c r="I79">
        <v>24.901512075554699</v>
      </c>
      <c r="J79">
        <v>3.8056289791765301</v>
      </c>
      <c r="K79">
        <v>-6.5128806270334296</v>
      </c>
      <c r="L79" t="s">
        <v>29</v>
      </c>
      <c r="M79">
        <v>21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</row>
    <row r="80" spans="1:18" x14ac:dyDescent="0.2">
      <c r="A80">
        <v>30658</v>
      </c>
      <c r="B80" t="s">
        <v>10</v>
      </c>
      <c r="C80">
        <v>275</v>
      </c>
      <c r="D80">
        <v>0.40285947323299698</v>
      </c>
      <c r="E80">
        <v>379</v>
      </c>
      <c r="F80">
        <v>0.40285947323299698</v>
      </c>
      <c r="G80">
        <v>0.263255508961725</v>
      </c>
      <c r="H80">
        <v>0.210433973967631</v>
      </c>
      <c r="I80">
        <v>9.0567699919032201</v>
      </c>
      <c r="J80">
        <v>1.6904774853109501</v>
      </c>
      <c r="K80">
        <v>-5.1192107519127399</v>
      </c>
      <c r="L80" t="s">
        <v>29</v>
      </c>
      <c r="M80">
        <v>10</v>
      </c>
      <c r="N80" t="b">
        <v>1</v>
      </c>
      <c r="O80" t="b">
        <v>0</v>
      </c>
      <c r="P80" t="b">
        <v>1</v>
      </c>
      <c r="Q80" t="b">
        <v>1</v>
      </c>
      <c r="R80" t="b">
        <v>1</v>
      </c>
    </row>
    <row r="81" spans="1:18" x14ac:dyDescent="0.2">
      <c r="A81">
        <v>30662</v>
      </c>
      <c r="B81" t="s">
        <v>10</v>
      </c>
      <c r="C81">
        <v>935</v>
      </c>
      <c r="D81">
        <v>0.16242993868772601</v>
      </c>
      <c r="E81">
        <v>350</v>
      </c>
      <c r="F81">
        <v>0.16242993868772601</v>
      </c>
      <c r="G81">
        <v>0.30098374262864003</v>
      </c>
      <c r="H81">
        <v>0.27781123076743802</v>
      </c>
      <c r="I81">
        <v>17.386688242681601</v>
      </c>
      <c r="J81">
        <v>3.7228470639242599</v>
      </c>
      <c r="K81">
        <v>-4.6266360149207202</v>
      </c>
      <c r="L81" t="s">
        <v>29</v>
      </c>
      <c r="M81">
        <v>10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</row>
    <row r="82" spans="1:18" x14ac:dyDescent="0.2">
      <c r="A82">
        <v>30679</v>
      </c>
      <c r="B82" t="s">
        <v>10</v>
      </c>
      <c r="C82">
        <v>306</v>
      </c>
      <c r="D82">
        <v>9.9111030938275294E-2</v>
      </c>
      <c r="E82">
        <v>266</v>
      </c>
      <c r="F82">
        <v>9.9111030938275294E-2</v>
      </c>
      <c r="G82">
        <v>0.22467197769760999</v>
      </c>
      <c r="H82">
        <v>0.213838792813932</v>
      </c>
      <c r="I82">
        <v>12.082804857208</v>
      </c>
      <c r="J82">
        <v>1.9332392821933</v>
      </c>
      <c r="K82">
        <v>-6.19876387607537</v>
      </c>
      <c r="L82" t="s">
        <v>29</v>
      </c>
      <c r="M82">
        <v>23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</row>
    <row r="83" spans="1:18" x14ac:dyDescent="0.2">
      <c r="A83">
        <v>30681</v>
      </c>
      <c r="B83" t="s">
        <v>10</v>
      </c>
      <c r="C83">
        <v>257</v>
      </c>
      <c r="D83">
        <v>1.03332131067731</v>
      </c>
      <c r="E83">
        <v>553</v>
      </c>
      <c r="F83">
        <v>1.03332131067731</v>
      </c>
      <c r="G83">
        <v>0.17095074347165701</v>
      </c>
      <c r="H83">
        <v>0.20425149804165799</v>
      </c>
      <c r="I83">
        <v>9.56814684115845</v>
      </c>
      <c r="J83">
        <v>1.51431490682987</v>
      </c>
      <c r="K83">
        <v>-5.6360968857846796</v>
      </c>
      <c r="L83" t="s">
        <v>29</v>
      </c>
      <c r="M83">
        <v>9</v>
      </c>
      <c r="N83" t="b">
        <v>1</v>
      </c>
      <c r="O83" t="b">
        <v>0</v>
      </c>
      <c r="P83" t="b">
        <v>1</v>
      </c>
      <c r="Q83" t="b">
        <v>1</v>
      </c>
      <c r="R83" t="b">
        <v>0</v>
      </c>
    </row>
    <row r="84" spans="1:18" x14ac:dyDescent="0.2">
      <c r="A84">
        <v>30686</v>
      </c>
      <c r="B84" t="s">
        <v>10</v>
      </c>
      <c r="C84">
        <v>56.5</v>
      </c>
      <c r="D84">
        <v>0.182794195421323</v>
      </c>
      <c r="E84">
        <v>370</v>
      </c>
      <c r="F84">
        <v>0.182794195421323</v>
      </c>
      <c r="G84">
        <v>0.26380146070335903</v>
      </c>
      <c r="H84">
        <v>0.21349498270374201</v>
      </c>
      <c r="I84">
        <v>12.5156126368295</v>
      </c>
      <c r="J84">
        <v>2.7187911084854202</v>
      </c>
      <c r="K84">
        <v>-4.5361404938088699</v>
      </c>
      <c r="L84" s="5" t="s">
        <v>29</v>
      </c>
      <c r="M84" s="5">
        <v>11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</row>
    <row r="85" spans="1:18" x14ac:dyDescent="0.2">
      <c r="A85">
        <v>30694</v>
      </c>
      <c r="B85" t="s">
        <v>10</v>
      </c>
      <c r="C85">
        <v>23.5</v>
      </c>
      <c r="D85">
        <v>7.1062333737525296E-2</v>
      </c>
      <c r="E85">
        <v>330</v>
      </c>
      <c r="F85">
        <v>7.1062333737525296E-2</v>
      </c>
      <c r="G85">
        <v>0.19873071532907799</v>
      </c>
      <c r="H85">
        <v>0.207389860869616</v>
      </c>
      <c r="I85">
        <v>8.1429910359431705</v>
      </c>
      <c r="J85">
        <v>1.4729825276494799</v>
      </c>
      <c r="K85">
        <v>-5.4799894436537997</v>
      </c>
      <c r="L85" s="5" t="s">
        <v>29</v>
      </c>
      <c r="M85" s="5">
        <v>9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</row>
    <row r="86" spans="1:18" x14ac:dyDescent="0.2">
      <c r="A86">
        <v>30721</v>
      </c>
      <c r="B86" t="s">
        <v>10</v>
      </c>
      <c r="C86">
        <v>1242</v>
      </c>
      <c r="D86">
        <v>7.9805468116564096E-2</v>
      </c>
      <c r="E86">
        <v>492</v>
      </c>
      <c r="F86">
        <v>7.9805468116564096E-2</v>
      </c>
      <c r="G86">
        <v>0.25914658291746201</v>
      </c>
      <c r="H86">
        <v>8.1254538761062201E-2</v>
      </c>
      <c r="I86">
        <v>4.3503023437340298</v>
      </c>
      <c r="J86">
        <v>0.91343063311231798</v>
      </c>
      <c r="K86">
        <v>-4.6752284418869001</v>
      </c>
      <c r="L86" t="s">
        <v>29</v>
      </c>
      <c r="M86">
        <v>10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</row>
    <row r="87" spans="1:18" x14ac:dyDescent="0.2">
      <c r="A87">
        <v>30725</v>
      </c>
      <c r="B87" t="s">
        <v>10</v>
      </c>
      <c r="C87">
        <v>21</v>
      </c>
      <c r="D87">
        <v>1.1676195192221099E-3</v>
      </c>
      <c r="E87">
        <v>1823</v>
      </c>
      <c r="F87">
        <v>1.1676195192221099E-3</v>
      </c>
      <c r="G87">
        <v>6.4464151250851398E-3</v>
      </c>
      <c r="H87">
        <v>3.69616310290252E-3</v>
      </c>
      <c r="I87">
        <v>3.5446630878425002E-3</v>
      </c>
      <c r="J87">
        <v>9.1805130107087095E-4</v>
      </c>
      <c r="K87">
        <v>-2.58922738396826</v>
      </c>
      <c r="L87" t="s">
        <v>29</v>
      </c>
      <c r="M87">
        <v>27</v>
      </c>
      <c r="N87" t="b">
        <v>1</v>
      </c>
      <c r="O87" t="b">
        <v>1</v>
      </c>
      <c r="P87" t="b">
        <v>0</v>
      </c>
      <c r="Q87" t="b">
        <v>1</v>
      </c>
      <c r="R87" t="b">
        <v>0</v>
      </c>
    </row>
    <row r="88" spans="1:18" x14ac:dyDescent="0.2">
      <c r="A88">
        <v>30756</v>
      </c>
      <c r="B88" t="s">
        <v>10</v>
      </c>
      <c r="C88">
        <v>1015</v>
      </c>
      <c r="D88">
        <v>0.426498803369119</v>
      </c>
      <c r="E88">
        <v>312</v>
      </c>
      <c r="F88">
        <v>0.426498803369119</v>
      </c>
      <c r="G88">
        <v>0.185557962573556</v>
      </c>
      <c r="H88">
        <v>0.22139417613693799</v>
      </c>
      <c r="I88">
        <v>10.7744824784019</v>
      </c>
      <c r="J88">
        <v>1.7047082298919201</v>
      </c>
      <c r="K88">
        <v>-6.0702374128203997</v>
      </c>
      <c r="L88" s="5" t="s">
        <v>29</v>
      </c>
      <c r="M88" s="5">
        <v>9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</row>
    <row r="89" spans="1:18" x14ac:dyDescent="0.2">
      <c r="A89">
        <v>30799</v>
      </c>
      <c r="B89" t="s">
        <v>10</v>
      </c>
      <c r="C89">
        <v>108.5</v>
      </c>
      <c r="D89">
        <v>0.20427349803726999</v>
      </c>
      <c r="E89">
        <v>318</v>
      </c>
      <c r="F89">
        <v>0.20427349803726999</v>
      </c>
      <c r="G89">
        <v>5.24786636965466E-2</v>
      </c>
      <c r="H89">
        <v>0.34229757258861698</v>
      </c>
      <c r="I89">
        <v>3.35963980255957</v>
      </c>
      <c r="J89">
        <v>0.70409084387733001</v>
      </c>
      <c r="K89">
        <v>-4.48147612195344</v>
      </c>
      <c r="L89" t="s">
        <v>29</v>
      </c>
      <c r="M89">
        <v>9</v>
      </c>
      <c r="N89" t="b">
        <v>1</v>
      </c>
      <c r="O89" t="b">
        <v>0</v>
      </c>
      <c r="P89" t="b">
        <v>1</v>
      </c>
      <c r="Q89" t="b">
        <v>1</v>
      </c>
      <c r="R89" t="b">
        <v>1</v>
      </c>
    </row>
    <row r="90" spans="1:18" x14ac:dyDescent="0.2">
      <c r="A90">
        <v>30838</v>
      </c>
      <c r="B90" t="s">
        <v>10</v>
      </c>
      <c r="C90">
        <v>148</v>
      </c>
      <c r="D90">
        <v>3.8229766624280001E-2</v>
      </c>
      <c r="E90">
        <v>279</v>
      </c>
      <c r="F90">
        <v>3.8229766624280001E-2</v>
      </c>
      <c r="G90">
        <v>0.22770852799072999</v>
      </c>
      <c r="H90">
        <v>0.17203911614154799</v>
      </c>
      <c r="I90">
        <v>7.4110815716396097</v>
      </c>
      <c r="J90">
        <v>1.1958765117533301</v>
      </c>
      <c r="K90">
        <v>-6.1652283764698002</v>
      </c>
      <c r="L90" t="s">
        <v>29</v>
      </c>
      <c r="M90">
        <v>13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</row>
    <row r="91" spans="1:18" x14ac:dyDescent="0.2">
      <c r="A91">
        <v>30883</v>
      </c>
      <c r="B91" t="s">
        <v>10</v>
      </c>
      <c r="C91">
        <v>54.5</v>
      </c>
      <c r="D91">
        <v>1.6229347959752002E-2</v>
      </c>
      <c r="E91">
        <v>374</v>
      </c>
      <c r="F91">
        <v>1.6229347959752002E-2</v>
      </c>
      <c r="G91">
        <v>8.9669623396811393E-2</v>
      </c>
      <c r="H91">
        <v>0.165524965003604</v>
      </c>
      <c r="I91">
        <v>4.0527226242920102</v>
      </c>
      <c r="J91">
        <v>0.60417476902437195</v>
      </c>
      <c r="K91">
        <v>-6.6810027218621402</v>
      </c>
      <c r="L91" s="5" t="s">
        <v>29</v>
      </c>
      <c r="M91" s="5">
        <v>15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</row>
    <row r="92" spans="1:18" x14ac:dyDescent="0.2">
      <c r="A92">
        <v>30889</v>
      </c>
      <c r="B92" t="s">
        <v>10</v>
      </c>
      <c r="C92">
        <v>1</v>
      </c>
      <c r="D92">
        <v>4.9916234710048697E-2</v>
      </c>
      <c r="E92">
        <v>728</v>
      </c>
      <c r="F92">
        <v>4.9916234710048697E-2</v>
      </c>
      <c r="G92">
        <v>0.19238503234475299</v>
      </c>
      <c r="H92">
        <v>0.20245705678457801</v>
      </c>
      <c r="I92">
        <v>9.8716033205158702</v>
      </c>
      <c r="J92">
        <v>1.5063022653568201</v>
      </c>
      <c r="K92">
        <v>-6.5203958804902999</v>
      </c>
      <c r="L92" t="s">
        <v>29</v>
      </c>
      <c r="M92">
        <v>11</v>
      </c>
      <c r="N92" t="b">
        <v>1</v>
      </c>
      <c r="O92" t="b">
        <v>1</v>
      </c>
      <c r="P92" t="b">
        <v>1</v>
      </c>
      <c r="Q92" t="b">
        <v>1</v>
      </c>
      <c r="R92" t="b">
        <v>0</v>
      </c>
    </row>
    <row r="93" spans="1:18" x14ac:dyDescent="0.2">
      <c r="A93">
        <v>30892</v>
      </c>
      <c r="B93" t="s">
        <v>10</v>
      </c>
      <c r="C93">
        <v>110</v>
      </c>
      <c r="D93">
        <v>0.27257188875376298</v>
      </c>
      <c r="E93">
        <v>409</v>
      </c>
      <c r="F93">
        <v>0.27257188875376298</v>
      </c>
      <c r="G93">
        <v>0.28516070470534699</v>
      </c>
      <c r="H93">
        <v>0.31561528901773001</v>
      </c>
      <c r="I93">
        <v>21.900917175753499</v>
      </c>
      <c r="J93">
        <v>3.6345678821554399</v>
      </c>
      <c r="K93">
        <v>-5.9507336190329303</v>
      </c>
      <c r="L93" t="s">
        <v>29</v>
      </c>
      <c r="M93">
        <v>10</v>
      </c>
      <c r="N93" t="b">
        <v>1</v>
      </c>
      <c r="O93" t="b">
        <v>0</v>
      </c>
      <c r="P93" t="b">
        <v>1</v>
      </c>
      <c r="Q93" t="b">
        <v>1</v>
      </c>
      <c r="R93" t="b">
        <v>1</v>
      </c>
    </row>
    <row r="94" spans="1:18" x14ac:dyDescent="0.2">
      <c r="A94">
        <v>30893</v>
      </c>
      <c r="B94" t="s">
        <v>10</v>
      </c>
      <c r="C94">
        <v>279</v>
      </c>
      <c r="D94">
        <v>8.1478657223112594E-2</v>
      </c>
      <c r="E94">
        <v>340</v>
      </c>
      <c r="F94">
        <v>8.1478657223112594E-2</v>
      </c>
      <c r="G94">
        <v>0.26629273096264999</v>
      </c>
      <c r="H94">
        <v>0.18383030769362199</v>
      </c>
      <c r="I94">
        <v>10.2751520840285</v>
      </c>
      <c r="J94">
        <v>1.84445650140922</v>
      </c>
      <c r="K94">
        <v>-5.5266542848893998</v>
      </c>
      <c r="L94" t="s">
        <v>29</v>
      </c>
      <c r="M94">
        <v>12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</row>
    <row r="95" spans="1:18" x14ac:dyDescent="0.2">
      <c r="A95">
        <v>30900</v>
      </c>
      <c r="B95" t="s">
        <v>10</v>
      </c>
      <c r="C95">
        <v>42.5</v>
      </c>
      <c r="D95">
        <v>0.12300337153034099</v>
      </c>
      <c r="E95">
        <v>426</v>
      </c>
      <c r="F95">
        <v>0.12300337153034099</v>
      </c>
      <c r="G95">
        <v>0.32477041120106198</v>
      </c>
      <c r="H95">
        <v>0.244427015982318</v>
      </c>
      <c r="I95">
        <v>20.8075494772444</v>
      </c>
      <c r="J95">
        <v>3.4728097048078901</v>
      </c>
      <c r="K95">
        <v>-5.9561415291708997</v>
      </c>
      <c r="L95" t="s">
        <v>29</v>
      </c>
      <c r="M95">
        <v>9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</row>
    <row r="96" spans="1:18" x14ac:dyDescent="0.2">
      <c r="A96">
        <v>30937</v>
      </c>
      <c r="B96" t="s">
        <v>10</v>
      </c>
      <c r="C96">
        <v>4.5</v>
      </c>
      <c r="D96">
        <v>0.23131181078242599</v>
      </c>
      <c r="E96">
        <v>254</v>
      </c>
      <c r="F96">
        <v>0.23131181078242599</v>
      </c>
      <c r="G96">
        <v>0.29310856590718198</v>
      </c>
      <c r="H96">
        <v>0.15616998000878701</v>
      </c>
      <c r="I96">
        <v>10.0721214074382</v>
      </c>
      <c r="J96">
        <v>1.98645664331358</v>
      </c>
      <c r="K96">
        <v>-4.9539513634893497</v>
      </c>
      <c r="L96" s="5" t="s">
        <v>29</v>
      </c>
      <c r="M96" s="5">
        <v>17</v>
      </c>
      <c r="N96" t="b">
        <v>1</v>
      </c>
      <c r="O96" t="b">
        <v>0</v>
      </c>
      <c r="P96" t="b">
        <v>1</v>
      </c>
      <c r="Q96" t="b">
        <v>1</v>
      </c>
      <c r="R96" t="b">
        <v>1</v>
      </c>
    </row>
    <row r="97" spans="1:18" x14ac:dyDescent="0.2">
      <c r="A97">
        <v>31065</v>
      </c>
      <c r="B97" t="s">
        <v>10</v>
      </c>
      <c r="C97">
        <v>241</v>
      </c>
      <c r="D97">
        <v>0.35195123134324702</v>
      </c>
      <c r="E97">
        <v>312</v>
      </c>
      <c r="F97">
        <v>0.35195123134324702</v>
      </c>
      <c r="G97">
        <v>0.320538264544242</v>
      </c>
      <c r="H97">
        <v>0.234951949495707</v>
      </c>
      <c r="I97">
        <v>14.1363033983826</v>
      </c>
      <c r="J97">
        <v>2.3854921170218901</v>
      </c>
      <c r="K97">
        <v>-5.7784102779799298</v>
      </c>
      <c r="L97" s="5" t="s">
        <v>29</v>
      </c>
      <c r="M97" s="5">
        <v>13</v>
      </c>
      <c r="N97" t="b">
        <v>1</v>
      </c>
      <c r="O97" t="b">
        <v>0</v>
      </c>
      <c r="P97" t="b">
        <v>1</v>
      </c>
      <c r="Q97" t="b">
        <v>1</v>
      </c>
      <c r="R97" t="b">
        <v>1</v>
      </c>
    </row>
    <row r="98" spans="1:18" x14ac:dyDescent="0.2">
      <c r="A98">
        <v>31076</v>
      </c>
      <c r="B98" t="s">
        <v>10</v>
      </c>
      <c r="C98">
        <v>1268.5</v>
      </c>
      <c r="D98">
        <v>0.18790888495119401</v>
      </c>
      <c r="E98">
        <v>288</v>
      </c>
      <c r="F98">
        <v>0.18790888495119401</v>
      </c>
      <c r="G98">
        <v>0.20295647330899499</v>
      </c>
      <c r="H98">
        <v>0.219707530695574</v>
      </c>
      <c r="I98">
        <v>11.669887158100099</v>
      </c>
      <c r="J98">
        <v>1.81743462639399</v>
      </c>
      <c r="K98">
        <v>-6.3176843372521203</v>
      </c>
      <c r="L98" t="s">
        <v>29</v>
      </c>
      <c r="M98">
        <v>9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</row>
    <row r="99" spans="1:18" x14ac:dyDescent="0.2">
      <c r="A99">
        <v>31236</v>
      </c>
      <c r="B99" t="s">
        <v>10</v>
      </c>
      <c r="C99">
        <v>40</v>
      </c>
      <c r="D99">
        <v>3.7570889284924899E-2</v>
      </c>
      <c r="E99">
        <v>391</v>
      </c>
      <c r="F99">
        <v>3.7570889284924899E-2</v>
      </c>
      <c r="G99">
        <v>0.26016767821375802</v>
      </c>
      <c r="H99">
        <v>0.20258184763052201</v>
      </c>
      <c r="I99">
        <v>12.2934343703004</v>
      </c>
      <c r="J99">
        <v>2.4905116892084198</v>
      </c>
      <c r="K99">
        <v>-4.92102226788215</v>
      </c>
      <c r="L99" t="s">
        <v>29</v>
      </c>
      <c r="M99">
        <v>9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</row>
    <row r="100" spans="1:18" x14ac:dyDescent="0.2">
      <c r="A100">
        <v>31403</v>
      </c>
      <c r="B100" t="s">
        <v>10</v>
      </c>
      <c r="C100">
        <v>157</v>
      </c>
      <c r="D100">
        <v>6.1192627301814101E-2</v>
      </c>
      <c r="E100">
        <v>394</v>
      </c>
      <c r="F100">
        <v>6.1192627301814101E-2</v>
      </c>
      <c r="G100">
        <v>0.22790531569819</v>
      </c>
      <c r="H100">
        <v>9.6560849673042196E-2</v>
      </c>
      <c r="I100">
        <v>5.2491840727363597</v>
      </c>
      <c r="J100">
        <v>0.98601663487230296</v>
      </c>
      <c r="K100">
        <v>-5.2615658417430504</v>
      </c>
      <c r="L100" t="s">
        <v>29</v>
      </c>
      <c r="M100">
        <v>16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</row>
    <row r="101" spans="1:18" x14ac:dyDescent="0.2">
      <c r="A101">
        <v>31406</v>
      </c>
      <c r="B101" t="s">
        <v>10</v>
      </c>
      <c r="C101">
        <v>4302</v>
      </c>
      <c r="D101">
        <v>0.10316756997721201</v>
      </c>
      <c r="E101">
        <v>277</v>
      </c>
      <c r="F101">
        <v>0.10316756997721201</v>
      </c>
      <c r="G101">
        <v>0.27117517839226701</v>
      </c>
      <c r="H101">
        <v>0.208823702483521</v>
      </c>
      <c r="I101">
        <v>14.735548534177401</v>
      </c>
      <c r="J101">
        <v>2.2601007373586901</v>
      </c>
      <c r="K101">
        <v>-6.4742162693600003</v>
      </c>
      <c r="L101" s="5" t="s">
        <v>29</v>
      </c>
      <c r="M101" s="5">
        <v>12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</row>
    <row r="102" spans="1:18" x14ac:dyDescent="0.2">
      <c r="A102">
        <v>31561</v>
      </c>
      <c r="B102" t="s">
        <v>10</v>
      </c>
      <c r="C102">
        <v>1</v>
      </c>
      <c r="D102">
        <v>3.1298591420470098E-4</v>
      </c>
      <c r="E102">
        <v>1909</v>
      </c>
      <c r="F102">
        <v>3.1298591420470098E-4</v>
      </c>
      <c r="G102">
        <v>2.2933822646858098E-3</v>
      </c>
      <c r="H102">
        <v>2.09559926834156E-3</v>
      </c>
      <c r="I102">
        <v>7.1427673099789602E-4</v>
      </c>
      <c r="J102">
        <v>1.86308817737597E-4</v>
      </c>
      <c r="K102">
        <v>-2.15390136476731</v>
      </c>
      <c r="L102" t="s">
        <v>29</v>
      </c>
      <c r="M102">
        <v>16</v>
      </c>
      <c r="N102" t="b">
        <v>1</v>
      </c>
      <c r="O102" t="b">
        <v>1</v>
      </c>
      <c r="P102" t="b">
        <v>0</v>
      </c>
      <c r="Q102" t="b">
        <v>1</v>
      </c>
      <c r="R102" t="b">
        <v>0</v>
      </c>
    </row>
    <row r="103" spans="1:18" x14ac:dyDescent="0.2">
      <c r="A103">
        <v>31887</v>
      </c>
      <c r="B103" t="s">
        <v>10</v>
      </c>
      <c r="C103">
        <v>48</v>
      </c>
      <c r="D103">
        <v>2.2246993478202901E-2</v>
      </c>
      <c r="E103">
        <v>1914</v>
      </c>
      <c r="F103">
        <v>2.2246993478202901E-2</v>
      </c>
      <c r="G103">
        <v>6.1768001634170497E-2</v>
      </c>
      <c r="H103">
        <v>7.7810786469059201E-2</v>
      </c>
      <c r="I103">
        <v>0.404174327226341</v>
      </c>
      <c r="J103">
        <v>0.22574395600688699</v>
      </c>
      <c r="K103">
        <v>-1.6918607279855</v>
      </c>
      <c r="L103" t="s">
        <v>29</v>
      </c>
      <c r="M103">
        <v>16</v>
      </c>
      <c r="N103" t="b">
        <v>1</v>
      </c>
      <c r="O103" t="b">
        <v>1</v>
      </c>
      <c r="P103" t="b">
        <v>1</v>
      </c>
      <c r="Q103" t="b">
        <v>0</v>
      </c>
      <c r="R103" t="b">
        <v>0</v>
      </c>
    </row>
    <row r="104" spans="1:18" x14ac:dyDescent="0.2">
      <c r="A104">
        <v>32074</v>
      </c>
      <c r="B104" t="s">
        <v>10</v>
      </c>
      <c r="C104">
        <v>5520</v>
      </c>
      <c r="D104">
        <v>0.23631225537554501</v>
      </c>
      <c r="E104">
        <v>505</v>
      </c>
      <c r="F104">
        <v>0.23631225537554501</v>
      </c>
      <c r="G104">
        <v>2.8806737751929899E-2</v>
      </c>
      <c r="H104">
        <v>6.0757451913032598E-2</v>
      </c>
      <c r="I104">
        <v>0.44228237664657</v>
      </c>
      <c r="J104">
        <v>6.8186997843531105E-2</v>
      </c>
      <c r="K104">
        <v>-3.0206656369248801</v>
      </c>
      <c r="L104" s="5" t="s">
        <v>29</v>
      </c>
      <c r="M104" s="5">
        <v>13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</row>
    <row r="105" spans="1:18" x14ac:dyDescent="0.2">
      <c r="A105">
        <v>33010</v>
      </c>
      <c r="B105" t="s">
        <v>11</v>
      </c>
      <c r="C105">
        <v>2437.5</v>
      </c>
      <c r="D105">
        <v>0.84104990100689003</v>
      </c>
      <c r="E105">
        <v>682</v>
      </c>
      <c r="F105">
        <v>0.84104990100689003</v>
      </c>
      <c r="G105">
        <v>8.5536872157406393E-2</v>
      </c>
      <c r="H105">
        <v>9.5146842711177904E-2</v>
      </c>
      <c r="I105">
        <v>2.0999083283550899</v>
      </c>
      <c r="J105">
        <v>0.32064391415096399</v>
      </c>
      <c r="K105">
        <v>-3.9260324983293402</v>
      </c>
      <c r="L105" t="s">
        <v>29</v>
      </c>
      <c r="M105">
        <v>21</v>
      </c>
      <c r="N105" t="b">
        <v>1</v>
      </c>
      <c r="O105" t="b">
        <v>0</v>
      </c>
      <c r="P105" t="b">
        <v>1</v>
      </c>
      <c r="Q105" t="b">
        <v>1</v>
      </c>
      <c r="R105" t="b">
        <v>0</v>
      </c>
    </row>
    <row r="106" spans="1:18" x14ac:dyDescent="0.2">
      <c r="A106">
        <v>33160</v>
      </c>
      <c r="B106" t="s">
        <v>10</v>
      </c>
      <c r="C106">
        <v>1385</v>
      </c>
      <c r="D106">
        <v>0.31806129667940097</v>
      </c>
      <c r="E106">
        <v>206</v>
      </c>
      <c r="F106">
        <v>0.31806129667940097</v>
      </c>
      <c r="G106">
        <v>0.11599885383279</v>
      </c>
      <c r="H106">
        <v>0.24879372067699701</v>
      </c>
      <c r="I106">
        <v>7.3431354024541804</v>
      </c>
      <c r="J106">
        <v>1.21647475605922</v>
      </c>
      <c r="K106">
        <v>-5.7749444209862597</v>
      </c>
      <c r="L106" s="5" t="s">
        <v>29</v>
      </c>
      <c r="M106" s="5">
        <v>9</v>
      </c>
      <c r="N106" t="b">
        <v>1</v>
      </c>
      <c r="O106" t="b">
        <v>0</v>
      </c>
      <c r="P106" t="b">
        <v>1</v>
      </c>
      <c r="Q106" t="b">
        <v>1</v>
      </c>
      <c r="R106" t="b">
        <v>1</v>
      </c>
    </row>
    <row r="107" spans="1:18" x14ac:dyDescent="0.2">
      <c r="A107">
        <v>33168</v>
      </c>
      <c r="B107" t="s">
        <v>10</v>
      </c>
      <c r="C107">
        <v>0</v>
      </c>
      <c r="D107">
        <v>0</v>
      </c>
      <c r="E107">
        <v>2346</v>
      </c>
      <c r="F107">
        <v>0</v>
      </c>
      <c r="G107">
        <v>0.72115679988607895</v>
      </c>
      <c r="H107">
        <v>0.60684692215824498</v>
      </c>
      <c r="I107">
        <v>14.9249860241587</v>
      </c>
      <c r="J107">
        <v>9.3453971674524308</v>
      </c>
      <c r="K107">
        <v>-1.59704138376681</v>
      </c>
      <c r="L107" t="s">
        <v>29</v>
      </c>
      <c r="M107">
        <v>13</v>
      </c>
      <c r="N107" t="b">
        <v>1</v>
      </c>
      <c r="O107" t="b">
        <v>1</v>
      </c>
      <c r="P107" t="b">
        <v>1</v>
      </c>
      <c r="Q107" t="b">
        <v>0</v>
      </c>
      <c r="R107" t="b">
        <v>0</v>
      </c>
    </row>
    <row r="108" spans="1:18" x14ac:dyDescent="0.2">
      <c r="A108">
        <v>33344</v>
      </c>
      <c r="B108" t="s">
        <v>10</v>
      </c>
      <c r="C108">
        <v>1</v>
      </c>
      <c r="D108">
        <v>0.14572313986361299</v>
      </c>
      <c r="E108">
        <v>684</v>
      </c>
      <c r="F108">
        <v>0.14572313986361299</v>
      </c>
      <c r="G108">
        <v>0.16406399222111501</v>
      </c>
      <c r="H108">
        <v>0.19906255835287301</v>
      </c>
      <c r="I108">
        <v>8.1333551317299904</v>
      </c>
      <c r="J108">
        <v>1.28485462883555</v>
      </c>
      <c r="K108">
        <v>-6.2167593224966602</v>
      </c>
      <c r="L108" t="s">
        <v>29</v>
      </c>
      <c r="M108">
        <v>9</v>
      </c>
      <c r="N108" t="b">
        <v>1</v>
      </c>
      <c r="O108" t="b">
        <v>1</v>
      </c>
      <c r="P108" t="b">
        <v>1</v>
      </c>
      <c r="Q108" t="b">
        <v>1</v>
      </c>
      <c r="R108" t="b">
        <v>0</v>
      </c>
    </row>
    <row r="109" spans="1:18" x14ac:dyDescent="0.2">
      <c r="A109">
        <v>33361</v>
      </c>
      <c r="B109" t="s">
        <v>11</v>
      </c>
      <c r="C109">
        <v>74</v>
      </c>
      <c r="D109">
        <v>2.9465599713030698E-4</v>
      </c>
      <c r="E109">
        <v>2610</v>
      </c>
      <c r="F109">
        <v>2.9465599713030698E-4</v>
      </c>
      <c r="G109">
        <v>4.5734558727781198E-2</v>
      </c>
      <c r="H109">
        <v>7.0345732020353505E-2</v>
      </c>
      <c r="I109">
        <v>0.1550687157002</v>
      </c>
      <c r="J109">
        <v>0.15649807435663701</v>
      </c>
      <c r="K109">
        <v>-0.98898379637797995</v>
      </c>
      <c r="L109" t="s">
        <v>29</v>
      </c>
      <c r="M109">
        <v>9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</row>
    <row r="110" spans="1:18" x14ac:dyDescent="0.2">
      <c r="A110">
        <v>33653</v>
      </c>
      <c r="B110" t="s">
        <v>10</v>
      </c>
      <c r="C110">
        <v>0</v>
      </c>
      <c r="D110">
        <v>1.15357811631191E-2</v>
      </c>
      <c r="E110">
        <v>2532</v>
      </c>
      <c r="F110">
        <v>1.15357811631191E-2</v>
      </c>
      <c r="G110">
        <v>3.3027239548208E-2</v>
      </c>
      <c r="H110">
        <v>9.4271923281294603E-3</v>
      </c>
      <c r="I110">
        <v>1.8715761895581499E-2</v>
      </c>
      <c r="J110">
        <v>1.16535450740187E-2</v>
      </c>
      <c r="K110">
        <v>-0.616119874841353</v>
      </c>
      <c r="L110" t="s">
        <v>29</v>
      </c>
      <c r="M110">
        <v>11</v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</row>
    <row r="111" spans="1:18" x14ac:dyDescent="0.2">
      <c r="A111">
        <v>34433</v>
      </c>
      <c r="B111" t="s">
        <v>11</v>
      </c>
      <c r="C111">
        <v>326</v>
      </c>
      <c r="D111">
        <v>0.419557681832123</v>
      </c>
      <c r="E111">
        <v>551</v>
      </c>
      <c r="F111">
        <v>0.419557681832123</v>
      </c>
      <c r="G111">
        <v>0.28796991000361499</v>
      </c>
      <c r="H111">
        <v>6.27979196801106E-2</v>
      </c>
      <c r="I111">
        <v>4.5482354407846897</v>
      </c>
      <c r="J111">
        <v>0.79893258377836096</v>
      </c>
      <c r="K111">
        <v>-5.1677423637260702</v>
      </c>
      <c r="L111" t="s">
        <v>29</v>
      </c>
      <c r="M111">
        <v>15</v>
      </c>
      <c r="N111" t="b">
        <v>1</v>
      </c>
      <c r="O111" t="b">
        <v>0</v>
      </c>
      <c r="P111" t="b">
        <v>1</v>
      </c>
      <c r="Q111" t="b">
        <v>1</v>
      </c>
      <c r="R111" t="b">
        <v>0</v>
      </c>
    </row>
    <row r="112" spans="1:18" x14ac:dyDescent="0.2">
      <c r="A112">
        <v>34457</v>
      </c>
      <c r="B112" t="s">
        <v>11</v>
      </c>
      <c r="C112">
        <v>0</v>
      </c>
      <c r="D112">
        <v>3.4878521068582098E-3</v>
      </c>
      <c r="E112">
        <v>2504</v>
      </c>
      <c r="F112">
        <v>3.4878521068582098E-3</v>
      </c>
      <c r="G112">
        <v>4.4326763691448001E-2</v>
      </c>
      <c r="H112">
        <v>2.1345991363200999E-2</v>
      </c>
      <c r="I112">
        <v>5.0636023396912798E-3</v>
      </c>
      <c r="J112">
        <v>3.0642102764931898E-3</v>
      </c>
      <c r="K112">
        <v>-0.51424350506272098</v>
      </c>
      <c r="L112" t="s">
        <v>29</v>
      </c>
      <c r="M112">
        <v>23</v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</row>
    <row r="113" spans="1:18" x14ac:dyDescent="0.2">
      <c r="A113">
        <v>34464</v>
      </c>
      <c r="B113" t="s">
        <v>11</v>
      </c>
      <c r="C113">
        <v>16462.5</v>
      </c>
      <c r="D113">
        <v>0.56664153718514698</v>
      </c>
      <c r="E113">
        <v>538</v>
      </c>
      <c r="F113">
        <v>0.56664153718514698</v>
      </c>
      <c r="G113">
        <v>0.25797299950271702</v>
      </c>
      <c r="H113">
        <v>5.5902614525532399E-2</v>
      </c>
      <c r="I113">
        <v>3.43764747479507</v>
      </c>
      <c r="J113">
        <v>0.59055951662211503</v>
      </c>
      <c r="K113">
        <v>-4.8615014351669696</v>
      </c>
      <c r="L113" s="5" t="s">
        <v>29</v>
      </c>
      <c r="M113" s="5">
        <v>12</v>
      </c>
      <c r="N113" t="b">
        <v>1</v>
      </c>
      <c r="O113" t="b">
        <v>0</v>
      </c>
      <c r="P113" t="b">
        <v>1</v>
      </c>
      <c r="Q113" t="b">
        <v>1</v>
      </c>
      <c r="R113" t="b">
        <v>0</v>
      </c>
    </row>
    <row r="114" spans="1:18" x14ac:dyDescent="0.2">
      <c r="A114">
        <v>34771</v>
      </c>
      <c r="B114" t="s">
        <v>11</v>
      </c>
      <c r="C114">
        <v>0</v>
      </c>
      <c r="D114">
        <v>0</v>
      </c>
      <c r="E114">
        <v>2542</v>
      </c>
      <c r="F114">
        <v>0</v>
      </c>
      <c r="G114">
        <v>2.44546789368188E-3</v>
      </c>
      <c r="H114">
        <v>7.0105863095147297E-2</v>
      </c>
      <c r="I114">
        <v>1.0720790303724999E-2</v>
      </c>
      <c r="J114">
        <v>7.8124882325798003E-3</v>
      </c>
      <c r="K114">
        <v>-1.3722632258205401</v>
      </c>
      <c r="L114" t="s">
        <v>29</v>
      </c>
      <c r="M114">
        <v>12</v>
      </c>
      <c r="N114" t="b">
        <v>1</v>
      </c>
      <c r="O114" t="b">
        <v>1</v>
      </c>
      <c r="P114" t="b">
        <v>0</v>
      </c>
      <c r="Q114" t="b">
        <v>0</v>
      </c>
      <c r="R114" t="b">
        <v>0</v>
      </c>
    </row>
    <row r="115" spans="1:18" x14ac:dyDescent="0.2">
      <c r="A115">
        <v>35994</v>
      </c>
      <c r="B115" t="s">
        <v>11</v>
      </c>
      <c r="C115">
        <v>0</v>
      </c>
      <c r="D115">
        <v>2.97255295092398E-3</v>
      </c>
      <c r="E115">
        <v>2439</v>
      </c>
      <c r="F115">
        <v>2.97255295092398E-3</v>
      </c>
      <c r="G115">
        <v>9.2848155029153501E-3</v>
      </c>
      <c r="H115">
        <v>1.3465091456239701E-2</v>
      </c>
      <c r="I115">
        <v>6.0856455732707102E-3</v>
      </c>
      <c r="J115">
        <v>1.9879721935380699E-3</v>
      </c>
      <c r="K115">
        <v>-1.5659638663286499</v>
      </c>
      <c r="L115" t="s">
        <v>28</v>
      </c>
      <c r="M115">
        <v>35</v>
      </c>
      <c r="N115" t="b">
        <v>1</v>
      </c>
      <c r="O115" t="b">
        <v>1</v>
      </c>
      <c r="P115" t="b">
        <v>0</v>
      </c>
      <c r="Q115" t="b">
        <v>0</v>
      </c>
      <c r="R115" t="b">
        <v>0</v>
      </c>
    </row>
    <row r="116" spans="1:18" x14ac:dyDescent="0.2">
      <c r="A116">
        <v>36344</v>
      </c>
      <c r="B116" t="s">
        <v>11</v>
      </c>
      <c r="C116">
        <v>14</v>
      </c>
      <c r="D116">
        <v>0.135145664652775</v>
      </c>
      <c r="E116">
        <v>967</v>
      </c>
      <c r="F116">
        <v>0.135145664652775</v>
      </c>
      <c r="G116">
        <v>2.9786058685444799E-2</v>
      </c>
      <c r="H116">
        <v>5.2767417271564997E-2</v>
      </c>
      <c r="I116">
        <v>0.23453334138205001</v>
      </c>
      <c r="J116">
        <v>7.4200463978941394E-2</v>
      </c>
      <c r="K116">
        <v>-1.3394481840097701</v>
      </c>
      <c r="L116" t="s">
        <v>28</v>
      </c>
      <c r="M116">
        <v>30</v>
      </c>
      <c r="N116" t="b">
        <v>1</v>
      </c>
      <c r="O116" t="b">
        <v>1</v>
      </c>
      <c r="P116" t="b">
        <v>0</v>
      </c>
      <c r="Q116" t="b">
        <v>0</v>
      </c>
      <c r="R116" t="b">
        <v>0</v>
      </c>
    </row>
    <row r="117" spans="1:18" x14ac:dyDescent="0.2">
      <c r="A117">
        <v>38637</v>
      </c>
      <c r="B117" t="s">
        <v>11</v>
      </c>
      <c r="C117">
        <v>326.5</v>
      </c>
      <c r="D117">
        <v>0.33257893615247602</v>
      </c>
      <c r="E117">
        <v>350</v>
      </c>
      <c r="F117">
        <v>0.33257893615247602</v>
      </c>
      <c r="G117">
        <v>0.23787713950347</v>
      </c>
      <c r="H117">
        <v>0.23760734923079399</v>
      </c>
      <c r="I117">
        <v>13.326353200095999</v>
      </c>
      <c r="J117">
        <v>2.12703164445605</v>
      </c>
      <c r="K117">
        <v>-6.1088767991820303</v>
      </c>
      <c r="L117" t="s">
        <v>28</v>
      </c>
      <c r="M117">
        <v>24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</row>
    <row r="118" spans="1:18" x14ac:dyDescent="0.2">
      <c r="A118">
        <v>38791</v>
      </c>
      <c r="B118" t="s">
        <v>10</v>
      </c>
      <c r="C118">
        <v>5</v>
      </c>
      <c r="D118">
        <v>9.9039733427576104E-2</v>
      </c>
      <c r="E118">
        <v>2260</v>
      </c>
      <c r="F118">
        <v>9.9039733427576104E-2</v>
      </c>
      <c r="G118">
        <v>0.15596602346803101</v>
      </c>
      <c r="H118">
        <v>2.321311835881E-2</v>
      </c>
      <c r="I118">
        <v>0.19301083051446499</v>
      </c>
      <c r="J118">
        <v>0.107530057394219</v>
      </c>
      <c r="K118">
        <v>-0.87390539319046701</v>
      </c>
      <c r="L118" t="s">
        <v>28</v>
      </c>
      <c r="M118">
        <v>22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</row>
    <row r="119" spans="1:18" x14ac:dyDescent="0.2">
      <c r="A119">
        <v>38815</v>
      </c>
      <c r="B119" t="s">
        <v>10</v>
      </c>
      <c r="C119">
        <v>997</v>
      </c>
      <c r="D119">
        <v>0.100878925849666</v>
      </c>
      <c r="E119">
        <v>341</v>
      </c>
      <c r="F119">
        <v>0.100878925849666</v>
      </c>
      <c r="G119">
        <v>0.205884527812913</v>
      </c>
      <c r="H119">
        <v>0.200782719680175</v>
      </c>
      <c r="I119">
        <v>9.5605444372902699</v>
      </c>
      <c r="J119">
        <v>1.6102606670361399</v>
      </c>
      <c r="K119">
        <v>-5.8746175107488297</v>
      </c>
      <c r="L119" t="s">
        <v>28</v>
      </c>
      <c r="M119">
        <v>23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</row>
    <row r="120" spans="1:18" x14ac:dyDescent="0.2">
      <c r="A120">
        <v>38820</v>
      </c>
      <c r="B120" t="s">
        <v>10</v>
      </c>
      <c r="C120">
        <v>0</v>
      </c>
      <c r="D120">
        <v>4.7859981142241402E-3</v>
      </c>
      <c r="E120">
        <v>2670</v>
      </c>
      <c r="F120">
        <v>4.7859981142241402E-3</v>
      </c>
      <c r="G120">
        <v>2.2344606643291399E-2</v>
      </c>
      <c r="H120">
        <v>1.0114840439576099E-2</v>
      </c>
      <c r="I120">
        <v>1.36647254680765E-2</v>
      </c>
      <c r="J120">
        <v>7.9956179103662494E-3</v>
      </c>
      <c r="K120">
        <v>-1.11044918021172</v>
      </c>
      <c r="L120" t="s">
        <v>28</v>
      </c>
      <c r="M120">
        <v>31</v>
      </c>
      <c r="N120" t="b">
        <v>1</v>
      </c>
      <c r="O120" t="b">
        <v>1</v>
      </c>
      <c r="P120" t="b">
        <v>0</v>
      </c>
      <c r="Q120" t="b">
        <v>0</v>
      </c>
      <c r="R120" t="b">
        <v>0</v>
      </c>
    </row>
    <row r="121" spans="1:18" x14ac:dyDescent="0.2">
      <c r="A121">
        <v>38822</v>
      </c>
      <c r="B121" t="s">
        <v>11</v>
      </c>
      <c r="C121">
        <v>163.5</v>
      </c>
      <c r="D121">
        <v>1.74548080400262E-2</v>
      </c>
      <c r="E121">
        <v>2558</v>
      </c>
      <c r="F121">
        <v>1.74548080400262E-2</v>
      </c>
      <c r="G121">
        <v>2.8150751345668398E-2</v>
      </c>
      <c r="H121">
        <v>0.10920387334185</v>
      </c>
      <c r="I121">
        <v>2.9238685988546901E-2</v>
      </c>
      <c r="J121">
        <v>1.2553262294944601E-2</v>
      </c>
      <c r="K121">
        <v>-0.93871040623968804</v>
      </c>
      <c r="L121" t="s">
        <v>28</v>
      </c>
      <c r="M121">
        <v>11</v>
      </c>
      <c r="N121" t="b">
        <v>1</v>
      </c>
      <c r="O121" t="b">
        <v>1</v>
      </c>
      <c r="P121" t="b">
        <v>1</v>
      </c>
      <c r="Q121" t="b">
        <v>0</v>
      </c>
      <c r="R121" t="b">
        <v>0</v>
      </c>
    </row>
    <row r="122" spans="1:18" x14ac:dyDescent="0.2">
      <c r="A122">
        <v>39032</v>
      </c>
      <c r="B122" t="s">
        <v>11</v>
      </c>
      <c r="C122">
        <v>0</v>
      </c>
      <c r="D122">
        <v>0</v>
      </c>
      <c r="E122">
        <v>2670</v>
      </c>
      <c r="F122">
        <v>0</v>
      </c>
      <c r="G122">
        <v>4.1879395892101398E-4</v>
      </c>
      <c r="H122">
        <v>2.1328498703669699E-3</v>
      </c>
      <c r="I122">
        <v>0</v>
      </c>
      <c r="J122">
        <v>0</v>
      </c>
      <c r="K122" t="s">
        <v>18</v>
      </c>
      <c r="L122" s="5" t="s">
        <v>29</v>
      </c>
      <c r="M122" s="5">
        <v>11</v>
      </c>
      <c r="N122" t="b">
        <v>1</v>
      </c>
      <c r="O122" t="b">
        <v>1</v>
      </c>
      <c r="P122" t="b">
        <v>0</v>
      </c>
      <c r="Q122" t="b">
        <v>1</v>
      </c>
      <c r="R122" t="b">
        <v>0</v>
      </c>
    </row>
    <row r="123" spans="1:18" x14ac:dyDescent="0.2">
      <c r="A123">
        <v>39188</v>
      </c>
      <c r="B123" t="s">
        <v>10</v>
      </c>
      <c r="C123">
        <v>250</v>
      </c>
      <c r="D123">
        <v>0.26700142013016698</v>
      </c>
      <c r="E123">
        <v>422</v>
      </c>
      <c r="F123">
        <v>0.26700142013016698</v>
      </c>
      <c r="G123">
        <v>0.17797316884960099</v>
      </c>
      <c r="H123">
        <v>0.17225625733734001</v>
      </c>
      <c r="I123">
        <v>7.7209422278202799</v>
      </c>
      <c r="J123">
        <v>1.3630105357837901</v>
      </c>
      <c r="K123">
        <v>-5.4687330816586499</v>
      </c>
      <c r="L123" s="5" t="s">
        <v>29</v>
      </c>
      <c r="M123" s="5">
        <v>12</v>
      </c>
      <c r="N123" t="b">
        <v>1</v>
      </c>
      <c r="O123" t="b">
        <v>0</v>
      </c>
      <c r="P123" t="b">
        <v>1</v>
      </c>
      <c r="Q123" t="b">
        <v>1</v>
      </c>
      <c r="R123" t="b">
        <v>1</v>
      </c>
    </row>
    <row r="124" spans="1:18" x14ac:dyDescent="0.2">
      <c r="A124">
        <v>39200</v>
      </c>
      <c r="B124" t="s">
        <v>10</v>
      </c>
      <c r="C124">
        <v>146.5</v>
      </c>
      <c r="D124">
        <v>6.1489514180755898E-2</v>
      </c>
      <c r="E124">
        <v>294</v>
      </c>
      <c r="F124">
        <v>6.1489514180755898E-2</v>
      </c>
      <c r="G124">
        <v>0.30070396112099401</v>
      </c>
      <c r="H124">
        <v>0.34516046391459498</v>
      </c>
      <c r="I124">
        <v>25.589619613561499</v>
      </c>
      <c r="J124">
        <v>4.3814949159334899</v>
      </c>
      <c r="K124">
        <v>-5.8263516423462196</v>
      </c>
      <c r="L124" t="s">
        <v>28</v>
      </c>
      <c r="M124">
        <v>25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</row>
    <row r="125" spans="1:18" x14ac:dyDescent="0.2">
      <c r="A125">
        <v>39208</v>
      </c>
      <c r="B125" t="s">
        <v>10</v>
      </c>
      <c r="C125">
        <v>33</v>
      </c>
      <c r="D125">
        <v>1.3026566857478401E-2</v>
      </c>
      <c r="E125">
        <v>268</v>
      </c>
      <c r="F125">
        <v>1.3026566857478401E-2</v>
      </c>
      <c r="G125">
        <v>0.228280549217801</v>
      </c>
      <c r="H125">
        <v>0.19512759648775099</v>
      </c>
      <c r="I125">
        <v>9.9444071425317695</v>
      </c>
      <c r="J125">
        <v>2.1681114996775701</v>
      </c>
      <c r="K125">
        <v>-4.5806595173501101</v>
      </c>
      <c r="L125" t="s">
        <v>28</v>
      </c>
      <c r="M125">
        <v>42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</row>
    <row r="126" spans="1:18" x14ac:dyDescent="0.2">
      <c r="A126">
        <v>39216</v>
      </c>
      <c r="B126" t="s">
        <v>10</v>
      </c>
      <c r="C126">
        <v>41.5</v>
      </c>
      <c r="D126">
        <v>7.5609061358533599E-3</v>
      </c>
      <c r="E126">
        <v>431</v>
      </c>
      <c r="F126">
        <v>7.5609061358533599E-3</v>
      </c>
      <c r="G126">
        <v>0.243059803095766</v>
      </c>
      <c r="H126">
        <v>0.176815654394121</v>
      </c>
      <c r="I126">
        <v>9.4558854199987206</v>
      </c>
      <c r="J126">
        <v>1.9913927041900099</v>
      </c>
      <c r="K126">
        <v>-4.7445812641489704</v>
      </c>
      <c r="L126" t="s">
        <v>29</v>
      </c>
      <c r="M126">
        <v>17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</row>
    <row r="127" spans="1:18" x14ac:dyDescent="0.2">
      <c r="A127">
        <v>39217</v>
      </c>
      <c r="B127" t="s">
        <v>10</v>
      </c>
      <c r="C127">
        <v>36.5</v>
      </c>
      <c r="D127">
        <v>0.18318190554129599</v>
      </c>
      <c r="E127">
        <v>363</v>
      </c>
      <c r="F127">
        <v>0.18318190554129599</v>
      </c>
      <c r="G127">
        <v>0.202664809573502</v>
      </c>
      <c r="H127">
        <v>0.32588811358150799</v>
      </c>
      <c r="I127">
        <v>11.034285295598099</v>
      </c>
      <c r="J127">
        <v>2.1940425234432399</v>
      </c>
      <c r="K127">
        <v>-4.94571243451903</v>
      </c>
      <c r="L127" t="s">
        <v>28</v>
      </c>
      <c r="M127">
        <v>17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</row>
    <row r="128" spans="1:18" x14ac:dyDescent="0.2">
      <c r="A128">
        <v>39236</v>
      </c>
      <c r="B128" t="s">
        <v>10</v>
      </c>
      <c r="C128">
        <v>379</v>
      </c>
      <c r="D128">
        <v>0.17226846674671101</v>
      </c>
      <c r="E128">
        <v>308</v>
      </c>
      <c r="F128">
        <v>0.17226846674671101</v>
      </c>
      <c r="G128">
        <v>0.234282567673675</v>
      </c>
      <c r="H128">
        <v>0.23331680517272199</v>
      </c>
      <c r="I128">
        <v>14.595138124191999</v>
      </c>
      <c r="J128">
        <v>2.2522736295457202</v>
      </c>
      <c r="K128">
        <v>-6.4036933471331103</v>
      </c>
      <c r="L128" t="s">
        <v>29</v>
      </c>
      <c r="M128">
        <v>24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</row>
    <row r="129" spans="1:18" x14ac:dyDescent="0.2">
      <c r="A129">
        <v>39237</v>
      </c>
      <c r="B129" t="s">
        <v>10</v>
      </c>
      <c r="C129">
        <v>406</v>
      </c>
      <c r="D129">
        <v>0.237431763165695</v>
      </c>
      <c r="E129">
        <v>349</v>
      </c>
      <c r="F129">
        <v>0.237431763165695</v>
      </c>
      <c r="G129">
        <v>0.23827634473437101</v>
      </c>
      <c r="H129">
        <v>0.26544908783195298</v>
      </c>
      <c r="I129">
        <v>16.003178227046501</v>
      </c>
      <c r="J129">
        <v>2.5626357159455302</v>
      </c>
      <c r="K129">
        <v>-6.1521605922298299</v>
      </c>
      <c r="L129" t="s">
        <v>29</v>
      </c>
      <c r="M129">
        <v>19</v>
      </c>
      <c r="N129" t="b">
        <v>1</v>
      </c>
      <c r="O129" t="b">
        <v>0</v>
      </c>
      <c r="P129" t="b">
        <v>1</v>
      </c>
      <c r="Q129" t="b">
        <v>1</v>
      </c>
      <c r="R129" t="b">
        <v>1</v>
      </c>
    </row>
    <row r="130" spans="1:18" x14ac:dyDescent="0.2">
      <c r="A130">
        <v>39254</v>
      </c>
      <c r="B130" t="s">
        <v>10</v>
      </c>
      <c r="C130">
        <v>113.5</v>
      </c>
      <c r="D130">
        <v>0.20094968887339401</v>
      </c>
      <c r="E130">
        <v>429</v>
      </c>
      <c r="F130">
        <v>0.20094968887339401</v>
      </c>
      <c r="G130">
        <v>0.30350441404707001</v>
      </c>
      <c r="H130">
        <v>0.32372330823777001</v>
      </c>
      <c r="I130">
        <v>26.0214434455423</v>
      </c>
      <c r="J130">
        <v>4.1310879551433004</v>
      </c>
      <c r="K130">
        <v>-6.2502890369404502</v>
      </c>
      <c r="L130" t="s">
        <v>28</v>
      </c>
      <c r="M130">
        <v>20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</row>
    <row r="131" spans="1:18" x14ac:dyDescent="0.2">
      <c r="A131">
        <v>39285</v>
      </c>
      <c r="B131" t="s">
        <v>10</v>
      </c>
      <c r="C131">
        <v>497.10456115439598</v>
      </c>
      <c r="D131">
        <v>0.320690684144389</v>
      </c>
      <c r="E131">
        <v>397</v>
      </c>
      <c r="F131">
        <v>0.320690684144389</v>
      </c>
      <c r="G131">
        <v>0.142476145108552</v>
      </c>
      <c r="H131">
        <v>0.244578703427272</v>
      </c>
      <c r="I131">
        <v>7.9193811040916398</v>
      </c>
      <c r="J131">
        <v>1.3098315783127501</v>
      </c>
      <c r="K131">
        <v>-5.8012728855838596</v>
      </c>
      <c r="L131" t="s">
        <v>28</v>
      </c>
      <c r="M131">
        <v>45</v>
      </c>
      <c r="N131" t="b">
        <v>1</v>
      </c>
      <c r="O131" t="b">
        <v>0</v>
      </c>
      <c r="P131" t="b">
        <v>1</v>
      </c>
      <c r="Q131" t="b">
        <v>1</v>
      </c>
      <c r="R131" t="b">
        <v>1</v>
      </c>
    </row>
    <row r="132" spans="1:18" x14ac:dyDescent="0.2">
      <c r="A132">
        <v>39386</v>
      </c>
      <c r="B132" t="s">
        <v>11</v>
      </c>
      <c r="C132">
        <v>186.5</v>
      </c>
      <c r="D132">
        <v>0.108561283306307</v>
      </c>
      <c r="E132">
        <v>344</v>
      </c>
      <c r="F132">
        <v>0.108561283306307</v>
      </c>
      <c r="G132">
        <v>0.23021073474079601</v>
      </c>
      <c r="H132">
        <v>0.126705977359132</v>
      </c>
      <c r="I132">
        <v>7.2727971568789602</v>
      </c>
      <c r="J132">
        <v>1.1635454154685601</v>
      </c>
      <c r="K132">
        <v>-6.1572464455008804</v>
      </c>
      <c r="L132" t="s">
        <v>28</v>
      </c>
      <c r="M132">
        <v>36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</row>
    <row r="133" spans="1:18" x14ac:dyDescent="0.2">
      <c r="A133">
        <v>39492</v>
      </c>
      <c r="B133" t="s">
        <v>10</v>
      </c>
      <c r="C133">
        <v>6.5</v>
      </c>
      <c r="D133">
        <v>9.9255678106481296E-2</v>
      </c>
      <c r="E133">
        <v>352</v>
      </c>
      <c r="F133">
        <v>9.9255678106481296E-2</v>
      </c>
      <c r="G133">
        <v>0.226431267816711</v>
      </c>
      <c r="H133">
        <v>0.33294727958451897</v>
      </c>
      <c r="I133">
        <v>19.182798629176201</v>
      </c>
      <c r="J133">
        <v>3.1406110455682499</v>
      </c>
      <c r="K133">
        <v>-6.0763789830003603</v>
      </c>
      <c r="L133" t="s">
        <v>28</v>
      </c>
      <c r="M133">
        <v>42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</row>
    <row r="134" spans="1:18" x14ac:dyDescent="0.2">
      <c r="A134">
        <v>39524</v>
      </c>
      <c r="B134" t="s">
        <v>10</v>
      </c>
      <c r="C134">
        <v>518</v>
      </c>
      <c r="D134">
        <v>0.10067162329658801</v>
      </c>
      <c r="E134">
        <v>311</v>
      </c>
      <c r="F134">
        <v>0.10067162329658801</v>
      </c>
      <c r="G134">
        <v>0.29556871561186898</v>
      </c>
      <c r="H134">
        <v>0.14565985484483501</v>
      </c>
      <c r="I134">
        <v>11.086326510130601</v>
      </c>
      <c r="J134">
        <v>1.8045396221566199</v>
      </c>
      <c r="K134">
        <v>-6.0877881272038801</v>
      </c>
      <c r="L134" s="5" t="s">
        <v>28</v>
      </c>
      <c r="M134" s="5">
        <v>19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</row>
    <row r="135" spans="1:18" x14ac:dyDescent="0.2">
      <c r="A135">
        <v>40048</v>
      </c>
      <c r="B135" t="s">
        <v>10</v>
      </c>
      <c r="C135">
        <v>59.5</v>
      </c>
      <c r="D135">
        <v>3.3454839198263198E-2</v>
      </c>
      <c r="E135">
        <v>385</v>
      </c>
      <c r="F135">
        <v>3.3454839198263198E-2</v>
      </c>
      <c r="G135">
        <v>0.30827984315592899</v>
      </c>
      <c r="H135">
        <v>1.20895314597741E-2</v>
      </c>
      <c r="I135">
        <v>0.91465618215782296</v>
      </c>
      <c r="J135">
        <v>0.152719384264318</v>
      </c>
      <c r="K135">
        <v>-5.7700687257514698</v>
      </c>
      <c r="L135" t="s">
        <v>28</v>
      </c>
      <c r="M135">
        <v>12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</row>
    <row r="136" spans="1:18" x14ac:dyDescent="0.2">
      <c r="A136">
        <v>44347</v>
      </c>
      <c r="B136" t="s">
        <v>11</v>
      </c>
      <c r="C136">
        <v>5218</v>
      </c>
      <c r="D136">
        <v>0.75415091083701002</v>
      </c>
      <c r="E136">
        <v>298</v>
      </c>
      <c r="F136">
        <v>0.75415091083701002</v>
      </c>
      <c r="G136">
        <v>0.236953126807676</v>
      </c>
      <c r="H136">
        <v>0.30906097493449902</v>
      </c>
      <c r="I136">
        <v>10.199045918865</v>
      </c>
      <c r="J136">
        <v>1.9593980867204901</v>
      </c>
      <c r="K136">
        <v>-4.8203042924453499</v>
      </c>
      <c r="L136" s="5" t="s">
        <v>28</v>
      </c>
      <c r="M136" s="5">
        <v>13</v>
      </c>
      <c r="N136" t="b">
        <v>1</v>
      </c>
      <c r="O136" t="b">
        <v>0</v>
      </c>
      <c r="P136" t="b">
        <v>1</v>
      </c>
      <c r="Q136" t="b">
        <v>1</v>
      </c>
      <c r="R136" t="b">
        <v>1</v>
      </c>
    </row>
    <row r="137" spans="1:18" x14ac:dyDescent="0.2">
      <c r="A137">
        <v>44569</v>
      </c>
      <c r="B137" t="s">
        <v>11</v>
      </c>
      <c r="C137">
        <v>312</v>
      </c>
      <c r="D137">
        <v>1.794422322253E-2</v>
      </c>
      <c r="E137">
        <v>2402</v>
      </c>
      <c r="F137">
        <v>1.794422322253E-2</v>
      </c>
      <c r="G137">
        <v>4.7990327126953497E-3</v>
      </c>
      <c r="H137">
        <v>4.2084057352266203E-2</v>
      </c>
      <c r="I137">
        <v>2.9147153761999701E-2</v>
      </c>
      <c r="J137">
        <v>9.8822330182282894E-3</v>
      </c>
      <c r="K137">
        <v>-1.13364363285153</v>
      </c>
      <c r="L137" t="s">
        <v>28</v>
      </c>
      <c r="M137">
        <v>37</v>
      </c>
      <c r="N137" t="b">
        <v>1</v>
      </c>
      <c r="O137" t="b">
        <v>1</v>
      </c>
      <c r="P137" t="b">
        <v>0</v>
      </c>
      <c r="Q137" t="b">
        <v>0</v>
      </c>
      <c r="R137" t="b">
        <v>0</v>
      </c>
    </row>
    <row r="138" spans="1:18" x14ac:dyDescent="0.2">
      <c r="A138">
        <v>44672</v>
      </c>
      <c r="B138" t="s">
        <v>11</v>
      </c>
      <c r="C138">
        <v>28</v>
      </c>
      <c r="D138">
        <v>0.19776203097177</v>
      </c>
      <c r="E138">
        <v>318</v>
      </c>
      <c r="F138">
        <v>0.19776203097177</v>
      </c>
      <c r="G138">
        <v>0.24383866642764901</v>
      </c>
      <c r="H138">
        <v>0.23044983383430701</v>
      </c>
      <c r="I138">
        <v>15.297416775669801</v>
      </c>
      <c r="J138">
        <v>2.3330072603201</v>
      </c>
      <c r="K138">
        <v>-6.4721850641074603</v>
      </c>
      <c r="L138" t="s">
        <v>28</v>
      </c>
      <c r="M138">
        <v>34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</row>
    <row r="139" spans="1:18" x14ac:dyDescent="0.2">
      <c r="A139">
        <v>44731</v>
      </c>
      <c r="B139" t="s">
        <v>11</v>
      </c>
      <c r="C139">
        <v>69</v>
      </c>
      <c r="D139">
        <v>5.6605710947415899E-2</v>
      </c>
      <c r="E139">
        <v>311</v>
      </c>
      <c r="F139">
        <v>5.6605710947415899E-2</v>
      </c>
      <c r="G139">
        <v>0.17029079515249099</v>
      </c>
      <c r="H139">
        <v>0.270427644227899</v>
      </c>
      <c r="I139">
        <v>10.3128577608448</v>
      </c>
      <c r="J139">
        <v>2.20839657085634</v>
      </c>
      <c r="K139">
        <v>-4.6442075600218597</v>
      </c>
      <c r="L139" t="s">
        <v>28</v>
      </c>
      <c r="M139">
        <v>25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</row>
    <row r="140" spans="1:18" x14ac:dyDescent="0.2">
      <c r="A140">
        <v>45047</v>
      </c>
      <c r="B140" t="s">
        <v>11</v>
      </c>
      <c r="C140">
        <v>7909.5</v>
      </c>
      <c r="D140">
        <v>0.31809463147764</v>
      </c>
      <c r="E140">
        <v>314</v>
      </c>
      <c r="F140">
        <v>0.31809463147764</v>
      </c>
      <c r="G140">
        <v>0.208503658721197</v>
      </c>
      <c r="H140">
        <v>0.14848620835089299</v>
      </c>
      <c r="I140">
        <v>7.92503764056538</v>
      </c>
      <c r="J140">
        <v>1.316199398343</v>
      </c>
      <c r="K140">
        <v>-5.7794761330725004</v>
      </c>
      <c r="L140" t="s">
        <v>28</v>
      </c>
      <c r="M140">
        <v>28</v>
      </c>
      <c r="N140" t="b">
        <v>1</v>
      </c>
      <c r="O140" t="b">
        <v>0</v>
      </c>
      <c r="P140" t="b">
        <v>1</v>
      </c>
      <c r="Q140" t="b">
        <v>1</v>
      </c>
      <c r="R140" t="b">
        <v>1</v>
      </c>
    </row>
    <row r="141" spans="1:18" x14ac:dyDescent="0.2">
      <c r="A141">
        <v>45363</v>
      </c>
      <c r="B141" t="s">
        <v>11</v>
      </c>
      <c r="C141">
        <v>6937.5</v>
      </c>
      <c r="D141">
        <v>0.46606989157973899</v>
      </c>
      <c r="E141">
        <v>2053</v>
      </c>
      <c r="F141">
        <v>0.46606989157973899</v>
      </c>
      <c r="G141">
        <v>7.8204852709564093E-2</v>
      </c>
      <c r="H141">
        <v>9.45936778302464E-2</v>
      </c>
      <c r="I141">
        <v>0.62342170757709603</v>
      </c>
      <c r="J141">
        <v>0.26805591790053301</v>
      </c>
      <c r="K141">
        <v>-0.58701116255804797</v>
      </c>
      <c r="L141" t="s">
        <v>28</v>
      </c>
      <c r="M141">
        <v>42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</row>
    <row r="142" spans="1:18" x14ac:dyDescent="0.2">
      <c r="A142">
        <v>45727</v>
      </c>
      <c r="B142" t="s">
        <v>10</v>
      </c>
      <c r="C142">
        <v>391</v>
      </c>
      <c r="D142">
        <v>8.8233701491828895E-2</v>
      </c>
      <c r="E142">
        <v>312</v>
      </c>
      <c r="F142">
        <v>8.8233701491828895E-2</v>
      </c>
      <c r="G142">
        <v>0.27442458535869602</v>
      </c>
      <c r="H142">
        <v>0.18458217146616901</v>
      </c>
      <c r="I142">
        <v>12.167284221901101</v>
      </c>
      <c r="J142">
        <v>2.1148656718479</v>
      </c>
      <c r="K142">
        <v>-5.7114977472091599</v>
      </c>
      <c r="L142" t="s">
        <v>28</v>
      </c>
      <c r="M142">
        <v>18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</row>
    <row r="143" spans="1:18" x14ac:dyDescent="0.2">
      <c r="A143">
        <v>45728</v>
      </c>
      <c r="B143" t="s">
        <v>10</v>
      </c>
      <c r="C143">
        <v>4.5</v>
      </c>
      <c r="D143">
        <v>0.17910277096354199</v>
      </c>
      <c r="E143">
        <v>357</v>
      </c>
      <c r="F143">
        <v>0.17910277096354199</v>
      </c>
      <c r="G143">
        <v>0.314721981455447</v>
      </c>
      <c r="H143">
        <v>0.32588860520074098</v>
      </c>
      <c r="I143">
        <v>23.173958591965</v>
      </c>
      <c r="J143">
        <v>5.1297641490139698</v>
      </c>
      <c r="K143">
        <v>-4.4826341237192002</v>
      </c>
      <c r="L143" t="s">
        <v>28</v>
      </c>
      <c r="M143">
        <v>31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</row>
    <row r="144" spans="1:18" x14ac:dyDescent="0.2">
      <c r="A144">
        <v>45731</v>
      </c>
      <c r="B144" t="s">
        <v>10</v>
      </c>
      <c r="C144">
        <v>309</v>
      </c>
      <c r="D144">
        <v>0.19822806446826199</v>
      </c>
      <c r="E144">
        <v>313</v>
      </c>
      <c r="F144">
        <v>0.19822806446826199</v>
      </c>
      <c r="G144">
        <v>0.18603155646182801</v>
      </c>
      <c r="H144">
        <v>0.18930926183187499</v>
      </c>
      <c r="I144">
        <v>5.76536546437866</v>
      </c>
      <c r="J144">
        <v>0.89419327781718605</v>
      </c>
      <c r="K144">
        <v>-6.2258770424894401</v>
      </c>
      <c r="L144" t="s">
        <v>28</v>
      </c>
      <c r="M144">
        <v>39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</row>
    <row r="145" spans="1:18" x14ac:dyDescent="0.2">
      <c r="A145">
        <v>45734</v>
      </c>
      <c r="B145" t="s">
        <v>10</v>
      </c>
      <c r="C145">
        <v>4</v>
      </c>
      <c r="D145">
        <v>3.0687760652029199E-2</v>
      </c>
      <c r="E145">
        <v>306</v>
      </c>
      <c r="F145">
        <v>3.0687760652029199E-2</v>
      </c>
      <c r="G145">
        <v>0.13917971522439199</v>
      </c>
      <c r="H145">
        <v>0.27430227963181603</v>
      </c>
      <c r="I145">
        <v>10.984321992789299</v>
      </c>
      <c r="J145">
        <v>1.6179430187564701</v>
      </c>
      <c r="K145">
        <v>-6.7700988880041804</v>
      </c>
      <c r="L145" t="s">
        <v>28</v>
      </c>
      <c r="M145">
        <v>20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</row>
    <row r="146" spans="1:18" x14ac:dyDescent="0.2">
      <c r="A146">
        <v>45743</v>
      </c>
      <c r="B146" t="s">
        <v>10</v>
      </c>
      <c r="C146">
        <v>378</v>
      </c>
      <c r="D146">
        <v>4.3654508458150901E-2</v>
      </c>
      <c r="E146">
        <v>287</v>
      </c>
      <c r="F146">
        <v>4.3654508458150901E-2</v>
      </c>
      <c r="G146">
        <v>8.1132661819871402E-2</v>
      </c>
      <c r="H146">
        <v>0.10220629866048001</v>
      </c>
      <c r="I146">
        <v>2.0877734303122599</v>
      </c>
      <c r="J146">
        <v>0.34139476659751999</v>
      </c>
      <c r="K146">
        <v>-5.9875520126644997</v>
      </c>
      <c r="L146" t="s">
        <v>28</v>
      </c>
      <c r="M146">
        <v>22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</row>
    <row r="147" spans="1:18" x14ac:dyDescent="0.2">
      <c r="A147">
        <v>45748</v>
      </c>
      <c r="B147" t="s">
        <v>10</v>
      </c>
      <c r="C147">
        <v>100</v>
      </c>
      <c r="D147">
        <v>3.3813268804194399E-2</v>
      </c>
      <c r="E147">
        <v>258</v>
      </c>
      <c r="F147">
        <v>3.3813268804194399E-2</v>
      </c>
      <c r="G147">
        <v>0.31740952405991701</v>
      </c>
      <c r="H147">
        <v>9.3901571054138405E-3</v>
      </c>
      <c r="I147">
        <v>0.76681136116152404</v>
      </c>
      <c r="J147">
        <v>0.12370121014075</v>
      </c>
      <c r="K147">
        <v>-5.9255531253356901</v>
      </c>
      <c r="L147" t="s">
        <v>28</v>
      </c>
      <c r="M147">
        <v>24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</row>
    <row r="148" spans="1:18" x14ac:dyDescent="0.2">
      <c r="A148">
        <v>45759</v>
      </c>
      <c r="B148" t="s">
        <v>10</v>
      </c>
      <c r="C148">
        <v>1023</v>
      </c>
      <c r="D148">
        <v>0.10285849771218999</v>
      </c>
      <c r="E148">
        <v>321</v>
      </c>
      <c r="F148">
        <v>0.10285849771218999</v>
      </c>
      <c r="G148">
        <v>0.27064713791862099</v>
      </c>
      <c r="H148">
        <v>0.29763573627993301</v>
      </c>
      <c r="I148">
        <v>16.884500058076998</v>
      </c>
      <c r="J148">
        <v>3.3425085297025898</v>
      </c>
      <c r="K148">
        <v>-5.0206727705367999</v>
      </c>
      <c r="L148" t="s">
        <v>28</v>
      </c>
      <c r="M148">
        <v>37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</row>
    <row r="149" spans="1:18" x14ac:dyDescent="0.2">
      <c r="A149">
        <v>45760</v>
      </c>
      <c r="B149" t="s">
        <v>10</v>
      </c>
      <c r="C149">
        <v>80</v>
      </c>
      <c r="D149">
        <v>2.31913549363711E-2</v>
      </c>
      <c r="E149">
        <v>268</v>
      </c>
      <c r="F149">
        <v>2.31913549363711E-2</v>
      </c>
      <c r="G149">
        <v>0.26685955980963599</v>
      </c>
      <c r="H149">
        <v>0.141016751245085</v>
      </c>
      <c r="I149">
        <v>8.5578466616475506</v>
      </c>
      <c r="J149">
        <v>1.6691735050366601</v>
      </c>
      <c r="K149">
        <v>-5.1131025510279402</v>
      </c>
      <c r="L149" t="s">
        <v>28</v>
      </c>
      <c r="M149">
        <v>45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</row>
    <row r="150" spans="1:18" x14ac:dyDescent="0.2">
      <c r="A150">
        <v>45763</v>
      </c>
      <c r="B150" t="s">
        <v>10</v>
      </c>
      <c r="C150">
        <v>4</v>
      </c>
      <c r="D150">
        <v>5.0627972651605201E-2</v>
      </c>
      <c r="E150">
        <v>348</v>
      </c>
      <c r="F150">
        <v>5.0627972651605201E-2</v>
      </c>
      <c r="G150">
        <v>0.21597399346608101</v>
      </c>
      <c r="H150">
        <v>0.31776515007887302</v>
      </c>
      <c r="I150">
        <v>16.573167652242201</v>
      </c>
      <c r="J150">
        <v>2.8919884128127902</v>
      </c>
      <c r="K150">
        <v>-5.7132108850742496</v>
      </c>
      <c r="L150" t="s">
        <v>28</v>
      </c>
      <c r="M150">
        <v>30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</row>
    <row r="151" spans="1:18" x14ac:dyDescent="0.2">
      <c r="A151">
        <v>45775</v>
      </c>
      <c r="B151" t="s">
        <v>10</v>
      </c>
      <c r="C151">
        <v>484.5</v>
      </c>
      <c r="D151">
        <v>5.3216282814630797E-2</v>
      </c>
      <c r="E151">
        <v>370</v>
      </c>
      <c r="F151">
        <v>5.3216282814630797E-2</v>
      </c>
      <c r="G151">
        <v>0.21093377205573599</v>
      </c>
      <c r="H151">
        <v>0.193535375299135</v>
      </c>
      <c r="I151">
        <v>9.7243962235397792</v>
      </c>
      <c r="J151">
        <v>1.7956831205877399</v>
      </c>
      <c r="K151">
        <v>-5.3857943140656799</v>
      </c>
      <c r="L151" t="s">
        <v>28</v>
      </c>
      <c r="M151">
        <v>22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</row>
    <row r="152" spans="1:18" x14ac:dyDescent="0.2">
      <c r="A152">
        <v>45776</v>
      </c>
      <c r="B152" t="s">
        <v>10</v>
      </c>
      <c r="C152">
        <v>767</v>
      </c>
      <c r="D152">
        <v>0.36672253395534998</v>
      </c>
      <c r="E152">
        <v>294</v>
      </c>
      <c r="F152">
        <v>0.36672253395534998</v>
      </c>
      <c r="G152">
        <v>0.31653127516116902</v>
      </c>
      <c r="H152">
        <v>0.210389238575377</v>
      </c>
      <c r="I152">
        <v>15.6622123701187</v>
      </c>
      <c r="J152">
        <v>2.4925055973111299</v>
      </c>
      <c r="K152">
        <v>-6.1365919710125896</v>
      </c>
      <c r="L152" t="s">
        <v>28</v>
      </c>
      <c r="M152">
        <v>36</v>
      </c>
      <c r="N152" t="b">
        <v>1</v>
      </c>
      <c r="O152" t="b">
        <v>0</v>
      </c>
      <c r="P152" t="b">
        <v>1</v>
      </c>
      <c r="Q152" t="b">
        <v>1</v>
      </c>
      <c r="R152" t="b">
        <v>1</v>
      </c>
    </row>
    <row r="153" spans="1:18" x14ac:dyDescent="0.2">
      <c r="A153">
        <v>45791</v>
      </c>
      <c r="B153" t="s">
        <v>10</v>
      </c>
      <c r="C153">
        <v>639.5</v>
      </c>
      <c r="D153">
        <v>1.9225278991575199E-2</v>
      </c>
      <c r="E153">
        <v>294</v>
      </c>
      <c r="F153">
        <v>1.9225278991575199E-2</v>
      </c>
      <c r="G153">
        <v>0.14846891684940799</v>
      </c>
      <c r="H153">
        <v>0.136261070981719</v>
      </c>
      <c r="I153">
        <v>5.6521251377455597</v>
      </c>
      <c r="J153">
        <v>0.85233494885130801</v>
      </c>
      <c r="K153">
        <v>-6.6087866822138901</v>
      </c>
      <c r="L153" t="s">
        <v>28</v>
      </c>
      <c r="M153">
        <v>28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</row>
    <row r="154" spans="1:18" x14ac:dyDescent="0.2">
      <c r="A154">
        <v>45819</v>
      </c>
      <c r="B154" t="s">
        <v>10</v>
      </c>
      <c r="C154">
        <v>57</v>
      </c>
      <c r="D154">
        <v>0.119449308548851</v>
      </c>
      <c r="E154">
        <v>296</v>
      </c>
      <c r="F154">
        <v>0.119449308548851</v>
      </c>
      <c r="G154">
        <v>0.26219047700777498</v>
      </c>
      <c r="H154">
        <v>0.14911832025222299</v>
      </c>
      <c r="I154">
        <v>10.047796650502899</v>
      </c>
      <c r="J154">
        <v>1.59079730851634</v>
      </c>
      <c r="K154">
        <v>-6.2411139928403001</v>
      </c>
      <c r="L154" t="s">
        <v>28</v>
      </c>
      <c r="M154">
        <v>15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</row>
    <row r="155" spans="1:18" x14ac:dyDescent="0.2">
      <c r="A155">
        <v>45905</v>
      </c>
      <c r="B155" t="s">
        <v>10</v>
      </c>
      <c r="C155">
        <v>1181.5</v>
      </c>
      <c r="D155">
        <v>0.13432192269988699</v>
      </c>
      <c r="E155">
        <v>323</v>
      </c>
      <c r="F155">
        <v>0.13432192269988699</v>
      </c>
      <c r="G155">
        <v>0.23166053649948101</v>
      </c>
      <c r="H155">
        <v>0.103690068830746</v>
      </c>
      <c r="I155">
        <v>5.1612021830981503</v>
      </c>
      <c r="J155">
        <v>0.94974730187469503</v>
      </c>
      <c r="K155">
        <v>-5.2928607962094301</v>
      </c>
      <c r="L155" t="s">
        <v>28</v>
      </c>
      <c r="M155">
        <v>40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</row>
    <row r="156" spans="1:18" x14ac:dyDescent="0.2">
      <c r="A156">
        <v>45920</v>
      </c>
      <c r="B156" t="s">
        <v>10</v>
      </c>
      <c r="C156">
        <v>787.5</v>
      </c>
      <c r="D156">
        <v>0.32627393543820998</v>
      </c>
      <c r="E156">
        <v>335</v>
      </c>
      <c r="F156">
        <v>0.32627393543820998</v>
      </c>
      <c r="G156">
        <v>0.23900132594781201</v>
      </c>
      <c r="H156">
        <v>0.24413829593800601</v>
      </c>
      <c r="I156">
        <v>13.8574210517585</v>
      </c>
      <c r="J156">
        <v>2.5217394342322601</v>
      </c>
      <c r="K156">
        <v>-5.3657990721154203</v>
      </c>
      <c r="L156" t="s">
        <v>28</v>
      </c>
      <c r="M156">
        <v>41</v>
      </c>
      <c r="N156" t="b">
        <v>1</v>
      </c>
      <c r="O156" t="b">
        <v>0</v>
      </c>
      <c r="P156" t="b">
        <v>1</v>
      </c>
      <c r="Q156" t="b">
        <v>1</v>
      </c>
      <c r="R156" t="b">
        <v>1</v>
      </c>
    </row>
    <row r="157" spans="1:18" x14ac:dyDescent="0.2">
      <c r="A157">
        <v>45948</v>
      </c>
      <c r="B157" t="s">
        <v>11</v>
      </c>
      <c r="C157">
        <v>113.5</v>
      </c>
      <c r="D157">
        <v>0.155871380427235</v>
      </c>
      <c r="E157">
        <v>311</v>
      </c>
      <c r="F157">
        <v>0.155871380427235</v>
      </c>
      <c r="G157">
        <v>0.22591144493595899</v>
      </c>
      <c r="H157">
        <v>0.28882525756925098</v>
      </c>
      <c r="I157">
        <v>14.1924327134595</v>
      </c>
      <c r="J157">
        <v>2.8867091831100402</v>
      </c>
      <c r="K157">
        <v>-4.8624784980625497</v>
      </c>
      <c r="L157" t="s">
        <v>28</v>
      </c>
      <c r="M157">
        <v>28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</row>
    <row r="158" spans="1:18" x14ac:dyDescent="0.2">
      <c r="A158">
        <v>46125</v>
      </c>
      <c r="B158" t="s">
        <v>10</v>
      </c>
      <c r="C158">
        <v>270</v>
      </c>
      <c r="D158">
        <v>0.11438448515147499</v>
      </c>
      <c r="E158">
        <v>502</v>
      </c>
      <c r="F158">
        <v>0.11438448515147499</v>
      </c>
      <c r="G158">
        <v>0.233867856565069</v>
      </c>
      <c r="H158">
        <v>4.69819383813131E-2</v>
      </c>
      <c r="I158">
        <v>2.5374861804017601</v>
      </c>
      <c r="J158">
        <v>0.46130178096540098</v>
      </c>
      <c r="K158">
        <v>-5.2527473234100199</v>
      </c>
      <c r="L158" t="s">
        <v>28</v>
      </c>
      <c r="M158">
        <v>44</v>
      </c>
      <c r="N158" t="b">
        <v>1</v>
      </c>
      <c r="O158" t="b">
        <v>1</v>
      </c>
      <c r="P158" t="b">
        <v>1</v>
      </c>
      <c r="Q158" t="b">
        <v>1</v>
      </c>
      <c r="R158" t="b">
        <v>0</v>
      </c>
    </row>
    <row r="159" spans="1:18" x14ac:dyDescent="0.2">
      <c r="A159">
        <v>46126</v>
      </c>
      <c r="B159" t="s">
        <v>11</v>
      </c>
      <c r="C159">
        <v>263</v>
      </c>
      <c r="D159">
        <v>6.61317896033186E-2</v>
      </c>
      <c r="E159">
        <v>251</v>
      </c>
      <c r="F159">
        <v>6.61317896033186E-2</v>
      </c>
      <c r="G159">
        <v>0.31290428908949303</v>
      </c>
      <c r="H159">
        <v>0.15798136764022899</v>
      </c>
      <c r="I159">
        <v>13.7221523346351</v>
      </c>
      <c r="J159">
        <v>2.1771224087542498</v>
      </c>
      <c r="K159">
        <v>-6.2725092948933998</v>
      </c>
      <c r="L159" t="s">
        <v>28</v>
      </c>
      <c r="M159">
        <v>40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</row>
    <row r="160" spans="1:18" x14ac:dyDescent="0.2">
      <c r="A160">
        <v>46214</v>
      </c>
      <c r="B160" t="s">
        <v>11</v>
      </c>
      <c r="C160">
        <v>49.5</v>
      </c>
      <c r="D160">
        <v>4.1587045312746103E-2</v>
      </c>
      <c r="E160">
        <v>292</v>
      </c>
      <c r="F160">
        <v>4.1587045312746103E-2</v>
      </c>
      <c r="G160">
        <v>0.32668359735894997</v>
      </c>
      <c r="H160">
        <v>1.9387549835373601E-2</v>
      </c>
      <c r="I160">
        <v>1.5714220789161499</v>
      </c>
      <c r="J160">
        <v>0.27391821155507201</v>
      </c>
      <c r="K160">
        <v>-5.5850066518699597</v>
      </c>
      <c r="L160" t="s">
        <v>28</v>
      </c>
      <c r="M160">
        <v>27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</row>
    <row r="161" spans="1:18" x14ac:dyDescent="0.2">
      <c r="A161">
        <v>46288</v>
      </c>
      <c r="B161" t="s">
        <v>10</v>
      </c>
      <c r="C161">
        <v>828</v>
      </c>
      <c r="D161">
        <v>9.1850544758419195E-2</v>
      </c>
      <c r="E161">
        <v>358</v>
      </c>
      <c r="F161">
        <v>9.1850544758419195E-2</v>
      </c>
      <c r="G161">
        <v>0.26584221832066401</v>
      </c>
      <c r="H161">
        <v>0.28081119359142698</v>
      </c>
      <c r="I161">
        <v>18.271748760303598</v>
      </c>
      <c r="J161">
        <v>3.2207188951585999</v>
      </c>
      <c r="K161">
        <v>-5.6446708971941897</v>
      </c>
      <c r="L161" t="s">
        <v>28</v>
      </c>
      <c r="M161">
        <v>19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</row>
    <row r="162" spans="1:18" x14ac:dyDescent="0.2">
      <c r="A162">
        <v>46419</v>
      </c>
      <c r="B162" t="s">
        <v>11</v>
      </c>
      <c r="C162">
        <v>3851.5</v>
      </c>
      <c r="D162">
        <v>0.92839089511113104</v>
      </c>
      <c r="E162">
        <v>423</v>
      </c>
      <c r="F162">
        <v>0.92839089511113104</v>
      </c>
      <c r="G162">
        <v>0.23824500931673001</v>
      </c>
      <c r="H162">
        <v>0.15276307196685199</v>
      </c>
      <c r="I162">
        <v>10.0142243567711</v>
      </c>
      <c r="J162">
        <v>1.42271391737231</v>
      </c>
      <c r="K162">
        <v>-6.3862687717577398</v>
      </c>
      <c r="L162" t="s">
        <v>28</v>
      </c>
      <c r="M162">
        <v>36</v>
      </c>
      <c r="N162" t="b">
        <v>1</v>
      </c>
      <c r="O162" t="b">
        <v>0</v>
      </c>
      <c r="P162" t="b">
        <v>1</v>
      </c>
      <c r="Q162" t="b">
        <v>1</v>
      </c>
      <c r="R162" t="b">
        <v>1</v>
      </c>
    </row>
    <row r="163" spans="1:18" x14ac:dyDescent="0.2">
      <c r="A163">
        <v>46473</v>
      </c>
      <c r="B163" t="s">
        <v>10</v>
      </c>
      <c r="C163">
        <v>8</v>
      </c>
      <c r="D163">
        <v>0.116743434333876</v>
      </c>
      <c r="E163">
        <v>326</v>
      </c>
      <c r="F163">
        <v>0.116743434333876</v>
      </c>
      <c r="G163">
        <v>0.28522032108888201</v>
      </c>
      <c r="H163">
        <v>0.228662222377299</v>
      </c>
      <c r="I163">
        <v>16.814593583808101</v>
      </c>
      <c r="J163">
        <v>2.57530676680503</v>
      </c>
      <c r="K163">
        <v>-6.4838295634153997</v>
      </c>
      <c r="L163" t="s">
        <v>28</v>
      </c>
      <c r="M163">
        <v>32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</row>
    <row r="164" spans="1:18" x14ac:dyDescent="0.2">
      <c r="A164">
        <v>46583</v>
      </c>
      <c r="B164" t="s">
        <v>10</v>
      </c>
      <c r="C164">
        <v>67.5</v>
      </c>
      <c r="D164">
        <v>0.12069824974535</v>
      </c>
      <c r="E164">
        <v>294</v>
      </c>
      <c r="F164">
        <v>0.12069824974535</v>
      </c>
      <c r="G164">
        <v>0.28484184129429801</v>
      </c>
      <c r="H164">
        <v>0.134194917745491</v>
      </c>
      <c r="I164">
        <v>7.5567080007482001</v>
      </c>
      <c r="J164">
        <v>1.9532443098431</v>
      </c>
      <c r="K164">
        <v>-3.8070044354052999</v>
      </c>
      <c r="L164" t="s">
        <v>28</v>
      </c>
      <c r="M164">
        <v>38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</row>
    <row r="165" spans="1:18" x14ac:dyDescent="0.2">
      <c r="A165">
        <v>46603</v>
      </c>
      <c r="B165" t="s">
        <v>10</v>
      </c>
      <c r="C165">
        <v>715</v>
      </c>
      <c r="D165">
        <v>0.14498267124883499</v>
      </c>
      <c r="E165">
        <v>295</v>
      </c>
      <c r="F165">
        <v>0.14498267124883499</v>
      </c>
      <c r="G165">
        <v>0.27325788246111299</v>
      </c>
      <c r="H165">
        <v>0.23526346734057399</v>
      </c>
      <c r="I165">
        <v>16.883057254958398</v>
      </c>
      <c r="J165">
        <v>2.7509859017754099</v>
      </c>
      <c r="K165">
        <v>-6.0843912623860499</v>
      </c>
      <c r="L165" t="s">
        <v>28</v>
      </c>
      <c r="M165">
        <v>30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</row>
    <row r="166" spans="1:18" x14ac:dyDescent="0.2">
      <c r="A166">
        <v>46613</v>
      </c>
      <c r="B166" t="s">
        <v>10</v>
      </c>
      <c r="C166">
        <v>43.5</v>
      </c>
      <c r="D166">
        <v>0.188243175785547</v>
      </c>
      <c r="E166">
        <v>292</v>
      </c>
      <c r="F166">
        <v>0.188243175785547</v>
      </c>
      <c r="G166">
        <v>0.27176423932486898</v>
      </c>
      <c r="H166">
        <v>0.33139272513156898</v>
      </c>
      <c r="I166">
        <v>24.260974561642101</v>
      </c>
      <c r="J166">
        <v>3.9116420455552801</v>
      </c>
      <c r="K166">
        <v>-6.1541243052160004</v>
      </c>
      <c r="L166" t="s">
        <v>28</v>
      </c>
      <c r="M166">
        <v>43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</row>
    <row r="167" spans="1:18" x14ac:dyDescent="0.2">
      <c r="A167">
        <v>46636</v>
      </c>
      <c r="B167" t="s">
        <v>10</v>
      </c>
      <c r="C167">
        <v>298</v>
      </c>
      <c r="D167">
        <v>0.108810151271514</v>
      </c>
      <c r="E167">
        <v>360</v>
      </c>
      <c r="F167">
        <v>0.108810151271514</v>
      </c>
      <c r="G167">
        <v>0.176462823110075</v>
      </c>
      <c r="H167">
        <v>0.219778325242666</v>
      </c>
      <c r="I167">
        <v>10.5219853641832</v>
      </c>
      <c r="J167">
        <v>1.5893458359494199</v>
      </c>
      <c r="K167">
        <v>-6.5518623935559201</v>
      </c>
      <c r="L167" t="s">
        <v>28</v>
      </c>
      <c r="M167">
        <v>39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</row>
    <row r="168" spans="1:18" x14ac:dyDescent="0.2">
      <c r="A168">
        <v>46706</v>
      </c>
      <c r="B168" t="s">
        <v>10</v>
      </c>
      <c r="C168">
        <v>4186.5</v>
      </c>
      <c r="D168">
        <v>0.13095366847093901</v>
      </c>
      <c r="E168">
        <v>377</v>
      </c>
      <c r="F168">
        <v>0.13095366847093901</v>
      </c>
      <c r="G168">
        <v>0.13543198595686201</v>
      </c>
      <c r="H168">
        <v>0.159916187436144</v>
      </c>
      <c r="I168">
        <v>5.0578341045836801</v>
      </c>
      <c r="J168">
        <v>0.93593623607461796</v>
      </c>
      <c r="K168">
        <v>-5.2641197618081597</v>
      </c>
      <c r="L168" t="s">
        <v>28</v>
      </c>
      <c r="M168">
        <v>35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</row>
    <row r="169" spans="1:18" x14ac:dyDescent="0.2">
      <c r="A169">
        <v>46740</v>
      </c>
      <c r="B169" t="s">
        <v>10</v>
      </c>
      <c r="C169">
        <v>9</v>
      </c>
      <c r="D169">
        <v>9.17446864548703E-2</v>
      </c>
      <c r="E169">
        <v>366</v>
      </c>
      <c r="F169">
        <v>9.17446864548703E-2</v>
      </c>
      <c r="G169">
        <v>7.9366273342697802E-2</v>
      </c>
      <c r="H169">
        <v>0.18769622198966299</v>
      </c>
      <c r="I169">
        <v>4.0052037443907702</v>
      </c>
      <c r="J169">
        <v>0.60652180035829095</v>
      </c>
      <c r="K169">
        <v>-6.4522974369991397</v>
      </c>
      <c r="L169" t="s">
        <v>28</v>
      </c>
      <c r="M169">
        <v>25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</row>
    <row r="170" spans="1:18" x14ac:dyDescent="0.2">
      <c r="A170">
        <v>46742</v>
      </c>
      <c r="B170" t="s">
        <v>10</v>
      </c>
      <c r="C170">
        <v>19.5</v>
      </c>
      <c r="D170">
        <v>8.7861576649774106E-2</v>
      </c>
      <c r="E170">
        <v>325</v>
      </c>
      <c r="F170">
        <v>8.7861576649774106E-2</v>
      </c>
      <c r="G170">
        <v>0.322300361993553</v>
      </c>
      <c r="H170">
        <v>0.23938682029290101</v>
      </c>
      <c r="I170">
        <v>17.396351055982802</v>
      </c>
      <c r="J170">
        <v>2.8918268108709899</v>
      </c>
      <c r="K170">
        <v>-5.9853133023965199</v>
      </c>
      <c r="L170" t="s">
        <v>28</v>
      </c>
      <c r="M170">
        <v>25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</row>
    <row r="171" spans="1:18" x14ac:dyDescent="0.2">
      <c r="A171">
        <v>46746</v>
      </c>
      <c r="B171" t="s">
        <v>10</v>
      </c>
      <c r="C171">
        <v>77.5</v>
      </c>
      <c r="D171">
        <v>7.4811884686079702E-2</v>
      </c>
      <c r="E171">
        <v>335</v>
      </c>
      <c r="F171">
        <v>7.4811884686079702E-2</v>
      </c>
      <c r="G171">
        <v>0.29522666337533598</v>
      </c>
      <c r="H171">
        <v>0.123587297480606</v>
      </c>
      <c r="I171">
        <v>8.3706570133394091</v>
      </c>
      <c r="J171">
        <v>1.5231100822499199</v>
      </c>
      <c r="K171">
        <v>-5.4466484237296804</v>
      </c>
      <c r="L171" t="s">
        <v>28</v>
      </c>
      <c r="M171">
        <v>42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</row>
    <row r="172" spans="1:18" x14ac:dyDescent="0.2">
      <c r="A172">
        <v>46811</v>
      </c>
      <c r="B172" t="s">
        <v>10</v>
      </c>
      <c r="C172">
        <v>49</v>
      </c>
      <c r="D172">
        <v>4.8144588469994601E-2</v>
      </c>
      <c r="E172">
        <v>364</v>
      </c>
      <c r="F172">
        <v>4.8144588469994601E-2</v>
      </c>
      <c r="G172">
        <v>0.30815994914190398</v>
      </c>
      <c r="H172">
        <v>2.3044099679111502E-2</v>
      </c>
      <c r="I172">
        <v>1.8957286554313899</v>
      </c>
      <c r="J172">
        <v>0.29088034983225702</v>
      </c>
      <c r="K172">
        <v>-6.3516977617320798</v>
      </c>
      <c r="L172" t="s">
        <v>28</v>
      </c>
      <c r="M172">
        <v>42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</row>
    <row r="173" spans="1:18" x14ac:dyDescent="0.2">
      <c r="A173">
        <v>46868</v>
      </c>
      <c r="B173" t="s">
        <v>10</v>
      </c>
      <c r="C173">
        <v>59.5</v>
      </c>
      <c r="D173">
        <v>0.110070028841057</v>
      </c>
      <c r="E173">
        <v>363</v>
      </c>
      <c r="F173">
        <v>0.110070028841057</v>
      </c>
      <c r="G173">
        <v>0.216179173135436</v>
      </c>
      <c r="H173">
        <v>0.24604526636531199</v>
      </c>
      <c r="I173">
        <v>15.0791392425739</v>
      </c>
      <c r="J173">
        <v>2.2200731548027099</v>
      </c>
      <c r="K173">
        <v>-6.7426017837971299</v>
      </c>
      <c r="L173" t="s">
        <v>28</v>
      </c>
      <c r="M173">
        <v>45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</row>
    <row r="174" spans="1:18" x14ac:dyDescent="0.2">
      <c r="A174">
        <v>47191</v>
      </c>
      <c r="B174" t="s">
        <v>10</v>
      </c>
      <c r="C174">
        <v>175.5</v>
      </c>
      <c r="D174">
        <v>7.2029022417788094E-2</v>
      </c>
      <c r="E174">
        <v>261</v>
      </c>
      <c r="F174">
        <v>7.2029022417788094E-2</v>
      </c>
      <c r="G174">
        <v>0.29221095416751403</v>
      </c>
      <c r="H174">
        <v>0.156513324529063</v>
      </c>
      <c r="I174">
        <v>5.7812127847524204</v>
      </c>
      <c r="J174">
        <v>1.9518356459738699</v>
      </c>
      <c r="K174">
        <v>-2.9250330447193198</v>
      </c>
      <c r="L174" t="s">
        <v>28</v>
      </c>
      <c r="M174">
        <v>20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</row>
    <row r="175" spans="1:18" x14ac:dyDescent="0.2">
      <c r="A175">
        <v>47246</v>
      </c>
      <c r="B175" t="s">
        <v>10</v>
      </c>
      <c r="C175">
        <v>2032</v>
      </c>
      <c r="D175">
        <v>0.17836250991779901</v>
      </c>
      <c r="E175">
        <v>288</v>
      </c>
      <c r="F175">
        <v>0.17836250991779901</v>
      </c>
      <c r="G175">
        <v>0.33203312203973401</v>
      </c>
      <c r="H175">
        <v>5.7439836455522399E-2</v>
      </c>
      <c r="I175">
        <v>4.9422150681049803</v>
      </c>
      <c r="J175">
        <v>0.71439034444106198</v>
      </c>
      <c r="K175">
        <v>-6.6684167769854303</v>
      </c>
      <c r="L175" t="s">
        <v>28</v>
      </c>
      <c r="M175">
        <v>25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</row>
    <row r="176" spans="1:18" x14ac:dyDescent="0.2">
      <c r="A176">
        <v>48114</v>
      </c>
      <c r="B176" t="s">
        <v>10</v>
      </c>
      <c r="C176">
        <v>2184</v>
      </c>
      <c r="D176">
        <v>1.38327606062897</v>
      </c>
      <c r="E176">
        <v>495</v>
      </c>
      <c r="F176">
        <v>1.38327606062897</v>
      </c>
      <c r="G176">
        <v>0.15502127407633301</v>
      </c>
      <c r="H176">
        <v>0.26821112908445599</v>
      </c>
      <c r="I176">
        <v>9.4488903463934903</v>
      </c>
      <c r="J176">
        <v>1.4667646626631099</v>
      </c>
      <c r="K176">
        <v>-5.4989150550711603</v>
      </c>
      <c r="L176" t="s">
        <v>28</v>
      </c>
      <c r="M176">
        <v>33</v>
      </c>
      <c r="N176" t="b">
        <v>1</v>
      </c>
      <c r="O176" t="b">
        <v>0</v>
      </c>
      <c r="P176" t="b">
        <v>1</v>
      </c>
      <c r="Q176" t="b">
        <v>1</v>
      </c>
      <c r="R176" t="b">
        <v>1</v>
      </c>
    </row>
    <row r="177" spans="1:18" x14ac:dyDescent="0.2">
      <c r="A177">
        <v>48522</v>
      </c>
      <c r="B177" t="s">
        <v>11</v>
      </c>
      <c r="C177">
        <v>1239.5</v>
      </c>
      <c r="D177">
        <v>0.12503450603980401</v>
      </c>
      <c r="E177">
        <v>284</v>
      </c>
      <c r="F177">
        <v>0.12503450603980401</v>
      </c>
      <c r="G177">
        <v>0.21223379879409099</v>
      </c>
      <c r="H177">
        <v>0.25640563440512298</v>
      </c>
      <c r="I177">
        <v>13.783452740860501</v>
      </c>
      <c r="J177">
        <v>2.58144328727409</v>
      </c>
      <c r="K177">
        <v>-5.2910006980023399</v>
      </c>
      <c r="L177" t="s">
        <v>28</v>
      </c>
      <c r="M177">
        <v>35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</row>
    <row r="178" spans="1:18" x14ac:dyDescent="0.2">
      <c r="A178">
        <v>48989</v>
      </c>
      <c r="B178" t="s">
        <v>10</v>
      </c>
      <c r="C178">
        <v>87</v>
      </c>
      <c r="D178">
        <v>4.2147935528924499E-2</v>
      </c>
      <c r="E178">
        <v>246</v>
      </c>
      <c r="F178">
        <v>4.2147935528924499E-2</v>
      </c>
      <c r="G178">
        <v>0.22550611284844199</v>
      </c>
      <c r="H178">
        <v>0.14110057944964099</v>
      </c>
      <c r="I178">
        <v>7.89138310846457</v>
      </c>
      <c r="J178">
        <v>1.44183678163967</v>
      </c>
      <c r="K178">
        <v>-5.4439138138849703</v>
      </c>
      <c r="L178" t="s">
        <v>28</v>
      </c>
      <c r="M178">
        <v>20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</row>
    <row r="179" spans="1:18" x14ac:dyDescent="0.2">
      <c r="A179">
        <v>49393</v>
      </c>
      <c r="B179" t="s">
        <v>11</v>
      </c>
      <c r="C179">
        <v>69</v>
      </c>
      <c r="D179">
        <v>0.26078644767620202</v>
      </c>
      <c r="E179">
        <v>266</v>
      </c>
      <c r="F179">
        <v>0.26078644767620202</v>
      </c>
      <c r="G179">
        <v>0.26141684829867801</v>
      </c>
      <c r="H179">
        <v>0.33266425796989502</v>
      </c>
      <c r="I179">
        <v>22.652556402690202</v>
      </c>
      <c r="J179">
        <v>3.72806050928043</v>
      </c>
      <c r="K179">
        <v>-6.0062785728056696</v>
      </c>
      <c r="L179" t="s">
        <v>28</v>
      </c>
      <c r="M179">
        <v>26</v>
      </c>
      <c r="N179" t="b">
        <v>1</v>
      </c>
      <c r="O179" t="b">
        <v>0</v>
      </c>
      <c r="P179" t="b">
        <v>1</v>
      </c>
      <c r="Q179" t="b">
        <v>1</v>
      </c>
      <c r="R179" t="b">
        <v>1</v>
      </c>
    </row>
    <row r="180" spans="1:18" x14ac:dyDescent="0.2">
      <c r="A180">
        <v>49395</v>
      </c>
      <c r="B180" t="s">
        <v>11</v>
      </c>
      <c r="C180">
        <v>47</v>
      </c>
      <c r="D180">
        <v>1.6420565603299499E-2</v>
      </c>
      <c r="E180">
        <v>191</v>
      </c>
      <c r="F180">
        <v>1.6420565603299499E-2</v>
      </c>
      <c r="G180">
        <v>0.237479189181275</v>
      </c>
      <c r="H180">
        <v>0.244323277844331</v>
      </c>
      <c r="I180">
        <v>15.5384774191832</v>
      </c>
      <c r="J180">
        <v>2.5108314773888498</v>
      </c>
      <c r="K180">
        <v>-6.1820384973515301</v>
      </c>
      <c r="L180" t="s">
        <v>28</v>
      </c>
      <c r="M180">
        <v>22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</row>
    <row r="181" spans="1:18" x14ac:dyDescent="0.2">
      <c r="A181">
        <v>49733</v>
      </c>
      <c r="B181" t="s">
        <v>11</v>
      </c>
      <c r="C181">
        <v>0</v>
      </c>
      <c r="D181">
        <v>4.0392539579267001E-2</v>
      </c>
      <c r="E181">
        <v>371</v>
      </c>
      <c r="F181">
        <v>4.0392539579267001E-2</v>
      </c>
      <c r="G181">
        <v>0.29919680767849499</v>
      </c>
      <c r="H181">
        <v>1.7246825465915001E-2</v>
      </c>
      <c r="I181">
        <v>1.07492254546581</v>
      </c>
      <c r="J181">
        <v>0.16668738667973901</v>
      </c>
      <c r="K181">
        <v>-6.2064084541334701</v>
      </c>
      <c r="L181" t="s">
        <v>28</v>
      </c>
      <c r="M181">
        <v>22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</row>
    <row r="182" spans="1:18" x14ac:dyDescent="0.2">
      <c r="A182">
        <v>50392</v>
      </c>
      <c r="B182" t="s">
        <v>11</v>
      </c>
      <c r="C182">
        <v>3852</v>
      </c>
      <c r="D182">
        <v>0.13900288121585</v>
      </c>
      <c r="E182">
        <v>360</v>
      </c>
      <c r="F182">
        <v>0.13900288121585</v>
      </c>
      <c r="G182">
        <v>0.283564067918119</v>
      </c>
      <c r="H182">
        <v>5.9912362430954998E-2</v>
      </c>
      <c r="I182">
        <v>3.6237397371034001</v>
      </c>
      <c r="J182">
        <v>0.68288598380774801</v>
      </c>
      <c r="K182">
        <v>-5.1029556009581301</v>
      </c>
      <c r="L182" t="s">
        <v>28</v>
      </c>
      <c r="M182">
        <v>24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</row>
    <row r="183" spans="1:18" x14ac:dyDescent="0.2">
      <c r="A183">
        <v>53343</v>
      </c>
      <c r="B183" t="s">
        <v>10</v>
      </c>
      <c r="C183">
        <v>2291</v>
      </c>
      <c r="D183">
        <v>0.100268562602551</v>
      </c>
      <c r="E183">
        <v>376</v>
      </c>
      <c r="F183">
        <v>0.100268562602551</v>
      </c>
      <c r="G183">
        <v>0.21984841151607901</v>
      </c>
      <c r="H183">
        <v>0.35454934578692399</v>
      </c>
      <c r="I183">
        <v>16.0043096450101</v>
      </c>
      <c r="J183">
        <v>3.3237847425997802</v>
      </c>
      <c r="K183">
        <v>-4.7849190949615599</v>
      </c>
      <c r="L183" t="s">
        <v>28</v>
      </c>
      <c r="M183">
        <v>41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</row>
    <row r="184" spans="1:18" x14ac:dyDescent="0.2">
      <c r="A184">
        <v>53347</v>
      </c>
      <c r="B184" t="s">
        <v>10</v>
      </c>
      <c r="C184">
        <v>10164</v>
      </c>
      <c r="D184">
        <v>0.87106734607660696</v>
      </c>
      <c r="E184">
        <v>434</v>
      </c>
      <c r="F184">
        <v>0.87106734607660696</v>
      </c>
      <c r="G184">
        <v>0.306948452149502</v>
      </c>
      <c r="H184">
        <v>0.22699772277702299</v>
      </c>
      <c r="I184">
        <v>18.781836731531001</v>
      </c>
      <c r="J184">
        <v>2.81241315609509</v>
      </c>
      <c r="K184">
        <v>-6.3684702038311896</v>
      </c>
      <c r="L184" t="s">
        <v>28</v>
      </c>
      <c r="M184">
        <v>33</v>
      </c>
      <c r="N184" t="b">
        <v>1</v>
      </c>
      <c r="O184" t="b">
        <v>0</v>
      </c>
      <c r="P184" t="b">
        <v>1</v>
      </c>
      <c r="Q184" t="b">
        <v>1</v>
      </c>
      <c r="R184" t="b">
        <v>1</v>
      </c>
    </row>
    <row r="185" spans="1:18" x14ac:dyDescent="0.2">
      <c r="A185">
        <v>53351</v>
      </c>
      <c r="B185" t="s">
        <v>10</v>
      </c>
      <c r="C185">
        <v>34.5</v>
      </c>
      <c r="D185">
        <v>0.163057782491004</v>
      </c>
      <c r="E185">
        <v>265</v>
      </c>
      <c r="F185">
        <v>0.163057782491004</v>
      </c>
      <c r="G185">
        <v>0.26145345600997799</v>
      </c>
      <c r="H185">
        <v>0.25466164714012801</v>
      </c>
      <c r="I185">
        <v>17.551571391932299</v>
      </c>
      <c r="J185">
        <v>2.6374901742244901</v>
      </c>
      <c r="K185">
        <v>-6.59282592950479</v>
      </c>
      <c r="L185" t="s">
        <v>28</v>
      </c>
      <c r="M185">
        <v>26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</row>
    <row r="186" spans="1:18" x14ac:dyDescent="0.2">
      <c r="A186">
        <v>53357</v>
      </c>
      <c r="B186" t="s">
        <v>10</v>
      </c>
      <c r="C186">
        <v>901.5</v>
      </c>
      <c r="D186">
        <v>0.12935538800770399</v>
      </c>
      <c r="E186">
        <v>316</v>
      </c>
      <c r="F186">
        <v>0.12935538800770399</v>
      </c>
      <c r="G186">
        <v>0.20387660200854599</v>
      </c>
      <c r="H186">
        <v>0.27773163334142098</v>
      </c>
      <c r="I186">
        <v>14.762565997842501</v>
      </c>
      <c r="J186">
        <v>2.2668401062181598</v>
      </c>
      <c r="K186">
        <v>-6.4553342645096796</v>
      </c>
      <c r="L186" t="s">
        <v>28</v>
      </c>
      <c r="M186">
        <v>45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</row>
    <row r="187" spans="1:18" x14ac:dyDescent="0.2">
      <c r="A187">
        <v>53381</v>
      </c>
      <c r="B187" t="s">
        <v>10</v>
      </c>
      <c r="C187">
        <v>427</v>
      </c>
      <c r="D187">
        <v>0.23776038774170699</v>
      </c>
      <c r="E187">
        <v>369</v>
      </c>
      <c r="F187">
        <v>0.23776038774170699</v>
      </c>
      <c r="G187">
        <v>0.190519692873755</v>
      </c>
      <c r="H187">
        <v>0.28273575003248402</v>
      </c>
      <c r="I187">
        <v>11.5484306275559</v>
      </c>
      <c r="J187">
        <v>2.2507326780428198</v>
      </c>
      <c r="K187">
        <v>-5.0253281298824204</v>
      </c>
      <c r="L187" t="s">
        <v>28</v>
      </c>
      <c r="M187">
        <v>44</v>
      </c>
      <c r="N187" t="b">
        <v>1</v>
      </c>
      <c r="O187" t="b">
        <v>0</v>
      </c>
      <c r="P187" t="b">
        <v>1</v>
      </c>
      <c r="Q187" t="b">
        <v>1</v>
      </c>
      <c r="R187" t="b">
        <v>1</v>
      </c>
    </row>
    <row r="188" spans="1:18" x14ac:dyDescent="0.2">
      <c r="A188">
        <v>53417</v>
      </c>
      <c r="B188" t="s">
        <v>10</v>
      </c>
      <c r="C188">
        <v>824.5</v>
      </c>
      <c r="D188">
        <v>0.86617489980338802</v>
      </c>
      <c r="E188">
        <v>495</v>
      </c>
      <c r="F188">
        <v>0.86617489980338802</v>
      </c>
      <c r="G188">
        <v>0.26726730267626297</v>
      </c>
      <c r="H188">
        <v>0.13090073120182</v>
      </c>
      <c r="I188">
        <v>9.4169216481397502</v>
      </c>
      <c r="J188">
        <v>1.41902069288306</v>
      </c>
      <c r="K188">
        <v>-6.0258083558764604</v>
      </c>
      <c r="L188" t="s">
        <v>28</v>
      </c>
      <c r="M188">
        <v>26</v>
      </c>
      <c r="N188" t="b">
        <v>1</v>
      </c>
      <c r="O188" t="b">
        <v>0</v>
      </c>
      <c r="P188" t="b">
        <v>1</v>
      </c>
      <c r="Q188" t="b">
        <v>1</v>
      </c>
      <c r="R188" t="b">
        <v>1</v>
      </c>
    </row>
    <row r="189" spans="1:18" x14ac:dyDescent="0.2">
      <c r="A189">
        <v>53432</v>
      </c>
      <c r="B189" t="s">
        <v>10</v>
      </c>
      <c r="C189">
        <v>442.5</v>
      </c>
      <c r="D189">
        <v>0.17580717735777199</v>
      </c>
      <c r="E189">
        <v>330</v>
      </c>
      <c r="F189">
        <v>0.17580717735777199</v>
      </c>
      <c r="G189">
        <v>0.22107606395197499</v>
      </c>
      <c r="H189">
        <v>0.28494420388226299</v>
      </c>
      <c r="I189">
        <v>16.2053441321058</v>
      </c>
      <c r="J189">
        <v>2.74532548146321</v>
      </c>
      <c r="K189">
        <v>-5.8388475475791601</v>
      </c>
      <c r="L189" t="s">
        <v>28</v>
      </c>
      <c r="M189">
        <v>39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</row>
    <row r="190" spans="1:18" x14ac:dyDescent="0.2">
      <c r="A190">
        <v>53461</v>
      </c>
      <c r="B190" t="s">
        <v>10</v>
      </c>
      <c r="C190">
        <v>35.5</v>
      </c>
      <c r="D190">
        <v>0.13808675540946699</v>
      </c>
      <c r="E190">
        <v>263</v>
      </c>
      <c r="F190">
        <v>0.13808675540946699</v>
      </c>
      <c r="G190">
        <v>0.133532375516806</v>
      </c>
      <c r="H190">
        <v>0.25094678487320599</v>
      </c>
      <c r="I190">
        <v>8.9118638883986705</v>
      </c>
      <c r="J190">
        <v>1.3764348976390699</v>
      </c>
      <c r="K190">
        <v>-6.3742768713859697</v>
      </c>
      <c r="L190" s="5" t="s">
        <v>28</v>
      </c>
      <c r="M190" s="5">
        <v>19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</row>
    <row r="191" spans="1:18" x14ac:dyDescent="0.2">
      <c r="A191">
        <v>53494</v>
      </c>
      <c r="B191" t="s">
        <v>10</v>
      </c>
      <c r="C191">
        <v>2611.5</v>
      </c>
      <c r="D191">
        <v>7.3922103473101505E-2</v>
      </c>
      <c r="E191">
        <v>261</v>
      </c>
      <c r="F191">
        <v>7.3922103473101505E-2</v>
      </c>
      <c r="G191">
        <v>0.17081778209284501</v>
      </c>
      <c r="H191">
        <v>0.32706956529513598</v>
      </c>
      <c r="I191">
        <v>11.316498528501301</v>
      </c>
      <c r="J191">
        <v>2.6195789345272198</v>
      </c>
      <c r="K191">
        <v>-4.2917494398989398</v>
      </c>
      <c r="L191" t="s">
        <v>28</v>
      </c>
      <c r="M191">
        <v>44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</row>
    <row r="192" spans="1:18" x14ac:dyDescent="0.2">
      <c r="A192">
        <v>53725</v>
      </c>
      <c r="B192" t="s">
        <v>10</v>
      </c>
      <c r="C192">
        <v>21.5</v>
      </c>
      <c r="D192">
        <v>0.11964204253029501</v>
      </c>
      <c r="E192">
        <v>275</v>
      </c>
      <c r="F192">
        <v>0.11964204253029501</v>
      </c>
      <c r="G192">
        <v>0.21662283195467399</v>
      </c>
      <c r="H192">
        <v>0.23884891608397901</v>
      </c>
      <c r="I192">
        <v>13.628298259997999</v>
      </c>
      <c r="J192">
        <v>2.22906826978988</v>
      </c>
      <c r="K192">
        <v>-6.06022543165136</v>
      </c>
      <c r="L192" t="s">
        <v>28</v>
      </c>
      <c r="M192">
        <v>41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</row>
    <row r="193" spans="1:18" x14ac:dyDescent="0.2">
      <c r="A193">
        <v>53727</v>
      </c>
      <c r="B193" t="s">
        <v>10</v>
      </c>
      <c r="C193">
        <v>501.5</v>
      </c>
      <c r="D193">
        <v>0.20159594346898199</v>
      </c>
      <c r="E193">
        <v>264</v>
      </c>
      <c r="F193">
        <v>0.20159594346898199</v>
      </c>
      <c r="G193">
        <v>0.28158013697025203</v>
      </c>
      <c r="H193">
        <v>3.3682197918100502E-2</v>
      </c>
      <c r="I193">
        <v>2.5270364868906898</v>
      </c>
      <c r="J193">
        <v>0.36710207553662599</v>
      </c>
      <c r="K193">
        <v>-6.3345883839594297</v>
      </c>
      <c r="L193" s="5" t="s">
        <v>29</v>
      </c>
      <c r="M193" s="5">
        <v>11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</row>
    <row r="194" spans="1:18" x14ac:dyDescent="0.2">
      <c r="A194">
        <v>53730</v>
      </c>
      <c r="B194" t="s">
        <v>10</v>
      </c>
      <c r="C194">
        <v>678</v>
      </c>
      <c r="D194">
        <v>0.19753100856779801</v>
      </c>
      <c r="E194">
        <v>325</v>
      </c>
      <c r="F194">
        <v>0.19753100856779801</v>
      </c>
      <c r="G194">
        <v>0.31465286098567002</v>
      </c>
      <c r="H194">
        <v>0.118947664632157</v>
      </c>
      <c r="I194">
        <v>6.4922478412488198</v>
      </c>
      <c r="J194">
        <v>1.5288521989525501</v>
      </c>
      <c r="K194">
        <v>-4.1172827805027001</v>
      </c>
      <c r="L194" t="s">
        <v>29</v>
      </c>
      <c r="M194">
        <v>25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</row>
    <row r="195" spans="1:18" x14ac:dyDescent="0.2">
      <c r="A195">
        <v>53732</v>
      </c>
      <c r="B195" t="s">
        <v>10</v>
      </c>
      <c r="C195">
        <v>0</v>
      </c>
      <c r="D195">
        <v>2.8041915838252E-2</v>
      </c>
      <c r="E195">
        <v>266</v>
      </c>
      <c r="F195">
        <v>2.8041915838252E-2</v>
      </c>
      <c r="G195">
        <v>0.2463899987206</v>
      </c>
      <c r="H195">
        <v>0.31431598463465299</v>
      </c>
      <c r="I195">
        <v>15.347817936470999</v>
      </c>
      <c r="J195">
        <v>2.7463893651070101</v>
      </c>
      <c r="K195">
        <v>-5.5781515233313597</v>
      </c>
      <c r="L195" t="s">
        <v>29</v>
      </c>
      <c r="M195">
        <v>9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</row>
    <row r="196" spans="1:18" x14ac:dyDescent="0.2">
      <c r="A196">
        <v>53745</v>
      </c>
      <c r="B196" t="s">
        <v>10</v>
      </c>
      <c r="C196">
        <v>0</v>
      </c>
      <c r="D196" s="1">
        <v>3.3435232777762399E-5</v>
      </c>
      <c r="E196">
        <v>2329</v>
      </c>
      <c r="F196" s="1">
        <v>3.3435232777762399E-5</v>
      </c>
      <c r="G196">
        <v>9.8669536979094797E-3</v>
      </c>
      <c r="H196">
        <v>2.8731220867165802E-3</v>
      </c>
      <c r="I196">
        <v>2.3486579264739201E-4</v>
      </c>
      <c r="J196">
        <v>2.9354397047413899E-4</v>
      </c>
      <c r="K196">
        <v>-0.68620234149001402</v>
      </c>
      <c r="L196" t="s">
        <v>29</v>
      </c>
      <c r="M196">
        <v>16</v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</row>
    <row r="197" spans="1:18" x14ac:dyDescent="0.2">
      <c r="A197">
        <v>53751</v>
      </c>
      <c r="B197" t="s">
        <v>10</v>
      </c>
      <c r="C197">
        <v>5</v>
      </c>
      <c r="D197">
        <v>5.8862018478315799E-2</v>
      </c>
      <c r="E197">
        <v>450</v>
      </c>
      <c r="F197">
        <v>5.8862018478315799E-2</v>
      </c>
      <c r="G197">
        <v>0.34067611950986199</v>
      </c>
      <c r="H197">
        <v>0.216944308267356</v>
      </c>
      <c r="I197">
        <v>15.494786675417799</v>
      </c>
      <c r="J197">
        <v>2.81241723266902</v>
      </c>
      <c r="K197">
        <v>-5.4884902843133796</v>
      </c>
      <c r="L197" s="5" t="s">
        <v>28</v>
      </c>
      <c r="M197" s="5">
        <v>13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</row>
    <row r="198" spans="1:18" x14ac:dyDescent="0.2">
      <c r="A198">
        <v>53759</v>
      </c>
      <c r="B198" t="s">
        <v>10</v>
      </c>
      <c r="C198">
        <v>12</v>
      </c>
      <c r="D198">
        <v>3.4930665344230998E-2</v>
      </c>
      <c r="E198">
        <v>334</v>
      </c>
      <c r="F198">
        <v>3.4930665344230998E-2</v>
      </c>
      <c r="G198">
        <v>0.25144837003298098</v>
      </c>
      <c r="H198">
        <v>0.19401148787338199</v>
      </c>
      <c r="I198">
        <v>11.3667701497435</v>
      </c>
      <c r="J198">
        <v>1.95092466611996</v>
      </c>
      <c r="K198">
        <v>-5.8084454418920597</v>
      </c>
      <c r="L198" t="s">
        <v>29</v>
      </c>
      <c r="M198">
        <v>27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</row>
    <row r="199" spans="1:18" x14ac:dyDescent="0.2">
      <c r="A199">
        <v>55397</v>
      </c>
      <c r="B199" t="s">
        <v>10</v>
      </c>
      <c r="C199">
        <v>332</v>
      </c>
      <c r="D199">
        <v>0.13181872605364001</v>
      </c>
      <c r="E199">
        <v>395</v>
      </c>
      <c r="F199">
        <v>0.13181872605364001</v>
      </c>
      <c r="G199">
        <v>0.18404140087443099</v>
      </c>
      <c r="H199">
        <v>0.284694366670804</v>
      </c>
      <c r="I199">
        <v>12.426705078125</v>
      </c>
      <c r="J199">
        <v>2.1356444457790098</v>
      </c>
      <c r="K199">
        <v>-5.7569912334291198</v>
      </c>
      <c r="L199" t="s">
        <v>28</v>
      </c>
      <c r="M199">
        <v>27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</row>
    <row r="200" spans="1:18" x14ac:dyDescent="0.2">
      <c r="A200">
        <v>55459</v>
      </c>
      <c r="B200" t="s">
        <v>10</v>
      </c>
      <c r="C200">
        <v>0</v>
      </c>
      <c r="D200">
        <v>3.5156342959472599E-2</v>
      </c>
      <c r="E200">
        <v>343</v>
      </c>
      <c r="F200">
        <v>3.5156342959472599E-2</v>
      </c>
      <c r="G200">
        <v>0.25009294715573899</v>
      </c>
      <c r="H200">
        <v>0.116412651981636</v>
      </c>
      <c r="I200">
        <v>6.8607976006416402</v>
      </c>
      <c r="J200">
        <v>1.28640293270767</v>
      </c>
      <c r="K200">
        <v>-5.3059901249721797</v>
      </c>
      <c r="L200" t="s">
        <v>29</v>
      </c>
      <c r="M200">
        <v>28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</row>
    <row r="201" spans="1:18" x14ac:dyDescent="0.2">
      <c r="A201">
        <v>55515</v>
      </c>
      <c r="B201" t="s">
        <v>10</v>
      </c>
      <c r="C201">
        <v>913</v>
      </c>
      <c r="D201">
        <v>6.6180890344582202E-2</v>
      </c>
      <c r="E201">
        <v>346</v>
      </c>
      <c r="F201">
        <v>6.6180890344582202E-2</v>
      </c>
      <c r="G201">
        <v>0.22005858631175099</v>
      </c>
      <c r="H201">
        <v>0.18991523790092801</v>
      </c>
      <c r="I201">
        <v>10.4260261766045</v>
      </c>
      <c r="J201">
        <v>1.62721299602542</v>
      </c>
      <c r="K201">
        <v>-6.3666190668121496</v>
      </c>
      <c r="L201" t="s">
        <v>28</v>
      </c>
      <c r="M201">
        <v>29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</row>
    <row r="202" spans="1:18" x14ac:dyDescent="0.2">
      <c r="A202">
        <v>55774</v>
      </c>
      <c r="B202" t="s">
        <v>10</v>
      </c>
      <c r="C202">
        <v>2.5</v>
      </c>
      <c r="D202">
        <v>0.47366668417372199</v>
      </c>
      <c r="E202">
        <v>303</v>
      </c>
      <c r="F202">
        <v>0.47366668417372199</v>
      </c>
      <c r="G202">
        <v>0.148548231227107</v>
      </c>
      <c r="H202">
        <v>0.222177113804644</v>
      </c>
      <c r="I202">
        <v>9.3827454371204801</v>
      </c>
      <c r="J202">
        <v>1.3276524295019201</v>
      </c>
      <c r="K202">
        <v>-6.7103999171598296</v>
      </c>
      <c r="L202" t="s">
        <v>28</v>
      </c>
      <c r="M202">
        <v>18</v>
      </c>
      <c r="N202" t="b">
        <v>1</v>
      </c>
      <c r="O202" t="b">
        <v>0</v>
      </c>
      <c r="P202" t="b">
        <v>1</v>
      </c>
      <c r="Q202" t="b">
        <v>1</v>
      </c>
      <c r="R202" t="b">
        <v>1</v>
      </c>
    </row>
    <row r="203" spans="1:18" x14ac:dyDescent="0.2">
      <c r="A203">
        <v>56173</v>
      </c>
      <c r="B203" t="s">
        <v>10</v>
      </c>
      <c r="C203">
        <v>169.5</v>
      </c>
      <c r="D203">
        <v>0.119705233255518</v>
      </c>
      <c r="E203">
        <v>243</v>
      </c>
      <c r="F203">
        <v>0.119705233255518</v>
      </c>
      <c r="G203">
        <v>0.18347401035065899</v>
      </c>
      <c r="H203">
        <v>0.25261599790518002</v>
      </c>
      <c r="I203">
        <v>11.3743187968029</v>
      </c>
      <c r="J203">
        <v>1.9619670109046099</v>
      </c>
      <c r="K203">
        <v>-5.7363928654224399</v>
      </c>
      <c r="L203" s="5" t="s">
        <v>29</v>
      </c>
      <c r="M203" s="5">
        <v>13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</row>
    <row r="204" spans="1:18" x14ac:dyDescent="0.2">
      <c r="A204">
        <v>56211</v>
      </c>
      <c r="B204" t="s">
        <v>10</v>
      </c>
      <c r="C204">
        <v>7080</v>
      </c>
      <c r="D204">
        <v>0.60783496194681996</v>
      </c>
      <c r="E204">
        <v>2272</v>
      </c>
      <c r="F204">
        <v>0.60783496194681996</v>
      </c>
      <c r="G204">
        <v>7.1056907135929701E-2</v>
      </c>
      <c r="H204">
        <v>0.11122091603697699</v>
      </c>
      <c r="I204">
        <v>1.0748965267664199</v>
      </c>
      <c r="J204">
        <v>0.35893575530634497</v>
      </c>
      <c r="K204">
        <v>-1.30124000720121</v>
      </c>
      <c r="L204" t="s">
        <v>29</v>
      </c>
      <c r="M204">
        <v>9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</row>
    <row r="205" spans="1:18" x14ac:dyDescent="0.2">
      <c r="A205">
        <v>59738</v>
      </c>
      <c r="B205" t="s">
        <v>10</v>
      </c>
      <c r="C205">
        <v>26.5</v>
      </c>
      <c r="D205">
        <v>0.12804166963215999</v>
      </c>
      <c r="E205">
        <v>302</v>
      </c>
      <c r="F205">
        <v>0.12804166963215999</v>
      </c>
      <c r="G205">
        <v>0.32298382053401398</v>
      </c>
      <c r="H205">
        <v>4.5788447504800198E-2</v>
      </c>
      <c r="I205">
        <v>2.1167363122086398</v>
      </c>
      <c r="J205">
        <v>0.58075493480907303</v>
      </c>
      <c r="K205">
        <v>-3.4243267226481202</v>
      </c>
      <c r="L205" t="s">
        <v>29</v>
      </c>
      <c r="M205">
        <v>9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</row>
    <row r="206" spans="1:18" x14ac:dyDescent="0.2">
      <c r="A206">
        <v>59741</v>
      </c>
      <c r="B206" t="s">
        <v>10</v>
      </c>
      <c r="C206">
        <v>46.5</v>
      </c>
      <c r="D206">
        <v>0.113812510955851</v>
      </c>
      <c r="E206">
        <v>455</v>
      </c>
      <c r="F206">
        <v>0.113812510955851</v>
      </c>
      <c r="G206">
        <v>0.27505162181795101</v>
      </c>
      <c r="H206">
        <v>0.27944435202124002</v>
      </c>
      <c r="I206">
        <v>16.480697069153301</v>
      </c>
      <c r="J206">
        <v>3.7850835887444001</v>
      </c>
      <c r="K206">
        <v>-4.3240483795040197</v>
      </c>
      <c r="L206" t="s">
        <v>29</v>
      </c>
      <c r="M206">
        <v>11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</row>
    <row r="207" spans="1:18" x14ac:dyDescent="0.2">
      <c r="A207">
        <v>59742</v>
      </c>
      <c r="B207" t="s">
        <v>10</v>
      </c>
      <c r="C207">
        <v>163.5</v>
      </c>
      <c r="D207">
        <v>0.118373895715964</v>
      </c>
      <c r="E207">
        <v>244</v>
      </c>
      <c r="F207">
        <v>0.118373895715964</v>
      </c>
      <c r="G207">
        <v>0.31850785354466798</v>
      </c>
      <c r="H207">
        <v>6.1369587778112099E-2</v>
      </c>
      <c r="I207">
        <v>4.3154832102471596</v>
      </c>
      <c r="J207">
        <v>0.768408403649535</v>
      </c>
      <c r="K207">
        <v>-5.4620814850503097</v>
      </c>
      <c r="L207" t="s">
        <v>29</v>
      </c>
      <c r="M207">
        <v>9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</row>
    <row r="208" spans="1:18" x14ac:dyDescent="0.2">
      <c r="A208">
        <v>59749</v>
      </c>
      <c r="B208" t="s">
        <v>10</v>
      </c>
      <c r="C208">
        <v>830</v>
      </c>
      <c r="D208">
        <v>0.115726572436956</v>
      </c>
      <c r="E208">
        <v>462</v>
      </c>
      <c r="F208">
        <v>0.115726572436956</v>
      </c>
      <c r="G208">
        <v>0.26056931369026198</v>
      </c>
      <c r="H208">
        <v>3.0593088523465602E-2</v>
      </c>
      <c r="I208">
        <v>2.0101990966324101</v>
      </c>
      <c r="J208">
        <v>0.305993453519327</v>
      </c>
      <c r="K208">
        <v>-6.1912191336335001</v>
      </c>
      <c r="L208" t="s">
        <v>29</v>
      </c>
      <c r="M208">
        <v>13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</row>
    <row r="209" spans="1:18" x14ac:dyDescent="0.2">
      <c r="A209">
        <v>59750</v>
      </c>
      <c r="B209" t="s">
        <v>10</v>
      </c>
      <c r="C209">
        <v>21.5</v>
      </c>
      <c r="D209">
        <v>3.9581743649878903E-2</v>
      </c>
      <c r="E209">
        <v>374</v>
      </c>
      <c r="F209">
        <v>3.9581743649878903E-2</v>
      </c>
      <c r="G209">
        <v>0.25993044122827302</v>
      </c>
      <c r="H209">
        <v>0.21329957124707299</v>
      </c>
      <c r="I209">
        <v>13.7303782070327</v>
      </c>
      <c r="J209">
        <v>2.2994928180476299</v>
      </c>
      <c r="K209">
        <v>-5.9538331043829196</v>
      </c>
      <c r="L209" s="5" t="s">
        <v>29</v>
      </c>
      <c r="M209" s="5">
        <v>19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</row>
    <row r="210" spans="1:18" x14ac:dyDescent="0.2">
      <c r="A210">
        <v>59752</v>
      </c>
      <c r="B210" t="s">
        <v>10</v>
      </c>
      <c r="C210">
        <v>620.5</v>
      </c>
      <c r="D210">
        <v>8.5574863273187404E-2</v>
      </c>
      <c r="E210">
        <v>334</v>
      </c>
      <c r="F210">
        <v>8.5574863273187404E-2</v>
      </c>
      <c r="G210">
        <v>0.244259607479133</v>
      </c>
      <c r="H210">
        <v>0.31161989849633498</v>
      </c>
      <c r="I210">
        <v>19.052682225575399</v>
      </c>
      <c r="J210">
        <v>3.32627271307696</v>
      </c>
      <c r="K210">
        <v>-5.7022105516888697</v>
      </c>
      <c r="L210" t="s">
        <v>29</v>
      </c>
      <c r="M210">
        <v>18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</row>
    <row r="211" spans="1:18" x14ac:dyDescent="0.2">
      <c r="A211">
        <v>59774</v>
      </c>
      <c r="B211" t="s">
        <v>10</v>
      </c>
      <c r="C211">
        <v>5643.5</v>
      </c>
      <c r="D211">
        <v>0.571230909860447</v>
      </c>
      <c r="E211">
        <v>352</v>
      </c>
      <c r="F211">
        <v>0.571230909860447</v>
      </c>
      <c r="G211">
        <v>0.23351471995098799</v>
      </c>
      <c r="H211">
        <v>0.221782197882784</v>
      </c>
      <c r="I211">
        <v>13.7101179062276</v>
      </c>
      <c r="J211">
        <v>2.39929280023278</v>
      </c>
      <c r="K211">
        <v>-5.4761498867884901</v>
      </c>
      <c r="L211" t="s">
        <v>29</v>
      </c>
      <c r="M211">
        <v>22</v>
      </c>
      <c r="N211" t="b">
        <v>1</v>
      </c>
      <c r="O211" t="b">
        <v>0</v>
      </c>
      <c r="P211" t="b">
        <v>1</v>
      </c>
      <c r="Q211" t="b">
        <v>1</v>
      </c>
      <c r="R211" t="b">
        <v>1</v>
      </c>
    </row>
    <row r="212" spans="1:18" x14ac:dyDescent="0.2">
      <c r="A212">
        <v>59778</v>
      </c>
      <c r="B212" t="s">
        <v>10</v>
      </c>
      <c r="C212">
        <v>63.379867699997703</v>
      </c>
      <c r="D212">
        <v>0.10647549297707801</v>
      </c>
      <c r="E212">
        <v>351</v>
      </c>
      <c r="F212">
        <v>0.10647549297707801</v>
      </c>
      <c r="G212">
        <v>0.232079652251621</v>
      </c>
      <c r="H212">
        <v>9.2046359423460497E-2</v>
      </c>
      <c r="I212">
        <v>5.6327540114076298</v>
      </c>
      <c r="J212">
        <v>0.89308751069148995</v>
      </c>
      <c r="K212">
        <v>-6.1878354050116799</v>
      </c>
      <c r="L212" s="5" t="s">
        <v>29</v>
      </c>
      <c r="M212" s="5">
        <v>9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</row>
    <row r="213" spans="1:18" x14ac:dyDescent="0.2">
      <c r="A213">
        <v>59780</v>
      </c>
      <c r="B213" t="s">
        <v>10</v>
      </c>
      <c r="C213">
        <v>19.5</v>
      </c>
      <c r="D213">
        <v>2.46101130727444E-2</v>
      </c>
      <c r="E213">
        <v>402</v>
      </c>
      <c r="F213">
        <v>2.46101130727444E-2</v>
      </c>
      <c r="G213">
        <v>0.31263327164525101</v>
      </c>
      <c r="H213">
        <v>1.0198552546185E-2</v>
      </c>
      <c r="I213">
        <v>0.83266557739430802</v>
      </c>
      <c r="J213">
        <v>0.13080374456348801</v>
      </c>
      <c r="K213">
        <v>-6.1776172159151104</v>
      </c>
      <c r="L213" t="s">
        <v>29</v>
      </c>
      <c r="M213">
        <v>24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</row>
    <row r="214" spans="1:18" x14ac:dyDescent="0.2">
      <c r="A214">
        <v>59791</v>
      </c>
      <c r="B214" t="s">
        <v>10</v>
      </c>
      <c r="C214">
        <v>60.5</v>
      </c>
      <c r="D214">
        <v>0.16982034868759599</v>
      </c>
      <c r="E214">
        <v>306</v>
      </c>
      <c r="F214">
        <v>0.16982034868759599</v>
      </c>
      <c r="G214">
        <v>0.30353596559512103</v>
      </c>
      <c r="H214">
        <v>0.302661188136154</v>
      </c>
      <c r="I214">
        <v>23.074865000160798</v>
      </c>
      <c r="J214">
        <v>3.5693486621676098</v>
      </c>
      <c r="K214">
        <v>-6.4171496873503404</v>
      </c>
      <c r="L214" t="s">
        <v>28</v>
      </c>
      <c r="M214">
        <v>17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</row>
    <row r="215" spans="1:18" x14ac:dyDescent="0.2">
      <c r="A215">
        <v>59798</v>
      </c>
      <c r="B215" t="s">
        <v>10</v>
      </c>
      <c r="C215">
        <v>474</v>
      </c>
      <c r="D215">
        <v>4.4893486939822799E-2</v>
      </c>
      <c r="E215">
        <v>369</v>
      </c>
      <c r="F215">
        <v>4.4893486939822799E-2</v>
      </c>
      <c r="G215">
        <v>0.24067847030189099</v>
      </c>
      <c r="H215">
        <v>0.19900745061706401</v>
      </c>
      <c r="I215">
        <v>11.243531473435301</v>
      </c>
      <c r="J215">
        <v>2.2607919793870201</v>
      </c>
      <c r="K215">
        <v>-4.9534137101511799</v>
      </c>
      <c r="L215" t="s">
        <v>29</v>
      </c>
      <c r="M215">
        <v>9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</row>
    <row r="216" spans="1:18" x14ac:dyDescent="0.2">
      <c r="A216">
        <v>59803</v>
      </c>
      <c r="B216" t="s">
        <v>10</v>
      </c>
      <c r="C216">
        <v>39</v>
      </c>
      <c r="D216">
        <v>1.3438946190191801</v>
      </c>
      <c r="E216">
        <v>397</v>
      </c>
      <c r="F216">
        <v>1.3438946190191801</v>
      </c>
      <c r="G216">
        <v>0.31805901321250801</v>
      </c>
      <c r="H216">
        <v>0.233001172773561</v>
      </c>
      <c r="I216">
        <v>19.460607764083701</v>
      </c>
      <c r="J216">
        <v>3.2111698384110099</v>
      </c>
      <c r="K216">
        <v>-5.6417798050909997</v>
      </c>
      <c r="L216" t="s">
        <v>29</v>
      </c>
      <c r="M216">
        <v>9</v>
      </c>
      <c r="N216" t="b">
        <v>1</v>
      </c>
      <c r="O216" t="b">
        <v>0</v>
      </c>
      <c r="P216" t="b">
        <v>1</v>
      </c>
      <c r="Q216" t="b">
        <v>1</v>
      </c>
      <c r="R216" t="b">
        <v>1</v>
      </c>
    </row>
    <row r="217" spans="1:18" x14ac:dyDescent="0.2">
      <c r="A217">
        <v>59808</v>
      </c>
      <c r="B217" t="s">
        <v>10</v>
      </c>
      <c r="C217">
        <v>114</v>
      </c>
      <c r="D217">
        <v>9.5112574930112007E-2</v>
      </c>
      <c r="E217">
        <v>415</v>
      </c>
      <c r="F217">
        <v>9.5112574930112007E-2</v>
      </c>
      <c r="G217">
        <v>0.27752658109473899</v>
      </c>
      <c r="H217">
        <v>0.14732600888398101</v>
      </c>
      <c r="I217">
        <v>10.2033651047531</v>
      </c>
      <c r="J217">
        <v>1.66977095459485</v>
      </c>
      <c r="K217">
        <v>-6.0536761057001502</v>
      </c>
      <c r="L217" t="s">
        <v>29</v>
      </c>
      <c r="M217">
        <v>19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</row>
    <row r="218" spans="1:18" x14ac:dyDescent="0.2">
      <c r="A218">
        <v>59813</v>
      </c>
      <c r="B218" t="s">
        <v>10</v>
      </c>
      <c r="C218">
        <v>20</v>
      </c>
      <c r="D218">
        <v>2.9402914068231801E-2</v>
      </c>
      <c r="E218">
        <v>318</v>
      </c>
      <c r="F218">
        <v>2.9402914068231801E-2</v>
      </c>
      <c r="G218">
        <v>0.196623848536366</v>
      </c>
      <c r="H218">
        <v>0.16928020892769799</v>
      </c>
      <c r="I218">
        <v>8.5251347512954005</v>
      </c>
      <c r="J218">
        <v>1.3601583295489701</v>
      </c>
      <c r="K218">
        <v>-6.2461344776268604</v>
      </c>
      <c r="L218" t="s">
        <v>29</v>
      </c>
      <c r="M218">
        <v>20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</row>
    <row r="219" spans="1:18" x14ac:dyDescent="0.2">
      <c r="A219">
        <v>59817</v>
      </c>
      <c r="B219" t="s">
        <v>10</v>
      </c>
      <c r="C219">
        <v>0</v>
      </c>
      <c r="D219">
        <v>0</v>
      </c>
      <c r="E219">
        <v>2670</v>
      </c>
      <c r="F219">
        <v>0</v>
      </c>
      <c r="G219">
        <v>5.2643833102281698E-2</v>
      </c>
      <c r="H219">
        <v>5.4469248343639802E-2</v>
      </c>
      <c r="I219" s="1">
        <v>8.2674427309613002E-5</v>
      </c>
      <c r="J219">
        <v>5.7901056886425803E-4</v>
      </c>
      <c r="K219">
        <v>-0.14278569641963601</v>
      </c>
      <c r="L219" t="s">
        <v>28</v>
      </c>
      <c r="M219">
        <v>34</v>
      </c>
      <c r="N219" t="b">
        <v>1</v>
      </c>
      <c r="O219" t="b">
        <v>1</v>
      </c>
      <c r="P219" t="b">
        <v>0</v>
      </c>
      <c r="Q219" t="b">
        <v>0</v>
      </c>
      <c r="R219" t="b">
        <v>0</v>
      </c>
    </row>
    <row r="220" spans="1:18" x14ac:dyDescent="0.2">
      <c r="A220">
        <v>59820</v>
      </c>
      <c r="B220" t="s">
        <v>10</v>
      </c>
      <c r="C220">
        <v>5</v>
      </c>
      <c r="D220">
        <v>6.5447515212981699E-2</v>
      </c>
      <c r="E220">
        <v>337</v>
      </c>
      <c r="F220">
        <v>6.5447515212981699E-2</v>
      </c>
      <c r="G220">
        <v>0.20214776322843001</v>
      </c>
      <c r="H220">
        <v>0.24105455309950599</v>
      </c>
      <c r="I220">
        <v>11.880991615623101</v>
      </c>
      <c r="J220">
        <v>1.84358649483448</v>
      </c>
      <c r="K220">
        <v>-6.4089990534840302</v>
      </c>
      <c r="L220" t="s">
        <v>28</v>
      </c>
      <c r="M220">
        <v>28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</row>
    <row r="221" spans="1:18" x14ac:dyDescent="0.2">
      <c r="A221">
        <v>59830</v>
      </c>
      <c r="B221" t="s">
        <v>10</v>
      </c>
      <c r="C221">
        <v>48</v>
      </c>
      <c r="D221">
        <v>0.21416145930554001</v>
      </c>
      <c r="E221">
        <v>326</v>
      </c>
      <c r="F221">
        <v>0.21416145930554001</v>
      </c>
      <c r="G221">
        <v>0.18948920804094799</v>
      </c>
      <c r="H221">
        <v>0.29755756672922701</v>
      </c>
      <c r="I221">
        <v>14.0324666054953</v>
      </c>
      <c r="J221">
        <v>2.2517645132390598</v>
      </c>
      <c r="K221">
        <v>-6.1366564154227499</v>
      </c>
      <c r="L221" t="s">
        <v>28</v>
      </c>
      <c r="M221">
        <v>36</v>
      </c>
      <c r="N221" t="b">
        <v>1</v>
      </c>
      <c r="O221" t="b">
        <v>0</v>
      </c>
      <c r="P221" t="b">
        <v>1</v>
      </c>
      <c r="Q221" t="b">
        <v>1</v>
      </c>
      <c r="R221" t="b">
        <v>1</v>
      </c>
    </row>
    <row r="222" spans="1:18" x14ac:dyDescent="0.2">
      <c r="A222">
        <v>59831</v>
      </c>
      <c r="B222" t="s">
        <v>10</v>
      </c>
      <c r="C222">
        <v>1030.5</v>
      </c>
      <c r="D222">
        <v>3.26935600542873E-2</v>
      </c>
      <c r="E222">
        <v>304</v>
      </c>
      <c r="F222">
        <v>3.26935600542873E-2</v>
      </c>
      <c r="G222">
        <v>0.14222249748632801</v>
      </c>
      <c r="H222">
        <v>0.177375242119089</v>
      </c>
      <c r="I222">
        <v>6.7933438902951604</v>
      </c>
      <c r="J222">
        <v>1.0394321517154801</v>
      </c>
      <c r="K222">
        <v>-6.5041766498015896</v>
      </c>
      <c r="L222" t="s">
        <v>28</v>
      </c>
      <c r="M222">
        <v>23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</row>
    <row r="223" spans="1:18" x14ac:dyDescent="0.2">
      <c r="A223">
        <v>60246</v>
      </c>
      <c r="B223" t="s">
        <v>10</v>
      </c>
      <c r="C223">
        <v>22</v>
      </c>
      <c r="D223">
        <v>0.62960104066744105</v>
      </c>
      <c r="E223">
        <v>552</v>
      </c>
      <c r="F223">
        <v>0.62960104066744105</v>
      </c>
      <c r="G223">
        <v>0.27016027858665997</v>
      </c>
      <c r="H223">
        <v>0.22444515765546699</v>
      </c>
      <c r="I223">
        <v>13.752036611306901</v>
      </c>
      <c r="J223">
        <v>2.5320649758585199</v>
      </c>
      <c r="K223">
        <v>-5.1825034885568897</v>
      </c>
      <c r="L223" t="s">
        <v>28</v>
      </c>
      <c r="M223">
        <v>26</v>
      </c>
      <c r="N223" t="b">
        <v>1</v>
      </c>
      <c r="O223" t="b">
        <v>0</v>
      </c>
      <c r="P223" t="b">
        <v>1</v>
      </c>
      <c r="Q223" t="b">
        <v>1</v>
      </c>
      <c r="R223" t="b">
        <v>0</v>
      </c>
    </row>
    <row r="224" spans="1:18" x14ac:dyDescent="0.2">
      <c r="A224">
        <v>60314</v>
      </c>
      <c r="B224" t="s">
        <v>10</v>
      </c>
      <c r="C224">
        <v>142</v>
      </c>
      <c r="D224">
        <v>6.0985825211602097E-2</v>
      </c>
      <c r="E224">
        <v>330</v>
      </c>
      <c r="F224">
        <v>6.0985825211602097E-2</v>
      </c>
      <c r="G224">
        <v>0.112631177031256</v>
      </c>
      <c r="H224">
        <v>0.23143125274505399</v>
      </c>
      <c r="I224">
        <v>7.15477843698556</v>
      </c>
      <c r="J224">
        <v>1.0484249003988599</v>
      </c>
      <c r="K224">
        <v>-6.7661428196480404</v>
      </c>
      <c r="L224" t="s">
        <v>28</v>
      </c>
      <c r="M224">
        <v>23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</row>
    <row r="225" spans="1:18" x14ac:dyDescent="0.2">
      <c r="A225">
        <v>62624</v>
      </c>
      <c r="B225" t="s">
        <v>10</v>
      </c>
      <c r="C225">
        <v>516</v>
      </c>
      <c r="D225">
        <v>0.20157854814775</v>
      </c>
      <c r="E225">
        <v>341</v>
      </c>
      <c r="F225">
        <v>0.20157854814775</v>
      </c>
      <c r="G225">
        <v>0.27126308112892999</v>
      </c>
      <c r="H225">
        <v>0.33588912028859402</v>
      </c>
      <c r="I225">
        <v>24.924593421115699</v>
      </c>
      <c r="J225">
        <v>3.9185955896009501</v>
      </c>
      <c r="K225">
        <v>-6.30915191620619</v>
      </c>
      <c r="L225" t="s">
        <v>28</v>
      </c>
      <c r="M225">
        <v>29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</row>
    <row r="226" spans="1:18" x14ac:dyDescent="0.2">
      <c r="A226">
        <v>62793</v>
      </c>
      <c r="B226" t="s">
        <v>10</v>
      </c>
      <c r="C226">
        <v>741</v>
      </c>
      <c r="D226">
        <v>6.6640245975383705E-2</v>
      </c>
      <c r="E226">
        <v>347</v>
      </c>
      <c r="F226">
        <v>6.6640245975383705E-2</v>
      </c>
      <c r="G226">
        <v>0.244536864545709</v>
      </c>
      <c r="H226">
        <v>0.241930565838374</v>
      </c>
      <c r="I226">
        <v>14.394618169046099</v>
      </c>
      <c r="J226">
        <v>2.3175975690166801</v>
      </c>
      <c r="K226">
        <v>-6.1822544667018304</v>
      </c>
      <c r="L226" t="s">
        <v>28</v>
      </c>
      <c r="M226">
        <v>22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</row>
    <row r="227" spans="1:18" x14ac:dyDescent="0.2">
      <c r="A227">
        <v>62797</v>
      </c>
      <c r="B227" t="s">
        <v>10</v>
      </c>
      <c r="C227">
        <v>136</v>
      </c>
      <c r="D227">
        <v>5.40695508727118E-2</v>
      </c>
      <c r="E227">
        <v>373</v>
      </c>
      <c r="F227">
        <v>5.40695508727118E-2</v>
      </c>
      <c r="G227">
        <v>0.10491490071359499</v>
      </c>
      <c r="H227">
        <v>0.250034189351861</v>
      </c>
      <c r="I227">
        <v>5.1521664671136698</v>
      </c>
      <c r="J227">
        <v>1.1526338721240701</v>
      </c>
      <c r="K227">
        <v>-4.4229976573967704</v>
      </c>
      <c r="L227" t="s">
        <v>28</v>
      </c>
      <c r="M227">
        <v>32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</row>
    <row r="228" spans="1:18" x14ac:dyDescent="0.2">
      <c r="A228">
        <v>62811</v>
      </c>
      <c r="B228" t="s">
        <v>10</v>
      </c>
      <c r="C228">
        <v>806</v>
      </c>
      <c r="D228">
        <v>0.274099379458977</v>
      </c>
      <c r="E228">
        <v>318</v>
      </c>
      <c r="F228">
        <v>0.274099379458977</v>
      </c>
      <c r="G228">
        <v>0.131320422639917</v>
      </c>
      <c r="H228">
        <v>0.246065999100225</v>
      </c>
      <c r="I228">
        <v>8.6501516248828096</v>
      </c>
      <c r="J228">
        <v>1.35681262517065</v>
      </c>
      <c r="K228">
        <v>-6.1733301194557599</v>
      </c>
      <c r="L228" t="s">
        <v>28</v>
      </c>
      <c r="M228">
        <v>39</v>
      </c>
      <c r="N228" t="b">
        <v>1</v>
      </c>
      <c r="O228" t="b">
        <v>0</v>
      </c>
      <c r="P228" t="b">
        <v>1</v>
      </c>
      <c r="Q228" t="b">
        <v>1</v>
      </c>
      <c r="R228" t="b">
        <v>1</v>
      </c>
    </row>
    <row r="229" spans="1:18" x14ac:dyDescent="0.2">
      <c r="A229">
        <v>62812</v>
      </c>
      <c r="B229" t="s">
        <v>10</v>
      </c>
      <c r="C229">
        <v>109</v>
      </c>
      <c r="D229">
        <v>8.6393602700517699E-2</v>
      </c>
      <c r="E229">
        <v>376</v>
      </c>
      <c r="F229">
        <v>8.6393602700517699E-2</v>
      </c>
      <c r="G229">
        <v>0.24877592495526299</v>
      </c>
      <c r="H229">
        <v>0.18670976002610001</v>
      </c>
      <c r="I229">
        <v>11.6121508454988</v>
      </c>
      <c r="J229">
        <v>1.97526653955804</v>
      </c>
      <c r="K229">
        <v>-5.8350389742222601</v>
      </c>
      <c r="L229" t="s">
        <v>28</v>
      </c>
      <c r="M229">
        <v>29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</row>
    <row r="230" spans="1:18" x14ac:dyDescent="0.2">
      <c r="A230">
        <v>62816</v>
      </c>
      <c r="B230" t="s">
        <v>10</v>
      </c>
      <c r="C230">
        <v>2</v>
      </c>
      <c r="D230">
        <v>6.2077186713949101E-2</v>
      </c>
      <c r="E230">
        <v>321</v>
      </c>
      <c r="F230">
        <v>6.2077186713949101E-2</v>
      </c>
      <c r="G230">
        <v>0.25231314602729898</v>
      </c>
      <c r="H230">
        <v>0.14493137906921399</v>
      </c>
      <c r="I230">
        <v>7.8712442128247702</v>
      </c>
      <c r="J230">
        <v>1.5503617544191399</v>
      </c>
      <c r="K230">
        <v>-5.0369966905153696</v>
      </c>
      <c r="L230" t="s">
        <v>28</v>
      </c>
      <c r="M230">
        <v>28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</row>
    <row r="231" spans="1:18" x14ac:dyDescent="0.2">
      <c r="A231">
        <v>62848</v>
      </c>
      <c r="B231" t="s">
        <v>10</v>
      </c>
      <c r="C231">
        <v>12</v>
      </c>
      <c r="D231">
        <v>0.1044092377143</v>
      </c>
      <c r="E231">
        <v>294</v>
      </c>
      <c r="F231">
        <v>0.1044092377143</v>
      </c>
      <c r="G231">
        <v>0.30593272763262902</v>
      </c>
      <c r="H231">
        <v>0.26017570428157999</v>
      </c>
      <c r="I231">
        <v>21.208619927696699</v>
      </c>
      <c r="J231">
        <v>3.0465095153519299</v>
      </c>
      <c r="K231">
        <v>-6.9273411370075602</v>
      </c>
      <c r="L231" t="s">
        <v>28</v>
      </c>
      <c r="M231">
        <v>28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</row>
    <row r="232" spans="1:18" x14ac:dyDescent="0.2">
      <c r="A232">
        <v>62868</v>
      </c>
      <c r="B232" t="s">
        <v>10</v>
      </c>
      <c r="C232">
        <v>30</v>
      </c>
      <c r="D232">
        <v>0.30744941013826599</v>
      </c>
      <c r="E232">
        <v>285</v>
      </c>
      <c r="F232">
        <v>0.30744941013826599</v>
      </c>
      <c r="G232">
        <v>0.25209049541480399</v>
      </c>
      <c r="H232">
        <v>0.26260370311308701</v>
      </c>
      <c r="I232">
        <v>17.528310754996301</v>
      </c>
      <c r="J232">
        <v>2.5443018892153</v>
      </c>
      <c r="K232">
        <v>-6.7684033163883903</v>
      </c>
      <c r="L232" t="s">
        <v>28</v>
      </c>
      <c r="M232">
        <v>28</v>
      </c>
      <c r="N232" t="b">
        <v>1</v>
      </c>
      <c r="O232" t="b">
        <v>0</v>
      </c>
      <c r="P232" t="b">
        <v>1</v>
      </c>
      <c r="Q232" t="b">
        <v>1</v>
      </c>
      <c r="R232" t="b">
        <v>1</v>
      </c>
    </row>
    <row r="233" spans="1:18" x14ac:dyDescent="0.2">
      <c r="A233">
        <v>62874</v>
      </c>
      <c r="B233" t="s">
        <v>10</v>
      </c>
      <c r="C233">
        <v>306.42013549804699</v>
      </c>
      <c r="D233">
        <v>0.11203525709637301</v>
      </c>
      <c r="E233">
        <v>356</v>
      </c>
      <c r="F233">
        <v>0.11203525709637301</v>
      </c>
      <c r="G233">
        <v>0.204103352734049</v>
      </c>
      <c r="H233">
        <v>0.140006564364659</v>
      </c>
      <c r="I233">
        <v>7.4570776175716196</v>
      </c>
      <c r="J233">
        <v>1.1118039867282901</v>
      </c>
      <c r="K233">
        <v>-6.6064184407986701</v>
      </c>
      <c r="L233" t="s">
        <v>28</v>
      </c>
      <c r="M233">
        <v>35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</row>
    <row r="234" spans="1:18" x14ac:dyDescent="0.2">
      <c r="A234">
        <v>62882</v>
      </c>
      <c r="B234" t="s">
        <v>10</v>
      </c>
      <c r="C234">
        <v>212.43281920198899</v>
      </c>
      <c r="D234">
        <v>0.16272327021720501</v>
      </c>
      <c r="E234">
        <v>454</v>
      </c>
      <c r="F234">
        <v>0.16272327021720501</v>
      </c>
      <c r="G234">
        <v>0.1701352181653</v>
      </c>
      <c r="H234">
        <v>0.23367470758084899</v>
      </c>
      <c r="I234">
        <v>9.5701723450760792</v>
      </c>
      <c r="J234">
        <v>1.8013456778018699</v>
      </c>
      <c r="K234">
        <v>-5.2224562951950997</v>
      </c>
      <c r="L234" t="s">
        <v>28</v>
      </c>
      <c r="M234">
        <v>31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</row>
    <row r="235" spans="1:18" x14ac:dyDescent="0.2">
      <c r="A235">
        <v>62886</v>
      </c>
      <c r="B235" t="s">
        <v>10</v>
      </c>
      <c r="C235">
        <v>20</v>
      </c>
      <c r="D235">
        <v>6.6500928198480705E-2</v>
      </c>
      <c r="E235">
        <v>294</v>
      </c>
      <c r="F235">
        <v>6.6500928198480705E-2</v>
      </c>
      <c r="G235">
        <v>0.25877835016620698</v>
      </c>
      <c r="H235">
        <v>0.261414580625288</v>
      </c>
      <c r="I235">
        <v>15.210368987426801</v>
      </c>
      <c r="J235">
        <v>2.7070155344188702</v>
      </c>
      <c r="K235">
        <v>-5.59430408384386</v>
      </c>
      <c r="L235" t="s">
        <v>28</v>
      </c>
      <c r="M235">
        <v>23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</row>
    <row r="236" spans="1:18" x14ac:dyDescent="0.2">
      <c r="A236">
        <v>62899</v>
      </c>
      <c r="B236" t="s">
        <v>10</v>
      </c>
      <c r="C236">
        <v>203</v>
      </c>
      <c r="D236">
        <v>0.99989622706412595</v>
      </c>
      <c r="E236">
        <v>505</v>
      </c>
      <c r="F236">
        <v>0.99989622706412595</v>
      </c>
      <c r="G236">
        <v>0.17337411459892099</v>
      </c>
      <c r="H236">
        <v>0.17955052275681099</v>
      </c>
      <c r="I236">
        <v>8.1694184421165499</v>
      </c>
      <c r="J236">
        <v>1.2155595030516599</v>
      </c>
      <c r="K236">
        <v>-5.8981252641712203</v>
      </c>
      <c r="L236" t="s">
        <v>28</v>
      </c>
      <c r="M236">
        <v>28</v>
      </c>
      <c r="N236" t="b">
        <v>1</v>
      </c>
      <c r="O236" t="b">
        <v>0</v>
      </c>
      <c r="P236" t="b">
        <v>1</v>
      </c>
      <c r="Q236" t="b">
        <v>1</v>
      </c>
      <c r="R236" t="b">
        <v>0</v>
      </c>
    </row>
    <row r="237" spans="1:18" x14ac:dyDescent="0.2">
      <c r="A237">
        <v>62934</v>
      </c>
      <c r="B237" t="s">
        <v>10</v>
      </c>
      <c r="C237">
        <v>373</v>
      </c>
      <c r="D237">
        <v>0.119697076791033</v>
      </c>
      <c r="E237">
        <v>313</v>
      </c>
      <c r="F237">
        <v>0.119697076791033</v>
      </c>
      <c r="G237">
        <v>0.30727495865868298</v>
      </c>
      <c r="H237">
        <v>0.187187894430805</v>
      </c>
      <c r="I237">
        <v>14.3829637925986</v>
      </c>
      <c r="J237">
        <v>2.4009556761811401</v>
      </c>
      <c r="K237">
        <v>-5.9406622360034902</v>
      </c>
      <c r="L237" s="5" t="s">
        <v>28</v>
      </c>
      <c r="M237" s="5">
        <v>18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</row>
    <row r="238" spans="1:18" x14ac:dyDescent="0.2">
      <c r="A238">
        <v>62943</v>
      </c>
      <c r="B238" t="s">
        <v>10</v>
      </c>
      <c r="C238">
        <v>139</v>
      </c>
      <c r="D238">
        <v>7.9348256439371295E-2</v>
      </c>
      <c r="E238">
        <v>317</v>
      </c>
      <c r="F238">
        <v>7.9348256439371295E-2</v>
      </c>
      <c r="G238">
        <v>0.311430715225613</v>
      </c>
      <c r="H238">
        <v>0.178231590593395</v>
      </c>
      <c r="I238">
        <v>14.538650019796201</v>
      </c>
      <c r="J238">
        <v>2.5290026109947199</v>
      </c>
      <c r="K238">
        <v>-5.7173929755927198</v>
      </c>
      <c r="L238" t="s">
        <v>28</v>
      </c>
      <c r="M238">
        <v>42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</row>
    <row r="239" spans="1:18" x14ac:dyDescent="0.2">
      <c r="A239">
        <v>63028</v>
      </c>
      <c r="B239" t="s">
        <v>10</v>
      </c>
      <c r="C239">
        <v>47</v>
      </c>
      <c r="D239">
        <v>0.11037547362053</v>
      </c>
      <c r="E239">
        <v>414</v>
      </c>
      <c r="F239">
        <v>0.11037547362053</v>
      </c>
      <c r="G239">
        <v>0.279843564314393</v>
      </c>
      <c r="H239">
        <v>0.15747230264266701</v>
      </c>
      <c r="I239">
        <v>12.165512574824101</v>
      </c>
      <c r="J239">
        <v>1.8884474544288501</v>
      </c>
      <c r="K239">
        <v>-6.3836232630838801</v>
      </c>
      <c r="L239" t="s">
        <v>28</v>
      </c>
      <c r="M239">
        <v>45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</row>
    <row r="240" spans="1:18" x14ac:dyDescent="0.2">
      <c r="A240">
        <v>63127</v>
      </c>
      <c r="B240" t="s">
        <v>10</v>
      </c>
      <c r="C240">
        <v>484</v>
      </c>
      <c r="D240">
        <v>4.2336147710945697</v>
      </c>
      <c r="E240">
        <v>451</v>
      </c>
      <c r="F240">
        <v>4.2336147710945697</v>
      </c>
      <c r="G240">
        <v>0.22038631533284</v>
      </c>
      <c r="H240">
        <v>0.320711517062998</v>
      </c>
      <c r="I240">
        <v>18.7062145651695</v>
      </c>
      <c r="J240">
        <v>2.8617847424250602</v>
      </c>
      <c r="K240">
        <v>-5.0571937083607796</v>
      </c>
      <c r="L240" t="s">
        <v>28</v>
      </c>
      <c r="M240">
        <v>44</v>
      </c>
      <c r="N240" t="b">
        <v>1</v>
      </c>
      <c r="O240" t="b">
        <v>0</v>
      </c>
      <c r="P240" t="b">
        <v>1</v>
      </c>
      <c r="Q240" t="b">
        <v>1</v>
      </c>
      <c r="R240" t="b">
        <v>1</v>
      </c>
    </row>
    <row r="241" spans="1:18" x14ac:dyDescent="0.2">
      <c r="A241">
        <v>63156</v>
      </c>
      <c r="B241" t="s">
        <v>10</v>
      </c>
      <c r="C241">
        <v>5</v>
      </c>
      <c r="D241">
        <v>6.2230133297225702E-2</v>
      </c>
      <c r="E241">
        <v>330</v>
      </c>
      <c r="F241">
        <v>6.2230133297225702E-2</v>
      </c>
      <c r="G241">
        <v>0.22404152597912799</v>
      </c>
      <c r="H241">
        <v>0.30206791647710801</v>
      </c>
      <c r="I241">
        <v>19.3123636881657</v>
      </c>
      <c r="J241">
        <v>2.7879146209091501</v>
      </c>
      <c r="K241">
        <v>-6.9048504608046199</v>
      </c>
      <c r="L241" t="s">
        <v>28</v>
      </c>
      <c r="M241">
        <v>30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</row>
    <row r="242" spans="1:18" x14ac:dyDescent="0.2">
      <c r="A242">
        <v>63170</v>
      </c>
      <c r="B242" t="s">
        <v>10</v>
      </c>
      <c r="C242">
        <v>3</v>
      </c>
      <c r="D242">
        <v>3.2843901778974199E-2</v>
      </c>
      <c r="E242">
        <v>287</v>
      </c>
      <c r="F242">
        <v>3.2843901778974199E-2</v>
      </c>
      <c r="G242">
        <v>0.235807208694675</v>
      </c>
      <c r="H242">
        <v>0.30144471438047299</v>
      </c>
      <c r="I242">
        <v>13.5258834782578</v>
      </c>
      <c r="J242">
        <v>2.6971507637459999</v>
      </c>
      <c r="K242">
        <v>-5.0027012793822001</v>
      </c>
      <c r="L242" t="s">
        <v>28</v>
      </c>
      <c r="M242">
        <v>35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</row>
    <row r="243" spans="1:18" x14ac:dyDescent="0.2">
      <c r="A243">
        <v>63309</v>
      </c>
      <c r="B243" t="s">
        <v>10</v>
      </c>
      <c r="C243">
        <v>59.5</v>
      </c>
      <c r="D243">
        <v>3.2937365811418297E-2</v>
      </c>
      <c r="E243">
        <v>270</v>
      </c>
      <c r="F243">
        <v>3.2937365811418297E-2</v>
      </c>
      <c r="G243">
        <v>0.15404123095823799</v>
      </c>
      <c r="H243">
        <v>0.20487313869409501</v>
      </c>
      <c r="I243">
        <v>7.8186980945962796</v>
      </c>
      <c r="J243">
        <v>1.3184152847902699</v>
      </c>
      <c r="K243">
        <v>-5.9053932540105603</v>
      </c>
      <c r="L243" t="s">
        <v>28</v>
      </c>
      <c r="M243">
        <v>29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</row>
    <row r="244" spans="1:18" x14ac:dyDescent="0.2">
      <c r="A244">
        <v>63482</v>
      </c>
      <c r="B244" t="s">
        <v>10</v>
      </c>
      <c r="C244">
        <v>1289</v>
      </c>
      <c r="D244">
        <v>3.3478865406006697E-2</v>
      </c>
      <c r="E244">
        <v>323</v>
      </c>
      <c r="F244">
        <v>3.3478865406006697E-2</v>
      </c>
      <c r="G244">
        <v>0.158966088760681</v>
      </c>
      <c r="H244">
        <v>0.20876441524723999</v>
      </c>
      <c r="I244">
        <v>8.0138281618465008</v>
      </c>
      <c r="J244">
        <v>1.4605951682501199</v>
      </c>
      <c r="K244">
        <v>-5.4637653676490103</v>
      </c>
      <c r="L244" t="s">
        <v>28</v>
      </c>
      <c r="M244">
        <v>41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</row>
    <row r="245" spans="1:18" x14ac:dyDescent="0.2">
      <c r="A245">
        <v>63695</v>
      </c>
      <c r="B245" t="s">
        <v>10</v>
      </c>
      <c r="C245">
        <v>231</v>
      </c>
      <c r="D245">
        <v>0.67649136687516298</v>
      </c>
      <c r="E245">
        <v>273</v>
      </c>
      <c r="F245">
        <v>0.67649136687516298</v>
      </c>
      <c r="G245">
        <v>0.25235458602007299</v>
      </c>
      <c r="H245">
        <v>0.25758610613143201</v>
      </c>
      <c r="I245">
        <v>16.1795427059111</v>
      </c>
      <c r="J245">
        <v>2.82211929670573</v>
      </c>
      <c r="K245">
        <v>-5.4934075101405799</v>
      </c>
      <c r="L245" t="s">
        <v>28</v>
      </c>
      <c r="M245">
        <v>24</v>
      </c>
      <c r="N245" t="b">
        <v>1</v>
      </c>
      <c r="O245" t="b">
        <v>0</v>
      </c>
      <c r="P245" t="b">
        <v>1</v>
      </c>
      <c r="Q245" t="b">
        <v>1</v>
      </c>
      <c r="R245" t="b">
        <v>1</v>
      </c>
    </row>
    <row r="246" spans="1:18" x14ac:dyDescent="0.2">
      <c r="A246">
        <v>63742</v>
      </c>
      <c r="B246" t="s">
        <v>10</v>
      </c>
      <c r="C246">
        <v>1762</v>
      </c>
      <c r="D246">
        <v>8.2855434218073898E-2</v>
      </c>
      <c r="E246">
        <v>292</v>
      </c>
      <c r="F246">
        <v>8.2855434218073898E-2</v>
      </c>
      <c r="G246">
        <v>0.203341430908663</v>
      </c>
      <c r="H246">
        <v>4.49579993446345E-2</v>
      </c>
      <c r="I246">
        <v>1.98044195464569</v>
      </c>
      <c r="J246">
        <v>0.37210083265278698</v>
      </c>
      <c r="K246">
        <v>-5.0996567433061299</v>
      </c>
      <c r="L246" t="s">
        <v>28</v>
      </c>
      <c r="M246">
        <v>22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</row>
    <row r="247" spans="1:18" x14ac:dyDescent="0.2">
      <c r="A247">
        <v>28803</v>
      </c>
      <c r="B247" t="s">
        <v>10</v>
      </c>
      <c r="C247">
        <v>5796</v>
      </c>
      <c r="D247">
        <v>1.4737162298414599</v>
      </c>
      <c r="E247">
        <v>953</v>
      </c>
      <c r="F247">
        <v>1.4737162298414599</v>
      </c>
      <c r="G247">
        <v>0.40218304072419703</v>
      </c>
      <c r="H247">
        <v>0.328627475379066</v>
      </c>
      <c r="I247">
        <v>26.879084373620401</v>
      </c>
      <c r="J247">
        <v>6.04493440044783</v>
      </c>
      <c r="K247">
        <v>-4.2027533238238099</v>
      </c>
      <c r="L247" t="s">
        <v>28</v>
      </c>
      <c r="M247">
        <v>33</v>
      </c>
      <c r="N247" t="b">
        <v>0</v>
      </c>
      <c r="O247" t="b">
        <v>0</v>
      </c>
      <c r="P247" t="b">
        <v>1</v>
      </c>
      <c r="Q247" t="b">
        <v>1</v>
      </c>
      <c r="R247" t="b">
        <v>0</v>
      </c>
    </row>
    <row r="248" spans="1:18" x14ac:dyDescent="0.2">
      <c r="A248">
        <v>29134</v>
      </c>
      <c r="B248" t="s">
        <v>10</v>
      </c>
      <c r="C248">
        <v>56</v>
      </c>
      <c r="D248">
        <v>0.58907882681268497</v>
      </c>
      <c r="E248">
        <v>497</v>
      </c>
      <c r="F248">
        <v>0.58907882681268497</v>
      </c>
      <c r="G248">
        <v>0.13811701371969801</v>
      </c>
      <c r="H248">
        <v>0.20040829301779201</v>
      </c>
      <c r="I248">
        <v>6.5612764086678501</v>
      </c>
      <c r="J248">
        <v>1.0962626011163501</v>
      </c>
      <c r="K248">
        <v>-5.4477800991966099</v>
      </c>
      <c r="L248" t="s">
        <v>28</v>
      </c>
      <c r="M248">
        <v>18</v>
      </c>
      <c r="N248" t="b">
        <v>0</v>
      </c>
      <c r="O248" t="b">
        <v>0</v>
      </c>
      <c r="P248" t="b">
        <v>1</v>
      </c>
      <c r="Q248" t="b">
        <v>1</v>
      </c>
      <c r="R248" t="b">
        <v>1</v>
      </c>
    </row>
    <row r="249" spans="1:18" x14ac:dyDescent="0.2">
      <c r="A249">
        <v>29324</v>
      </c>
      <c r="B249" t="s">
        <v>10</v>
      </c>
      <c r="C249">
        <v>8086.5</v>
      </c>
      <c r="D249">
        <v>2.9521530105896101</v>
      </c>
      <c r="E249">
        <v>570</v>
      </c>
      <c r="F249">
        <v>2.9521530105896101</v>
      </c>
      <c r="G249">
        <v>0.18355068509452899</v>
      </c>
      <c r="H249">
        <v>0.20798720563552101</v>
      </c>
      <c r="I249">
        <v>9.8646500289351895</v>
      </c>
      <c r="J249">
        <v>1.54014209586257</v>
      </c>
      <c r="K249">
        <v>-4.48822029922776</v>
      </c>
      <c r="L249" t="s">
        <v>28</v>
      </c>
      <c r="M249">
        <v>42</v>
      </c>
      <c r="N249" t="b">
        <v>0</v>
      </c>
      <c r="O249" t="b">
        <v>0</v>
      </c>
      <c r="P249" t="b">
        <v>1</v>
      </c>
      <c r="Q249" t="b">
        <v>1</v>
      </c>
      <c r="R249" t="b">
        <v>0</v>
      </c>
    </row>
    <row r="250" spans="1:18" x14ac:dyDescent="0.2">
      <c r="A250">
        <v>29395</v>
      </c>
      <c r="B250" t="s">
        <v>10</v>
      </c>
      <c r="C250">
        <v>3659.5</v>
      </c>
      <c r="D250">
        <v>0.61109344576345703</v>
      </c>
      <c r="E250">
        <v>329</v>
      </c>
      <c r="F250">
        <v>0.61109344576345703</v>
      </c>
      <c r="G250">
        <v>0.23435009032370699</v>
      </c>
      <c r="H250">
        <v>0.21705139096117099</v>
      </c>
      <c r="I250">
        <v>11.657732983853901</v>
      </c>
      <c r="J250">
        <v>1.9091555528308199</v>
      </c>
      <c r="K250">
        <v>-5.7861390716491803</v>
      </c>
      <c r="L250" t="s">
        <v>28</v>
      </c>
      <c r="M250">
        <v>30</v>
      </c>
      <c r="N250" t="b">
        <v>0</v>
      </c>
      <c r="O250" t="b">
        <v>0</v>
      </c>
      <c r="P250" t="b">
        <v>1</v>
      </c>
      <c r="Q250" t="b">
        <v>1</v>
      </c>
      <c r="R250" t="b">
        <v>1</v>
      </c>
    </row>
    <row r="251" spans="1:18" x14ac:dyDescent="0.2">
      <c r="A251">
        <v>29400</v>
      </c>
      <c r="B251" t="s">
        <v>10</v>
      </c>
      <c r="C251">
        <v>12024.5</v>
      </c>
      <c r="D251">
        <v>1.3204763586884301</v>
      </c>
      <c r="E251">
        <v>673</v>
      </c>
      <c r="F251">
        <v>1.3204763586884301</v>
      </c>
      <c r="G251">
        <v>0.28881761714975801</v>
      </c>
      <c r="H251">
        <v>0.191817623449027</v>
      </c>
      <c r="I251">
        <v>13.9161615879121</v>
      </c>
      <c r="J251">
        <v>2.3695613840887799</v>
      </c>
      <c r="K251">
        <v>-5.3156188794270696</v>
      </c>
      <c r="L251" t="s">
        <v>28</v>
      </c>
      <c r="M251">
        <v>36</v>
      </c>
      <c r="N251" t="b">
        <v>0</v>
      </c>
      <c r="O251" t="b">
        <v>0</v>
      </c>
      <c r="P251" t="b">
        <v>1</v>
      </c>
      <c r="Q251" t="b">
        <v>1</v>
      </c>
      <c r="R251" t="b">
        <v>0</v>
      </c>
    </row>
    <row r="252" spans="1:18" x14ac:dyDescent="0.2">
      <c r="A252">
        <v>30103</v>
      </c>
      <c r="B252" t="s">
        <v>10</v>
      </c>
      <c r="C252">
        <v>489</v>
      </c>
      <c r="D252">
        <v>0.97704314786072299</v>
      </c>
      <c r="E252">
        <v>339</v>
      </c>
      <c r="F252">
        <v>0.97704314786072299</v>
      </c>
      <c r="G252">
        <v>0.28876147364773003</v>
      </c>
      <c r="H252">
        <v>0.25853382682814402</v>
      </c>
      <c r="I252">
        <v>19.983125485030701</v>
      </c>
      <c r="J252">
        <v>2.7615576555706198</v>
      </c>
      <c r="K252">
        <v>-6.8823775230007804</v>
      </c>
      <c r="L252" t="s">
        <v>28</v>
      </c>
      <c r="M252">
        <v>21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</row>
    <row r="253" spans="1:18" x14ac:dyDescent="0.2">
      <c r="A253">
        <v>30321</v>
      </c>
      <c r="B253" t="s">
        <v>10</v>
      </c>
      <c r="C253">
        <v>158.5</v>
      </c>
      <c r="D253">
        <v>0.25754298208481102</v>
      </c>
      <c r="E253">
        <v>430</v>
      </c>
      <c r="F253">
        <v>0.25754298208481102</v>
      </c>
      <c r="G253">
        <v>0.30338228611613899</v>
      </c>
      <c r="H253">
        <v>0.24542031071321099</v>
      </c>
      <c r="I253">
        <v>15.035861325250201</v>
      </c>
      <c r="J253">
        <v>3.68564457065809</v>
      </c>
      <c r="K253">
        <v>-4.0096970990685197</v>
      </c>
      <c r="L253" t="s">
        <v>28</v>
      </c>
      <c r="M253">
        <v>30</v>
      </c>
      <c r="N253" t="b">
        <v>0</v>
      </c>
      <c r="O253" t="b">
        <v>0</v>
      </c>
      <c r="P253" t="b">
        <v>1</v>
      </c>
      <c r="Q253" t="b">
        <v>1</v>
      </c>
      <c r="R253" t="b">
        <v>1</v>
      </c>
    </row>
    <row r="254" spans="1:18" x14ac:dyDescent="0.2">
      <c r="A254">
        <v>30654</v>
      </c>
      <c r="B254" t="s">
        <v>10</v>
      </c>
      <c r="C254" s="1">
        <v>2.91038304567337E-11</v>
      </c>
      <c r="D254">
        <v>3.1190595802209099E-2</v>
      </c>
      <c r="E254">
        <v>2582</v>
      </c>
      <c r="F254">
        <v>3.1190595802209099E-2</v>
      </c>
      <c r="G254">
        <v>6.0542238337057602E-2</v>
      </c>
      <c r="H254">
        <v>1.69353988116627E-2</v>
      </c>
      <c r="I254">
        <v>6.01272578727522E-2</v>
      </c>
      <c r="J254">
        <v>4.7002816780974101E-2</v>
      </c>
      <c r="K254">
        <v>-0.61563676503439202</v>
      </c>
      <c r="L254" t="s">
        <v>28</v>
      </c>
      <c r="M254">
        <v>33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</row>
    <row r="255" spans="1:18" x14ac:dyDescent="0.2">
      <c r="A255">
        <v>30984</v>
      </c>
      <c r="B255" t="s">
        <v>10</v>
      </c>
      <c r="C255">
        <v>531.5</v>
      </c>
      <c r="D255">
        <v>0.17430933387250899</v>
      </c>
      <c r="E255">
        <v>350</v>
      </c>
      <c r="F255">
        <v>0.17430933387250899</v>
      </c>
      <c r="G255">
        <v>0.21532433363859799</v>
      </c>
      <c r="H255">
        <v>0.31789274524174799</v>
      </c>
      <c r="I255">
        <v>16.922016668696202</v>
      </c>
      <c r="J255">
        <v>2.74389218742935</v>
      </c>
      <c r="K255">
        <v>-6.1036316993613502</v>
      </c>
      <c r="L255" t="s">
        <v>28</v>
      </c>
      <c r="M255">
        <v>25</v>
      </c>
      <c r="N255" t="b">
        <v>0</v>
      </c>
      <c r="O255" t="b">
        <v>1</v>
      </c>
      <c r="P255" t="b">
        <v>1</v>
      </c>
      <c r="Q255" t="b">
        <v>1</v>
      </c>
      <c r="R255" t="b">
        <v>1</v>
      </c>
    </row>
    <row r="256" spans="1:18" x14ac:dyDescent="0.2">
      <c r="A256">
        <v>31795</v>
      </c>
      <c r="B256" t="s">
        <v>10</v>
      </c>
      <c r="C256">
        <v>3</v>
      </c>
      <c r="D256">
        <v>0.13275297457964999</v>
      </c>
      <c r="E256">
        <v>620</v>
      </c>
      <c r="F256">
        <v>0.13275297457964999</v>
      </c>
      <c r="G256">
        <v>0.238865285229139</v>
      </c>
      <c r="H256">
        <v>0.19993110233178399</v>
      </c>
      <c r="I256">
        <v>10.690697558996</v>
      </c>
      <c r="J256">
        <v>2.0151283778272102</v>
      </c>
      <c r="K256">
        <v>-5.2393409276486702</v>
      </c>
      <c r="L256" t="s">
        <v>28</v>
      </c>
      <c r="M256">
        <v>43</v>
      </c>
      <c r="N256" t="b">
        <v>0</v>
      </c>
      <c r="O256" t="b">
        <v>1</v>
      </c>
      <c r="P256" t="b">
        <v>1</v>
      </c>
      <c r="Q256" t="b">
        <v>1</v>
      </c>
      <c r="R256" t="b">
        <v>0</v>
      </c>
    </row>
    <row r="257" spans="1:18" x14ac:dyDescent="0.2">
      <c r="A257">
        <v>32145</v>
      </c>
      <c r="B257" t="s">
        <v>11</v>
      </c>
      <c r="C257">
        <v>7680.5</v>
      </c>
      <c r="D257">
        <v>0.30833666763664602</v>
      </c>
      <c r="E257">
        <v>1893</v>
      </c>
      <c r="F257">
        <v>0.30833666763664602</v>
      </c>
      <c r="G257">
        <v>4.3653136452259503E-2</v>
      </c>
      <c r="H257">
        <v>6.3740301517360001E-2</v>
      </c>
      <c r="I257">
        <v>0.40263824021533501</v>
      </c>
      <c r="J257">
        <v>0.114600594316089</v>
      </c>
      <c r="K257">
        <v>-0.82287158405644301</v>
      </c>
      <c r="L257" t="s">
        <v>28</v>
      </c>
      <c r="M257">
        <v>38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</row>
    <row r="258" spans="1:18" x14ac:dyDescent="0.2">
      <c r="A258">
        <v>32190</v>
      </c>
      <c r="B258" t="s">
        <v>11</v>
      </c>
      <c r="C258">
        <v>0</v>
      </c>
      <c r="D258">
        <v>6.76220664995274E-2</v>
      </c>
      <c r="E258">
        <v>2193</v>
      </c>
      <c r="F258">
        <v>6.76220664995274E-2</v>
      </c>
      <c r="G258">
        <v>6.6653926542626502E-2</v>
      </c>
      <c r="H258">
        <v>3.2974189018665098E-2</v>
      </c>
      <c r="I258">
        <v>0.245308736796679</v>
      </c>
      <c r="J258">
        <v>0.10571986349338899</v>
      </c>
      <c r="K258">
        <v>-1.6807311741209701</v>
      </c>
      <c r="L258" t="s">
        <v>28</v>
      </c>
      <c r="M258">
        <v>13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</row>
    <row r="259" spans="1:18" x14ac:dyDescent="0.2">
      <c r="A259">
        <v>32513</v>
      </c>
      <c r="B259" t="s">
        <v>11</v>
      </c>
      <c r="C259">
        <v>0</v>
      </c>
      <c r="D259">
        <v>0</v>
      </c>
      <c r="E259">
        <v>2610</v>
      </c>
      <c r="F259">
        <v>0</v>
      </c>
      <c r="G259">
        <v>6.3017680025537606E-2</v>
      </c>
      <c r="H259">
        <v>3.4804875425485798E-2</v>
      </c>
      <c r="I259">
        <v>2.36969125603534E-2</v>
      </c>
      <c r="J259">
        <v>3.5733580083237501E-2</v>
      </c>
      <c r="K259">
        <v>-0.66315528713199101</v>
      </c>
      <c r="L259" t="s">
        <v>28</v>
      </c>
      <c r="M259">
        <v>27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</row>
    <row r="260" spans="1:18" x14ac:dyDescent="0.2">
      <c r="A260">
        <v>32633</v>
      </c>
      <c r="B260" t="s">
        <v>11</v>
      </c>
      <c r="C260">
        <v>0</v>
      </c>
      <c r="D260">
        <v>6.8672920378716397E-4</v>
      </c>
      <c r="E260">
        <v>2071</v>
      </c>
      <c r="F260">
        <v>6.8672920378716397E-4</v>
      </c>
      <c r="G260">
        <v>1.03611694376015E-2</v>
      </c>
      <c r="H260">
        <v>1.8554352271416399E-2</v>
      </c>
      <c r="I260">
        <v>2.05942085473221E-2</v>
      </c>
      <c r="J260">
        <v>8.5677460184888608E-3</v>
      </c>
      <c r="K260">
        <v>-2.3235375209040199</v>
      </c>
      <c r="L260" t="s">
        <v>28</v>
      </c>
      <c r="M260">
        <v>35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</row>
    <row r="261" spans="1:18" x14ac:dyDescent="0.2">
      <c r="A261">
        <v>32846</v>
      </c>
      <c r="B261" t="s">
        <v>11</v>
      </c>
      <c r="C261">
        <v>0</v>
      </c>
      <c r="D261">
        <v>3.2298022799299901E-3</v>
      </c>
      <c r="E261">
        <v>2459</v>
      </c>
      <c r="F261">
        <v>3.2298022799299901E-3</v>
      </c>
      <c r="G261">
        <v>8.7250624371142799E-4</v>
      </c>
      <c r="H261">
        <v>2.7158330341243899E-2</v>
      </c>
      <c r="I261">
        <v>4.3933810486731896E-3</v>
      </c>
      <c r="J261">
        <v>1.17476503832577E-3</v>
      </c>
      <c r="K261">
        <v>-0.99047786645190905</v>
      </c>
      <c r="L261" t="s">
        <v>28</v>
      </c>
      <c r="M261">
        <v>27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</row>
    <row r="262" spans="1:18" x14ac:dyDescent="0.2">
      <c r="A262">
        <v>32959</v>
      </c>
      <c r="B262" t="s">
        <v>11</v>
      </c>
      <c r="C262">
        <v>0</v>
      </c>
      <c r="D262">
        <v>1.9968775404860702E-2</v>
      </c>
      <c r="E262">
        <v>2574</v>
      </c>
      <c r="F262">
        <v>1.9968775404860702E-2</v>
      </c>
      <c r="G262">
        <v>1.32989024103211E-2</v>
      </c>
      <c r="H262">
        <v>3.1488542423038203E-2</v>
      </c>
      <c r="I262">
        <v>3.4524268815608702E-2</v>
      </c>
      <c r="J262">
        <v>1.52370785399567E-2</v>
      </c>
      <c r="K262">
        <v>-0.95526799133958895</v>
      </c>
      <c r="L262" t="s">
        <v>28</v>
      </c>
      <c r="M262">
        <v>18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</row>
    <row r="263" spans="1:18" x14ac:dyDescent="0.2">
      <c r="A263">
        <v>33327</v>
      </c>
      <c r="B263" t="s">
        <v>11</v>
      </c>
      <c r="C263">
        <v>0</v>
      </c>
      <c r="D263">
        <v>1.5559973246135599E-2</v>
      </c>
      <c r="E263">
        <v>2406</v>
      </c>
      <c r="F263">
        <v>1.5559973246135599E-2</v>
      </c>
      <c r="G263">
        <v>6.2117547284378698E-3</v>
      </c>
      <c r="H263">
        <v>4.61024801977859E-2</v>
      </c>
      <c r="I263">
        <v>2.7077158173648599E-2</v>
      </c>
      <c r="J263">
        <v>1.3375698862290199E-2</v>
      </c>
      <c r="K263">
        <v>-0.86105294729557602</v>
      </c>
      <c r="L263" t="s">
        <v>28</v>
      </c>
      <c r="M263">
        <v>44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</row>
    <row r="264" spans="1:18" x14ac:dyDescent="0.2">
      <c r="A264">
        <v>33342</v>
      </c>
      <c r="B264" t="s">
        <v>11</v>
      </c>
      <c r="C264">
        <v>0</v>
      </c>
      <c r="D264">
        <v>6.2529445115549295E-2</v>
      </c>
      <c r="E264">
        <v>2339</v>
      </c>
      <c r="F264">
        <v>6.2529445115549295E-2</v>
      </c>
      <c r="G264">
        <v>4.00785123796926E-2</v>
      </c>
      <c r="H264">
        <v>4.5811389720025103E-2</v>
      </c>
      <c r="I264">
        <v>0.11265638507023</v>
      </c>
      <c r="J264">
        <v>7.1129127181148694E-2</v>
      </c>
      <c r="K264">
        <v>-0.70473154868073995</v>
      </c>
      <c r="L264" t="s">
        <v>28</v>
      </c>
      <c r="M264">
        <v>28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</row>
    <row r="265" spans="1:18" x14ac:dyDescent="0.2">
      <c r="A265">
        <v>33531</v>
      </c>
      <c r="B265" t="s">
        <v>10</v>
      </c>
      <c r="C265">
        <v>287</v>
      </c>
      <c r="D265">
        <v>6.8908762243297506E-2</v>
      </c>
      <c r="E265">
        <v>697</v>
      </c>
      <c r="F265">
        <v>6.8908762243297506E-2</v>
      </c>
      <c r="G265">
        <v>0.105934849145548</v>
      </c>
      <c r="H265">
        <v>0.19592849208010901</v>
      </c>
      <c r="I265">
        <v>3.9992533971053099</v>
      </c>
      <c r="J265">
        <v>0.94425091776687797</v>
      </c>
      <c r="K265">
        <v>-4.1623942968010503</v>
      </c>
      <c r="L265" t="s">
        <v>28</v>
      </c>
      <c r="M265">
        <v>27</v>
      </c>
      <c r="N265" t="b">
        <v>0</v>
      </c>
      <c r="O265" t="b">
        <v>1</v>
      </c>
      <c r="P265" t="b">
        <v>1</v>
      </c>
      <c r="Q265" t="b">
        <v>1</v>
      </c>
      <c r="R265" t="b">
        <v>0</v>
      </c>
    </row>
    <row r="266" spans="1:18" x14ac:dyDescent="0.2">
      <c r="A266">
        <v>34096</v>
      </c>
      <c r="B266" t="s">
        <v>11</v>
      </c>
      <c r="C266">
        <v>6822.5</v>
      </c>
      <c r="D266">
        <v>0.68040316962730796</v>
      </c>
      <c r="E266">
        <v>674</v>
      </c>
      <c r="F266">
        <v>0.68040316962730796</v>
      </c>
      <c r="G266">
        <v>0.23395282522988001</v>
      </c>
      <c r="H266">
        <v>7.3694119729498395E-2</v>
      </c>
      <c r="I266">
        <v>3.9965601313573198</v>
      </c>
      <c r="J266">
        <v>0.70499828791071995</v>
      </c>
      <c r="K266">
        <v>-4.7037801631512197</v>
      </c>
      <c r="L266" t="s">
        <v>28</v>
      </c>
      <c r="M266">
        <v>23</v>
      </c>
      <c r="N266" t="b">
        <v>0</v>
      </c>
      <c r="O266" t="b">
        <v>0</v>
      </c>
      <c r="P266" t="b">
        <v>1</v>
      </c>
      <c r="Q266" t="b">
        <v>1</v>
      </c>
      <c r="R266" t="b">
        <v>0</v>
      </c>
    </row>
    <row r="267" spans="1:18" x14ac:dyDescent="0.2">
      <c r="A267">
        <v>34364</v>
      </c>
      <c r="B267" t="s">
        <v>11</v>
      </c>
      <c r="C267">
        <v>0</v>
      </c>
      <c r="D267">
        <v>0</v>
      </c>
      <c r="E267">
        <v>2380</v>
      </c>
      <c r="F267">
        <v>0</v>
      </c>
      <c r="G267">
        <v>5.4270040480774596E-3</v>
      </c>
      <c r="H267">
        <v>3.3262838294834E-2</v>
      </c>
      <c r="I267">
        <v>9.0780651340996205E-4</v>
      </c>
      <c r="J267">
        <v>8.6553549207092899E-4</v>
      </c>
      <c r="K267">
        <v>-1.04883799881839</v>
      </c>
      <c r="L267" t="s">
        <v>28</v>
      </c>
      <c r="M267">
        <v>34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</row>
    <row r="268" spans="1:18" x14ac:dyDescent="0.2">
      <c r="A268">
        <v>34405</v>
      </c>
      <c r="B268" t="s">
        <v>11</v>
      </c>
      <c r="C268">
        <v>0</v>
      </c>
      <c r="D268">
        <v>0</v>
      </c>
      <c r="E268">
        <v>2598</v>
      </c>
      <c r="F268">
        <v>0</v>
      </c>
      <c r="G268">
        <v>4.03661370872693E-4</v>
      </c>
      <c r="H268">
        <v>3.4723558784747799E-4</v>
      </c>
      <c r="I268">
        <v>0</v>
      </c>
      <c r="J268">
        <v>0</v>
      </c>
      <c r="K268" t="s">
        <v>18</v>
      </c>
      <c r="L268" t="s">
        <v>28</v>
      </c>
      <c r="M268">
        <v>38</v>
      </c>
      <c r="N268" t="b">
        <v>0</v>
      </c>
      <c r="O268" t="b">
        <v>1</v>
      </c>
      <c r="P268" t="b">
        <v>0</v>
      </c>
      <c r="Q268" t="b">
        <v>1</v>
      </c>
      <c r="R268" t="b">
        <v>0</v>
      </c>
    </row>
    <row r="269" spans="1:18" x14ac:dyDescent="0.2">
      <c r="A269">
        <v>34416</v>
      </c>
      <c r="B269" t="s">
        <v>11</v>
      </c>
      <c r="C269">
        <v>0</v>
      </c>
      <c r="D269">
        <v>0</v>
      </c>
      <c r="E269">
        <v>2620</v>
      </c>
      <c r="F269">
        <v>0</v>
      </c>
      <c r="G269">
        <v>6.7630310114129601E-3</v>
      </c>
      <c r="H269">
        <v>1.6327165260883399E-2</v>
      </c>
      <c r="I269" s="1">
        <v>3.6202455717156099E-5</v>
      </c>
      <c r="J269" s="1">
        <v>9.5830621973231296E-5</v>
      </c>
      <c r="K269">
        <v>-0.37777544350352499</v>
      </c>
      <c r="L269" t="s">
        <v>28</v>
      </c>
      <c r="M269">
        <v>27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</row>
    <row r="270" spans="1:18" x14ac:dyDescent="0.2">
      <c r="A270">
        <v>34469</v>
      </c>
      <c r="B270" t="s">
        <v>11</v>
      </c>
      <c r="C270">
        <v>4900.5</v>
      </c>
      <c r="D270">
        <v>0.71205889642779696</v>
      </c>
      <c r="E270">
        <v>419</v>
      </c>
      <c r="F270">
        <v>0.71205889642779696</v>
      </c>
      <c r="G270">
        <v>0.12004088744562599</v>
      </c>
      <c r="H270">
        <v>0.23223887561702899</v>
      </c>
      <c r="I270">
        <v>7.7734303475578601</v>
      </c>
      <c r="J270">
        <v>1.12602478936132</v>
      </c>
      <c r="K270">
        <v>-6.2710621629700301</v>
      </c>
      <c r="L270" t="s">
        <v>28</v>
      </c>
      <c r="M270">
        <v>23</v>
      </c>
      <c r="N270" t="b">
        <v>0</v>
      </c>
      <c r="O270" t="b">
        <v>0</v>
      </c>
      <c r="P270" t="b">
        <v>1</v>
      </c>
      <c r="Q270" t="b">
        <v>1</v>
      </c>
      <c r="R270" t="b">
        <v>1</v>
      </c>
    </row>
    <row r="271" spans="1:18" x14ac:dyDescent="0.2">
      <c r="A271">
        <v>34720</v>
      </c>
      <c r="B271" t="s">
        <v>11</v>
      </c>
      <c r="C271">
        <v>0</v>
      </c>
      <c r="D271">
        <v>0</v>
      </c>
      <c r="E271">
        <v>2670</v>
      </c>
      <c r="F271">
        <v>0</v>
      </c>
      <c r="G271">
        <v>6.8986899072769501E-3</v>
      </c>
      <c r="H271">
        <v>1.0714647936807001E-2</v>
      </c>
      <c r="I271">
        <v>1.05553857865843E-4</v>
      </c>
      <c r="J271">
        <v>7.5883799866436903E-4</v>
      </c>
      <c r="K271">
        <v>-0.139099330886999</v>
      </c>
      <c r="L271" t="s">
        <v>28</v>
      </c>
      <c r="M271">
        <v>23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</row>
    <row r="272" spans="1:18" x14ac:dyDescent="0.2">
      <c r="A272">
        <v>34732</v>
      </c>
      <c r="B272" t="s">
        <v>11</v>
      </c>
      <c r="C272">
        <v>3165.5</v>
      </c>
      <c r="D272">
        <v>0.212117136008692</v>
      </c>
      <c r="E272">
        <v>272</v>
      </c>
      <c r="F272">
        <v>0.212117136008692</v>
      </c>
      <c r="G272">
        <v>0.25931227457476203</v>
      </c>
      <c r="H272">
        <v>0.121479172665708</v>
      </c>
      <c r="I272">
        <v>6.7085595437273096</v>
      </c>
      <c r="J272">
        <v>1.3018918628801599</v>
      </c>
      <c r="K272">
        <v>-4.9900015454022597</v>
      </c>
      <c r="L272" t="s">
        <v>28</v>
      </c>
      <c r="M272">
        <v>34</v>
      </c>
      <c r="N272" t="b">
        <v>0</v>
      </c>
      <c r="O272" t="b">
        <v>0</v>
      </c>
      <c r="P272" t="b">
        <v>1</v>
      </c>
      <c r="Q272" t="b">
        <v>1</v>
      </c>
      <c r="R272" t="b">
        <v>1</v>
      </c>
    </row>
    <row r="273" spans="1:18" x14ac:dyDescent="0.2">
      <c r="A273">
        <v>34753</v>
      </c>
      <c r="B273" t="s">
        <v>11</v>
      </c>
      <c r="C273">
        <v>0</v>
      </c>
      <c r="D273">
        <v>3.00158008884677E-3</v>
      </c>
      <c r="E273">
        <v>2670</v>
      </c>
      <c r="F273">
        <v>3.00158008884677E-3</v>
      </c>
      <c r="G273">
        <v>1.22847850938071E-2</v>
      </c>
      <c r="H273">
        <v>1.0287202448656999E-2</v>
      </c>
      <c r="I273">
        <v>4.0701426004762196E-3</v>
      </c>
      <c r="J273">
        <v>4.4838176588322103E-3</v>
      </c>
      <c r="K273">
        <v>-0.23831533593356599</v>
      </c>
      <c r="L273" t="s">
        <v>28</v>
      </c>
      <c r="M273">
        <v>42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</row>
    <row r="274" spans="1:18" x14ac:dyDescent="0.2">
      <c r="A274">
        <v>34757</v>
      </c>
      <c r="B274" t="s">
        <v>11</v>
      </c>
      <c r="C274">
        <v>22080.5</v>
      </c>
      <c r="D274">
        <v>0.84228738792617197</v>
      </c>
      <c r="E274">
        <v>1731</v>
      </c>
      <c r="F274">
        <v>0.84228738792617197</v>
      </c>
      <c r="G274">
        <v>0.107246793376698</v>
      </c>
      <c r="H274">
        <v>9.90758264548985E-2</v>
      </c>
      <c r="I274">
        <v>1.3115015963227099</v>
      </c>
      <c r="J274">
        <v>0.38588234211504302</v>
      </c>
      <c r="K274">
        <v>-1.21595148880032</v>
      </c>
      <c r="L274" s="5" t="s">
        <v>28</v>
      </c>
      <c r="M274" s="5">
        <v>19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</row>
    <row r="275" spans="1:18" x14ac:dyDescent="0.2">
      <c r="A275">
        <v>34966</v>
      </c>
      <c r="B275" t="s">
        <v>11</v>
      </c>
      <c r="C275">
        <v>4618</v>
      </c>
      <c r="D275">
        <v>0.235965834623411</v>
      </c>
      <c r="E275">
        <v>2367</v>
      </c>
      <c r="F275">
        <v>0.235965834623411</v>
      </c>
      <c r="G275">
        <v>7.1389274920245993E-2</v>
      </c>
      <c r="H275">
        <v>2.4430925877764499E-2</v>
      </c>
      <c r="I275">
        <v>0.281468201574124</v>
      </c>
      <c r="J275">
        <v>8.4714326155286804E-2</v>
      </c>
      <c r="K275">
        <v>-0.53712717807969601</v>
      </c>
      <c r="L275" t="s">
        <v>28</v>
      </c>
      <c r="M275">
        <v>29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</row>
    <row r="276" spans="1:18" x14ac:dyDescent="0.2">
      <c r="A276">
        <v>35070</v>
      </c>
      <c r="B276" t="s">
        <v>11</v>
      </c>
      <c r="C276">
        <v>0</v>
      </c>
      <c r="D276">
        <v>3.8068824194460102E-3</v>
      </c>
      <c r="E276">
        <v>2223</v>
      </c>
      <c r="F276">
        <v>3.8068824194460102E-3</v>
      </c>
      <c r="G276">
        <v>3.0818105888267399E-2</v>
      </c>
      <c r="H276">
        <v>1.2129395758155999E-2</v>
      </c>
      <c r="I276">
        <v>2.1032612439937801E-2</v>
      </c>
      <c r="J276">
        <v>1.00148811660789E-2</v>
      </c>
      <c r="K276">
        <v>-1.72001342151084</v>
      </c>
      <c r="L276" t="s">
        <v>28</v>
      </c>
      <c r="M276">
        <v>44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</row>
    <row r="277" spans="1:18" x14ac:dyDescent="0.2">
      <c r="A277">
        <v>35415</v>
      </c>
      <c r="B277" t="s">
        <v>11</v>
      </c>
      <c r="C277">
        <v>0</v>
      </c>
      <c r="D277">
        <v>0</v>
      </c>
      <c r="E277">
        <v>2548</v>
      </c>
      <c r="F277">
        <v>0</v>
      </c>
      <c r="G277">
        <v>1.68736364362344E-2</v>
      </c>
      <c r="H277">
        <v>6.2786242806772202E-3</v>
      </c>
      <c r="I277">
        <v>4.6297370587709804E-3</v>
      </c>
      <c r="J277">
        <v>5.6227085621078903E-3</v>
      </c>
      <c r="K277">
        <v>-0.82339979168960298</v>
      </c>
      <c r="L277" t="s">
        <v>28</v>
      </c>
      <c r="M277">
        <v>35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</row>
    <row r="278" spans="1:18" x14ac:dyDescent="0.2">
      <c r="A278">
        <v>35430</v>
      </c>
      <c r="B278" t="s">
        <v>11</v>
      </c>
      <c r="C278">
        <v>78</v>
      </c>
      <c r="D278">
        <v>3.9314614921528303E-2</v>
      </c>
      <c r="E278">
        <v>310</v>
      </c>
      <c r="F278">
        <v>3.9314614921528303E-2</v>
      </c>
      <c r="G278">
        <v>0.33024800180228298</v>
      </c>
      <c r="H278">
        <v>1.01773866267762E-2</v>
      </c>
      <c r="I278">
        <v>0.81716231257087701</v>
      </c>
      <c r="J278">
        <v>0.12669705052741201</v>
      </c>
      <c r="K278">
        <v>-6.1394301951887602</v>
      </c>
      <c r="L278" t="s">
        <v>28</v>
      </c>
      <c r="M278">
        <v>35</v>
      </c>
      <c r="N278" t="b">
        <v>0</v>
      </c>
      <c r="O278" t="b">
        <v>1</v>
      </c>
      <c r="P278" t="b">
        <v>1</v>
      </c>
      <c r="Q278" t="b">
        <v>1</v>
      </c>
      <c r="R278" t="b">
        <v>1</v>
      </c>
    </row>
    <row r="279" spans="1:18" x14ac:dyDescent="0.2">
      <c r="A279">
        <v>35554</v>
      </c>
      <c r="B279" t="s">
        <v>11</v>
      </c>
      <c r="C279">
        <v>24</v>
      </c>
      <c r="D279">
        <v>2.2763669142565699E-3</v>
      </c>
      <c r="E279">
        <v>2285</v>
      </c>
      <c r="F279">
        <v>2.2763669142565699E-3</v>
      </c>
      <c r="G279">
        <v>1.21386261736672E-2</v>
      </c>
      <c r="H279">
        <v>4.0379325854686697E-2</v>
      </c>
      <c r="I279">
        <v>3.5320886843511902E-2</v>
      </c>
      <c r="J279">
        <v>1.39198341059447E-2</v>
      </c>
      <c r="K279">
        <v>-2.3739162175174902</v>
      </c>
      <c r="L279" t="s">
        <v>28</v>
      </c>
      <c r="M279">
        <v>21</v>
      </c>
      <c r="N279" t="b">
        <v>0</v>
      </c>
      <c r="O279" t="b">
        <v>1</v>
      </c>
      <c r="P279" t="b">
        <v>0</v>
      </c>
      <c r="Q279" t="b">
        <v>1</v>
      </c>
      <c r="R279" t="b">
        <v>0</v>
      </c>
    </row>
    <row r="280" spans="1:18" x14ac:dyDescent="0.2">
      <c r="A280">
        <v>35556</v>
      </c>
      <c r="B280" t="s">
        <v>11</v>
      </c>
      <c r="C280">
        <v>723</v>
      </c>
      <c r="D280">
        <v>0.23865059704764099</v>
      </c>
      <c r="E280">
        <v>2049</v>
      </c>
      <c r="F280">
        <v>0.23865059704764099</v>
      </c>
      <c r="G280">
        <v>9.3727345118406996E-2</v>
      </c>
      <c r="H280">
        <v>5.758122957839E-2</v>
      </c>
      <c r="I280">
        <v>0.59043212212224405</v>
      </c>
      <c r="J280">
        <v>0.18870188871020599</v>
      </c>
      <c r="K280">
        <v>-1.8642183577443801</v>
      </c>
      <c r="L280" t="s">
        <v>28</v>
      </c>
      <c r="M280">
        <v>28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</row>
    <row r="281" spans="1:18" x14ac:dyDescent="0.2">
      <c r="A281">
        <v>35666</v>
      </c>
      <c r="B281" t="s">
        <v>11</v>
      </c>
      <c r="C281">
        <v>0</v>
      </c>
      <c r="D281">
        <v>0</v>
      </c>
      <c r="E281">
        <v>2567</v>
      </c>
      <c r="F281">
        <v>0</v>
      </c>
      <c r="G281">
        <v>2.4680654046010101E-4</v>
      </c>
      <c r="H281">
        <v>7.3580885723887896E-4</v>
      </c>
      <c r="I281" s="1">
        <v>1.12401315771374E-5</v>
      </c>
      <c r="J281" s="1">
        <v>1.07226958896529E-5</v>
      </c>
      <c r="K281">
        <v>-1.0482561188724799</v>
      </c>
      <c r="L281" t="s">
        <v>28</v>
      </c>
      <c r="M281">
        <v>20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</row>
    <row r="282" spans="1:18" x14ac:dyDescent="0.2">
      <c r="A282">
        <v>35732</v>
      </c>
      <c r="B282" t="s">
        <v>11</v>
      </c>
      <c r="C282">
        <v>9644.5</v>
      </c>
      <c r="D282">
        <v>0.34728084609147702</v>
      </c>
      <c r="E282">
        <v>1335</v>
      </c>
      <c r="F282">
        <v>0.34728084609147702</v>
      </c>
      <c r="G282">
        <v>3.1859126260606697E-2</v>
      </c>
      <c r="H282">
        <v>0.16710049609565999</v>
      </c>
      <c r="I282">
        <v>0.68665156853627096</v>
      </c>
      <c r="J282">
        <v>0.167110751569609</v>
      </c>
      <c r="K282">
        <v>-2.0308132137352701</v>
      </c>
      <c r="L282" t="s">
        <v>28</v>
      </c>
      <c r="M282">
        <v>12</v>
      </c>
      <c r="N282" t="b">
        <v>0</v>
      </c>
      <c r="O282" t="b">
        <v>0</v>
      </c>
      <c r="P282" t="b">
        <v>1</v>
      </c>
      <c r="Q282" t="b">
        <v>1</v>
      </c>
      <c r="R282" t="b">
        <v>0</v>
      </c>
    </row>
    <row r="283" spans="1:18" x14ac:dyDescent="0.2">
      <c r="A283">
        <v>35733</v>
      </c>
      <c r="B283" t="s">
        <v>11</v>
      </c>
      <c r="C283">
        <v>0</v>
      </c>
      <c r="D283">
        <v>4.1419016165677404E-3</v>
      </c>
      <c r="E283">
        <v>2393</v>
      </c>
      <c r="F283">
        <v>4.1419016165677404E-3</v>
      </c>
      <c r="G283">
        <v>1.6239483437088701E-2</v>
      </c>
      <c r="H283">
        <v>4.9054752747209997E-3</v>
      </c>
      <c r="I283">
        <v>5.9891595046984401E-3</v>
      </c>
      <c r="J283">
        <v>1.94803802143949E-3</v>
      </c>
      <c r="K283">
        <v>-0.94826582838751605</v>
      </c>
      <c r="L283" t="s">
        <v>28</v>
      </c>
      <c r="M283">
        <v>21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</row>
    <row r="284" spans="1:18" x14ac:dyDescent="0.2">
      <c r="A284">
        <v>35736</v>
      </c>
      <c r="B284" t="s">
        <v>11</v>
      </c>
      <c r="C284">
        <v>2</v>
      </c>
      <c r="D284" s="1">
        <v>4.2248502877357797E-5</v>
      </c>
      <c r="E284">
        <v>2487</v>
      </c>
      <c r="F284" s="1">
        <v>4.2248502877357797E-5</v>
      </c>
      <c r="G284">
        <v>1.2693402134305301E-3</v>
      </c>
      <c r="H284">
        <v>1.11037546198003E-3</v>
      </c>
      <c r="I284">
        <v>1.11529006179078E-4</v>
      </c>
      <c r="J284" s="1">
        <v>4.1335901858027301E-5</v>
      </c>
      <c r="K284">
        <v>-1.6760370570762499</v>
      </c>
      <c r="L284" t="s">
        <v>28</v>
      </c>
      <c r="M284">
        <v>26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</row>
    <row r="285" spans="1:18" x14ac:dyDescent="0.2">
      <c r="A285">
        <v>35992</v>
      </c>
      <c r="B285" t="s">
        <v>11</v>
      </c>
      <c r="C285">
        <v>650</v>
      </c>
      <c r="D285">
        <v>0.105193468797077</v>
      </c>
      <c r="E285">
        <v>1600</v>
      </c>
      <c r="F285">
        <v>0.105193468797077</v>
      </c>
      <c r="G285">
        <v>3.8887997913481E-2</v>
      </c>
      <c r="H285">
        <v>5.08524012692598E-2</v>
      </c>
      <c r="I285">
        <v>0.28450564203675999</v>
      </c>
      <c r="J285">
        <v>7.4034350652705999E-2</v>
      </c>
      <c r="K285">
        <v>-2.4220131825135298</v>
      </c>
      <c r="L285" t="s">
        <v>28</v>
      </c>
      <c r="M285">
        <v>45</v>
      </c>
      <c r="N285" t="b">
        <v>0</v>
      </c>
      <c r="O285" t="b">
        <v>1</v>
      </c>
      <c r="P285" t="b">
        <v>0</v>
      </c>
      <c r="Q285" t="b">
        <v>1</v>
      </c>
      <c r="R285" t="b">
        <v>0</v>
      </c>
    </row>
    <row r="286" spans="1:18" x14ac:dyDescent="0.2">
      <c r="A286">
        <v>36050</v>
      </c>
      <c r="B286" t="s">
        <v>11</v>
      </c>
      <c r="C286">
        <v>0</v>
      </c>
      <c r="D286">
        <v>4.01835351077382E-2</v>
      </c>
      <c r="E286">
        <v>2452</v>
      </c>
      <c r="F286">
        <v>4.01835351077382E-2</v>
      </c>
      <c r="G286">
        <v>4.5799515409728202E-2</v>
      </c>
      <c r="H286">
        <v>4.0997660351334599E-2</v>
      </c>
      <c r="I286">
        <v>0.10807597208676401</v>
      </c>
      <c r="J286">
        <v>3.9289541735124403E-2</v>
      </c>
      <c r="K286">
        <v>-1.7280027707304899</v>
      </c>
      <c r="L286" t="s">
        <v>28</v>
      </c>
      <c r="M286">
        <v>34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</row>
    <row r="287" spans="1:18" x14ac:dyDescent="0.2">
      <c r="A287">
        <v>36059</v>
      </c>
      <c r="B287" t="s">
        <v>11</v>
      </c>
      <c r="C287">
        <v>0</v>
      </c>
      <c r="D287" s="1">
        <v>5.1042789608038002E-5</v>
      </c>
      <c r="E287">
        <v>2460</v>
      </c>
      <c r="F287" s="1">
        <v>5.1042789608038002E-5</v>
      </c>
      <c r="G287">
        <v>2.2126345975063701E-3</v>
      </c>
      <c r="H287">
        <v>2.5501849106643899E-3</v>
      </c>
      <c r="I287">
        <v>1.21518298402565E-4</v>
      </c>
      <c r="J287" s="1">
        <v>5.4890596574576501E-5</v>
      </c>
      <c r="K287">
        <v>-1.2839268142909701</v>
      </c>
      <c r="L287" t="s">
        <v>28</v>
      </c>
      <c r="M287">
        <v>25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</row>
    <row r="288" spans="1:18" x14ac:dyDescent="0.2">
      <c r="A288">
        <v>36062</v>
      </c>
      <c r="B288" t="s">
        <v>11</v>
      </c>
      <c r="C288">
        <v>846.5</v>
      </c>
      <c r="D288">
        <v>0.97381622447271499</v>
      </c>
      <c r="E288">
        <v>1318</v>
      </c>
      <c r="F288">
        <v>0.97381622447271499</v>
      </c>
      <c r="G288">
        <v>7.9093587905948795E-2</v>
      </c>
      <c r="H288">
        <v>0.15697080352418299</v>
      </c>
      <c r="I288">
        <v>2.3793276295494801</v>
      </c>
      <c r="J288">
        <v>0.55717312370904304</v>
      </c>
      <c r="K288">
        <v>-2.5225757404097702</v>
      </c>
      <c r="L288" t="s">
        <v>28</v>
      </c>
      <c r="M288">
        <v>25</v>
      </c>
      <c r="N288" t="b">
        <v>0</v>
      </c>
      <c r="O288" t="b">
        <v>0</v>
      </c>
      <c r="P288" t="b">
        <v>1</v>
      </c>
      <c r="Q288" t="b">
        <v>1</v>
      </c>
      <c r="R288" t="b">
        <v>0</v>
      </c>
    </row>
    <row r="289" spans="1:18" x14ac:dyDescent="0.2">
      <c r="A289">
        <v>36067</v>
      </c>
      <c r="B289" t="s">
        <v>11</v>
      </c>
      <c r="C289">
        <v>28137</v>
      </c>
      <c r="D289">
        <v>1.3200485955291299</v>
      </c>
      <c r="E289">
        <v>669</v>
      </c>
      <c r="F289">
        <v>1.3200485955291299</v>
      </c>
      <c r="G289">
        <v>0.114272014265386</v>
      </c>
      <c r="H289">
        <v>0.11673041164430301</v>
      </c>
      <c r="I289">
        <v>3.50443938542803</v>
      </c>
      <c r="J289">
        <v>0.50924102527832904</v>
      </c>
      <c r="K289">
        <v>-4.2895027726900103</v>
      </c>
      <c r="L289" t="s">
        <v>29</v>
      </c>
      <c r="M289">
        <v>12</v>
      </c>
      <c r="N289" t="b">
        <v>0</v>
      </c>
      <c r="O289" t="b">
        <v>0</v>
      </c>
      <c r="P289" t="b">
        <v>1</v>
      </c>
      <c r="Q289" t="b">
        <v>1</v>
      </c>
      <c r="R289" t="b">
        <v>0</v>
      </c>
    </row>
    <row r="290" spans="1:18" x14ac:dyDescent="0.2">
      <c r="A290">
        <v>36096</v>
      </c>
      <c r="B290" t="s">
        <v>11</v>
      </c>
      <c r="C290">
        <v>15050</v>
      </c>
      <c r="D290">
        <v>0.60209106162834403</v>
      </c>
      <c r="E290">
        <v>2534</v>
      </c>
      <c r="F290">
        <v>0.60209106162834403</v>
      </c>
      <c r="G290">
        <v>0.120820476382516</v>
      </c>
      <c r="H290">
        <v>8.7906027920424207E-2</v>
      </c>
      <c r="I290">
        <v>0.98259056502733</v>
      </c>
      <c r="J290">
        <v>0.36161065939527998</v>
      </c>
      <c r="K290">
        <v>-1.0522353075412501</v>
      </c>
      <c r="L290" t="s">
        <v>29</v>
      </c>
      <c r="M290">
        <v>11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</row>
    <row r="291" spans="1:18" x14ac:dyDescent="0.2">
      <c r="A291">
        <v>36196</v>
      </c>
      <c r="B291" t="s">
        <v>11</v>
      </c>
      <c r="C291">
        <v>1</v>
      </c>
      <c r="D291">
        <v>3.5169262627172103E-4</v>
      </c>
      <c r="E291">
        <v>2172</v>
      </c>
      <c r="F291">
        <v>3.5169262627172103E-4</v>
      </c>
      <c r="G291">
        <v>2.6946236008184802E-3</v>
      </c>
      <c r="H291">
        <v>4.0757128155947502E-3</v>
      </c>
      <c r="I291">
        <v>1.47676671618499E-3</v>
      </c>
      <c r="J291">
        <v>4.42587379122349E-4</v>
      </c>
      <c r="K291">
        <v>-2.5420383476462698</v>
      </c>
      <c r="L291" t="s">
        <v>29</v>
      </c>
      <c r="M291">
        <v>11</v>
      </c>
      <c r="N291" t="b">
        <v>0</v>
      </c>
      <c r="O291" t="b">
        <v>1</v>
      </c>
      <c r="P291" t="b">
        <v>0</v>
      </c>
      <c r="Q291" t="b">
        <v>1</v>
      </c>
      <c r="R291" t="b">
        <v>0</v>
      </c>
    </row>
    <row r="292" spans="1:18" x14ac:dyDescent="0.2">
      <c r="A292">
        <v>36403</v>
      </c>
      <c r="B292" t="s">
        <v>11</v>
      </c>
      <c r="C292">
        <v>1545</v>
      </c>
      <c r="D292">
        <v>0.105640536717205</v>
      </c>
      <c r="E292">
        <v>2232</v>
      </c>
      <c r="F292">
        <v>0.105640536717205</v>
      </c>
      <c r="G292">
        <v>1.6530660564732399E-2</v>
      </c>
      <c r="H292">
        <v>5.3165326173780898E-2</v>
      </c>
      <c r="I292">
        <v>0.15318118945392101</v>
      </c>
      <c r="J292">
        <v>4.6667902741225897E-2</v>
      </c>
      <c r="K292">
        <v>-1.01870129027072</v>
      </c>
      <c r="L292" t="s">
        <v>28</v>
      </c>
      <c r="M292">
        <v>29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</row>
    <row r="293" spans="1:18" x14ac:dyDescent="0.2">
      <c r="A293">
        <v>36525</v>
      </c>
      <c r="B293" t="s">
        <v>11</v>
      </c>
      <c r="C293">
        <v>5312.5</v>
      </c>
      <c r="D293">
        <v>0.18831795273211699</v>
      </c>
      <c r="E293">
        <v>1789</v>
      </c>
      <c r="F293">
        <v>0.18831795273211699</v>
      </c>
      <c r="G293">
        <v>3.5428797921062301E-2</v>
      </c>
      <c r="H293">
        <v>5.3925883353617199E-2</v>
      </c>
      <c r="I293">
        <v>0.31388306966588397</v>
      </c>
      <c r="J293">
        <v>7.4734544840793296E-2</v>
      </c>
      <c r="K293">
        <v>-1.68014827950392</v>
      </c>
      <c r="L293" t="s">
        <v>29</v>
      </c>
      <c r="M293">
        <v>9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</row>
    <row r="294" spans="1:18" x14ac:dyDescent="0.2">
      <c r="A294">
        <v>36540</v>
      </c>
      <c r="B294" t="s">
        <v>11</v>
      </c>
      <c r="C294">
        <v>0</v>
      </c>
      <c r="D294">
        <v>0</v>
      </c>
      <c r="E294">
        <v>2670</v>
      </c>
      <c r="F294">
        <v>0</v>
      </c>
      <c r="G294">
        <v>5.59533222867641E-3</v>
      </c>
      <c r="H294">
        <v>4.13411003150821E-4</v>
      </c>
      <c r="I294" s="1">
        <v>7.2437893360517694E-5</v>
      </c>
      <c r="J294" s="1">
        <v>8.0610547646413504E-5</v>
      </c>
      <c r="K294">
        <v>-0.89861557172711504</v>
      </c>
      <c r="L294" t="s">
        <v>29</v>
      </c>
      <c r="M294">
        <v>22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</row>
    <row r="295" spans="1:18" x14ac:dyDescent="0.2">
      <c r="A295">
        <v>36660</v>
      </c>
      <c r="B295" t="s">
        <v>11</v>
      </c>
      <c r="C295">
        <v>41.5</v>
      </c>
      <c r="D295">
        <v>2.7308603145563401E-3</v>
      </c>
      <c r="E295">
        <v>2429</v>
      </c>
      <c r="F295">
        <v>2.7308603145563401E-3</v>
      </c>
      <c r="G295">
        <v>2.62245310142411E-2</v>
      </c>
      <c r="H295">
        <v>8.1155968369292494E-2</v>
      </c>
      <c r="I295">
        <v>1.0922044220888501E-2</v>
      </c>
      <c r="J295">
        <v>9.8590042207760391E-3</v>
      </c>
      <c r="K295">
        <v>-0.83083278218613099</v>
      </c>
      <c r="L295" t="s">
        <v>29</v>
      </c>
      <c r="M295">
        <v>9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</row>
    <row r="296" spans="1:18" x14ac:dyDescent="0.2">
      <c r="A296">
        <v>36737</v>
      </c>
      <c r="B296" t="s">
        <v>11</v>
      </c>
      <c r="C296">
        <v>102</v>
      </c>
      <c r="D296">
        <v>9.8308678749936904E-3</v>
      </c>
      <c r="E296">
        <v>2456</v>
      </c>
      <c r="F296">
        <v>9.8308678749936904E-3</v>
      </c>
      <c r="G296">
        <v>4.3007959861900199E-3</v>
      </c>
      <c r="H296">
        <v>2.8729534514762199E-2</v>
      </c>
      <c r="I296">
        <v>1.29011844297471E-2</v>
      </c>
      <c r="J296">
        <v>4.1778829056818203E-3</v>
      </c>
      <c r="K296">
        <v>-0.734897703949007</v>
      </c>
      <c r="L296" t="s">
        <v>29</v>
      </c>
      <c r="M296">
        <v>9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</row>
    <row r="297" spans="1:18" x14ac:dyDescent="0.2">
      <c r="A297">
        <v>36795</v>
      </c>
      <c r="B297" t="s">
        <v>11</v>
      </c>
      <c r="C297">
        <v>0</v>
      </c>
      <c r="D297">
        <v>0</v>
      </c>
      <c r="E297">
        <v>2670</v>
      </c>
      <c r="F297">
        <v>0</v>
      </c>
      <c r="G297">
        <v>3.2014471526406402E-3</v>
      </c>
      <c r="H297">
        <v>1.8020892790208999E-2</v>
      </c>
      <c r="I297">
        <v>0</v>
      </c>
      <c r="J297">
        <v>0</v>
      </c>
      <c r="K297" t="s">
        <v>18</v>
      </c>
      <c r="L297" t="s">
        <v>29</v>
      </c>
      <c r="M297">
        <v>10</v>
      </c>
      <c r="N297" t="b">
        <v>0</v>
      </c>
      <c r="O297" t="b">
        <v>1</v>
      </c>
      <c r="P297" t="b">
        <v>0</v>
      </c>
      <c r="Q297" t="b">
        <v>1</v>
      </c>
      <c r="R297" t="b">
        <v>0</v>
      </c>
    </row>
    <row r="298" spans="1:18" x14ac:dyDescent="0.2">
      <c r="A298">
        <v>36796</v>
      </c>
      <c r="B298" t="s">
        <v>11</v>
      </c>
      <c r="C298">
        <v>658.5</v>
      </c>
      <c r="D298">
        <v>3.7594308342925799E-2</v>
      </c>
      <c r="E298">
        <v>1901</v>
      </c>
      <c r="F298">
        <v>3.7594308342925799E-2</v>
      </c>
      <c r="G298">
        <v>6.3543310361500599E-2</v>
      </c>
      <c r="H298">
        <v>1.71293793160474E-2</v>
      </c>
      <c r="I298">
        <v>0.10345363055840499</v>
      </c>
      <c r="J298">
        <v>5.2428620007021198E-2</v>
      </c>
      <c r="K298">
        <v>-1.2561711944098499</v>
      </c>
      <c r="L298" t="s">
        <v>29</v>
      </c>
      <c r="M298">
        <v>15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</row>
    <row r="299" spans="1:18" x14ac:dyDescent="0.2">
      <c r="A299">
        <v>36820</v>
      </c>
      <c r="B299" t="s">
        <v>11</v>
      </c>
      <c r="C299">
        <v>1111</v>
      </c>
      <c r="D299">
        <v>0.127668781687514</v>
      </c>
      <c r="E299">
        <v>1987</v>
      </c>
      <c r="F299">
        <v>0.127668781687514</v>
      </c>
      <c r="G299">
        <v>7.8044649559042098E-2</v>
      </c>
      <c r="H299">
        <v>6.0344890841587402E-2</v>
      </c>
      <c r="I299">
        <v>0.15231283459431799</v>
      </c>
      <c r="J299">
        <v>4.81817278464561E-2</v>
      </c>
      <c r="K299">
        <v>-0.51148130231731603</v>
      </c>
      <c r="L299" t="s">
        <v>29</v>
      </c>
      <c r="M299">
        <v>9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</row>
    <row r="300" spans="1:18" x14ac:dyDescent="0.2">
      <c r="A300">
        <v>36828</v>
      </c>
      <c r="B300" t="s">
        <v>11</v>
      </c>
      <c r="C300">
        <v>1552</v>
      </c>
      <c r="D300">
        <v>1.6036510695266999</v>
      </c>
      <c r="E300">
        <v>2066</v>
      </c>
      <c r="F300">
        <v>1.6036510695266999</v>
      </c>
      <c r="G300">
        <v>0.125996986404459</v>
      </c>
      <c r="H300">
        <v>0.136697099763715</v>
      </c>
      <c r="I300">
        <v>3.4205091650796402</v>
      </c>
      <c r="J300">
        <v>0.79741199634788595</v>
      </c>
      <c r="K300">
        <v>-2.2784433942229101</v>
      </c>
      <c r="L300" t="s">
        <v>29</v>
      </c>
      <c r="M300">
        <v>11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</row>
    <row r="301" spans="1:18" x14ac:dyDescent="0.2">
      <c r="A301">
        <v>36911</v>
      </c>
      <c r="B301" t="s">
        <v>11</v>
      </c>
      <c r="C301">
        <v>0</v>
      </c>
      <c r="D301">
        <v>4.6556524582166699E-2</v>
      </c>
      <c r="E301">
        <v>2650</v>
      </c>
      <c r="F301">
        <v>4.6556524582166699E-2</v>
      </c>
      <c r="G301">
        <v>0.104014713000341</v>
      </c>
      <c r="H301">
        <v>4.0799962833486303E-2</v>
      </c>
      <c r="I301">
        <v>0.20866634317727101</v>
      </c>
      <c r="J301">
        <v>0.133007011011464</v>
      </c>
      <c r="K301">
        <v>-1.2188065678818401</v>
      </c>
      <c r="L301" s="5" t="s">
        <v>29</v>
      </c>
      <c r="M301" s="5">
        <v>15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</row>
    <row r="302" spans="1:18" x14ac:dyDescent="0.2">
      <c r="A302">
        <v>36918</v>
      </c>
      <c r="B302" t="s">
        <v>11</v>
      </c>
      <c r="C302">
        <v>0</v>
      </c>
      <c r="D302">
        <v>2.3261495686644298E-3</v>
      </c>
      <c r="E302">
        <v>2494</v>
      </c>
      <c r="F302">
        <v>2.3261495686644298E-3</v>
      </c>
      <c r="G302">
        <v>1.0729559749624E-2</v>
      </c>
      <c r="H302">
        <v>0.113247666600075</v>
      </c>
      <c r="I302">
        <v>3.0263205888324202E-3</v>
      </c>
      <c r="J302">
        <v>1.1543662726800801E-3</v>
      </c>
      <c r="K302">
        <v>-0.60654147365412103</v>
      </c>
      <c r="L302" t="s">
        <v>29</v>
      </c>
      <c r="M302">
        <v>21</v>
      </c>
      <c r="N302" t="b">
        <v>0</v>
      </c>
      <c r="O302" t="b">
        <v>1</v>
      </c>
      <c r="P302" t="b">
        <v>1</v>
      </c>
      <c r="Q302" t="b">
        <v>0</v>
      </c>
      <c r="R302" t="b">
        <v>0</v>
      </c>
    </row>
    <row r="303" spans="1:18" x14ac:dyDescent="0.2">
      <c r="A303">
        <v>37055</v>
      </c>
      <c r="B303" t="s">
        <v>11</v>
      </c>
      <c r="C303">
        <v>0</v>
      </c>
      <c r="D303">
        <v>1.9930592920975099E-2</v>
      </c>
      <c r="E303">
        <v>2256</v>
      </c>
      <c r="F303">
        <v>1.9930592920975099E-2</v>
      </c>
      <c r="G303">
        <v>2.2069082328652401E-2</v>
      </c>
      <c r="H303">
        <v>3.4000618882428897E-2</v>
      </c>
      <c r="I303">
        <v>8.8156888948673601E-2</v>
      </c>
      <c r="J303">
        <v>3.3087005575405802E-2</v>
      </c>
      <c r="K303">
        <v>-2.0620269148324599</v>
      </c>
      <c r="L303" t="s">
        <v>28</v>
      </c>
      <c r="M303">
        <v>28</v>
      </c>
      <c r="N303" t="b">
        <v>0</v>
      </c>
      <c r="O303" t="b">
        <v>1</v>
      </c>
      <c r="P303" t="b">
        <v>0</v>
      </c>
      <c r="Q303" t="b">
        <v>1</v>
      </c>
      <c r="R303" t="b">
        <v>0</v>
      </c>
    </row>
    <row r="304" spans="1:18" x14ac:dyDescent="0.2">
      <c r="A304">
        <v>37078</v>
      </c>
      <c r="B304" t="s">
        <v>11</v>
      </c>
      <c r="C304">
        <v>2</v>
      </c>
      <c r="D304">
        <v>4.6350405327849203E-3</v>
      </c>
      <c r="E304">
        <v>2061</v>
      </c>
      <c r="F304">
        <v>4.6350405327849203E-3</v>
      </c>
      <c r="G304">
        <v>5.6370322430947598E-3</v>
      </c>
      <c r="H304">
        <v>2.3306136035479302E-2</v>
      </c>
      <c r="I304">
        <v>1.6088640432947499E-2</v>
      </c>
      <c r="J304">
        <v>5.9325089356001299E-3</v>
      </c>
      <c r="K304">
        <v>-1.9306502568299899</v>
      </c>
      <c r="L304" t="s">
        <v>29</v>
      </c>
      <c r="M304">
        <v>14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</row>
    <row r="305" spans="1:18" x14ac:dyDescent="0.2">
      <c r="A305">
        <v>37578</v>
      </c>
      <c r="B305" t="s">
        <v>11</v>
      </c>
      <c r="C305">
        <v>195</v>
      </c>
      <c r="D305">
        <v>0.107996081608738</v>
      </c>
      <c r="E305">
        <v>225</v>
      </c>
      <c r="F305">
        <v>0.107996081608738</v>
      </c>
      <c r="G305">
        <v>0.176420704509926</v>
      </c>
      <c r="H305">
        <v>0.21482259750848101</v>
      </c>
      <c r="I305">
        <v>8.7547025716159208</v>
      </c>
      <c r="J305">
        <v>1.79174253800425</v>
      </c>
      <c r="K305">
        <v>-4.8258643787284399</v>
      </c>
      <c r="L305" t="s">
        <v>29</v>
      </c>
      <c r="M305">
        <v>12</v>
      </c>
      <c r="N305" t="b">
        <v>0</v>
      </c>
      <c r="O305" t="b">
        <v>1</v>
      </c>
      <c r="P305" t="b">
        <v>1</v>
      </c>
      <c r="Q305" t="b">
        <v>1</v>
      </c>
      <c r="R305" t="b">
        <v>1</v>
      </c>
    </row>
    <row r="306" spans="1:18" x14ac:dyDescent="0.2">
      <c r="A306">
        <v>37637</v>
      </c>
      <c r="B306" t="s">
        <v>11</v>
      </c>
      <c r="C306">
        <v>12</v>
      </c>
      <c r="D306">
        <v>1.9501149826623002E-2</v>
      </c>
      <c r="E306">
        <v>1349</v>
      </c>
      <c r="F306">
        <v>1.9501149826623002E-2</v>
      </c>
      <c r="G306">
        <v>1.23498995704713E-2</v>
      </c>
      <c r="H306">
        <v>3.5983067736260602E-2</v>
      </c>
      <c r="I306">
        <v>3.7913802133500298E-2</v>
      </c>
      <c r="J306">
        <v>1.27323226111784E-2</v>
      </c>
      <c r="K306">
        <v>-1.4461346031800799</v>
      </c>
      <c r="L306" t="s">
        <v>28</v>
      </c>
      <c r="M306">
        <v>32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</row>
    <row r="307" spans="1:18" x14ac:dyDescent="0.2">
      <c r="A307">
        <v>37643</v>
      </c>
      <c r="B307" t="s">
        <v>11</v>
      </c>
      <c r="C307">
        <v>0</v>
      </c>
      <c r="D307">
        <v>0</v>
      </c>
      <c r="E307">
        <v>2670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18</v>
      </c>
      <c r="L307" t="s">
        <v>28</v>
      </c>
      <c r="M307">
        <v>36</v>
      </c>
      <c r="N307" t="b">
        <v>0</v>
      </c>
      <c r="O307" t="b">
        <v>1</v>
      </c>
      <c r="P307" t="b">
        <v>0</v>
      </c>
      <c r="Q307" t="b">
        <v>1</v>
      </c>
      <c r="R307" t="b">
        <v>0</v>
      </c>
    </row>
    <row r="308" spans="1:18" x14ac:dyDescent="0.2">
      <c r="A308">
        <v>37652</v>
      </c>
      <c r="B308" t="s">
        <v>11</v>
      </c>
      <c r="C308">
        <v>39.5</v>
      </c>
      <c r="D308">
        <v>3.0230760254390601E-2</v>
      </c>
      <c r="E308">
        <v>304</v>
      </c>
      <c r="F308">
        <v>3.0230760254390601E-2</v>
      </c>
      <c r="G308">
        <v>4.8700276596918099E-2</v>
      </c>
      <c r="H308">
        <v>6.1501944768682502E-2</v>
      </c>
      <c r="I308">
        <v>0.86055728619668603</v>
      </c>
      <c r="J308">
        <v>0.12342563972236199</v>
      </c>
      <c r="K308">
        <v>-6.7273422913590801</v>
      </c>
      <c r="L308" t="s">
        <v>28</v>
      </c>
      <c r="M308">
        <v>26</v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</row>
    <row r="309" spans="1:18" x14ac:dyDescent="0.2">
      <c r="A309">
        <v>37662</v>
      </c>
      <c r="B309" t="s">
        <v>11</v>
      </c>
      <c r="C309">
        <v>170</v>
      </c>
      <c r="D309">
        <v>2.3234377404604999E-2</v>
      </c>
      <c r="E309">
        <v>1471</v>
      </c>
      <c r="F309">
        <v>2.3234377404604999E-2</v>
      </c>
      <c r="G309">
        <v>2.41320528826896E-2</v>
      </c>
      <c r="H309">
        <v>3.7892192122680197E-2</v>
      </c>
      <c r="I309">
        <v>6.9047461999256696E-2</v>
      </c>
      <c r="J309">
        <v>4.2471911177639099E-2</v>
      </c>
      <c r="K309">
        <v>-1.07866783773958</v>
      </c>
      <c r="L309" t="s">
        <v>29</v>
      </c>
      <c r="M309">
        <v>15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</row>
    <row r="310" spans="1:18" x14ac:dyDescent="0.2">
      <c r="A310">
        <v>37904</v>
      </c>
      <c r="B310" t="s">
        <v>11</v>
      </c>
      <c r="C310">
        <v>21</v>
      </c>
      <c r="D310">
        <v>9.1190251119970401E-4</v>
      </c>
      <c r="E310">
        <v>2374</v>
      </c>
      <c r="F310">
        <v>9.1190251119970401E-4</v>
      </c>
      <c r="G310">
        <v>1.64521394258931E-2</v>
      </c>
      <c r="H310">
        <v>5.4796844091752799E-3</v>
      </c>
      <c r="I310">
        <v>1.3842123559793401E-3</v>
      </c>
      <c r="J310">
        <v>4.1852844823711202E-4</v>
      </c>
      <c r="K310">
        <v>-1.1285011730243399</v>
      </c>
      <c r="L310" s="5" t="s">
        <v>29</v>
      </c>
      <c r="M310" s="5">
        <v>9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</row>
    <row r="311" spans="1:18" x14ac:dyDescent="0.2">
      <c r="A311">
        <v>37928</v>
      </c>
      <c r="B311" t="s">
        <v>11</v>
      </c>
      <c r="C311">
        <v>0</v>
      </c>
      <c r="D311">
        <v>0</v>
      </c>
      <c r="E311">
        <v>2670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18</v>
      </c>
      <c r="L311" t="s">
        <v>28</v>
      </c>
      <c r="M311">
        <v>17</v>
      </c>
      <c r="N311" t="b">
        <v>0</v>
      </c>
      <c r="O311" t="b">
        <v>1</v>
      </c>
      <c r="P311" t="b">
        <v>0</v>
      </c>
      <c r="Q311" t="b">
        <v>1</v>
      </c>
      <c r="R311" t="b">
        <v>0</v>
      </c>
    </row>
    <row r="312" spans="1:18" x14ac:dyDescent="0.2">
      <c r="A312">
        <v>38140</v>
      </c>
      <c r="B312" t="s">
        <v>11</v>
      </c>
      <c r="C312">
        <v>0</v>
      </c>
      <c r="D312" s="1">
        <v>5.3866084297343901E-5</v>
      </c>
      <c r="E312">
        <v>2574</v>
      </c>
      <c r="F312" s="1">
        <v>5.3866084297343901E-5</v>
      </c>
      <c r="G312">
        <v>2.7167454569045099E-3</v>
      </c>
      <c r="H312">
        <v>2.4222471180833402E-3</v>
      </c>
      <c r="I312" s="1">
        <v>8.4406230305212893E-5</v>
      </c>
      <c r="J312" s="1">
        <v>5.77461129478521E-5</v>
      </c>
      <c r="K312">
        <v>-0.52886929437914698</v>
      </c>
      <c r="L312" t="s">
        <v>28</v>
      </c>
      <c r="M312">
        <v>29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</row>
    <row r="313" spans="1:18" x14ac:dyDescent="0.2">
      <c r="A313">
        <v>38175</v>
      </c>
      <c r="B313" t="s">
        <v>11</v>
      </c>
      <c r="C313">
        <v>3721</v>
      </c>
      <c r="D313">
        <v>1.4338737038163101</v>
      </c>
      <c r="E313">
        <v>1464</v>
      </c>
      <c r="F313">
        <v>1.4338737038163101</v>
      </c>
      <c r="G313">
        <v>0.110971257080602</v>
      </c>
      <c r="H313">
        <v>0.123443883334434</v>
      </c>
      <c r="I313">
        <v>3.23799528164795</v>
      </c>
      <c r="J313">
        <v>0.54043015426340402</v>
      </c>
      <c r="K313">
        <v>-3.3383066499881302</v>
      </c>
      <c r="L313" t="s">
        <v>28</v>
      </c>
      <c r="M313">
        <v>21</v>
      </c>
      <c r="N313" t="b">
        <v>0</v>
      </c>
      <c r="O313" t="b">
        <v>0</v>
      </c>
      <c r="P313" t="b">
        <v>1</v>
      </c>
      <c r="Q313" t="b">
        <v>1</v>
      </c>
      <c r="R313" t="b">
        <v>0</v>
      </c>
    </row>
    <row r="314" spans="1:18" x14ac:dyDescent="0.2">
      <c r="A314">
        <v>38176</v>
      </c>
      <c r="B314" t="s">
        <v>11</v>
      </c>
      <c r="C314">
        <v>1164</v>
      </c>
      <c r="D314">
        <v>0.17191056639868299</v>
      </c>
      <c r="E314">
        <v>2135</v>
      </c>
      <c r="F314">
        <v>0.17191056639868299</v>
      </c>
      <c r="G314">
        <v>0.11125794381734</v>
      </c>
      <c r="H314">
        <v>6.0382924407793297E-2</v>
      </c>
      <c r="I314">
        <v>0.46269295338834299</v>
      </c>
      <c r="J314">
        <v>0.14076849836174499</v>
      </c>
      <c r="K314">
        <v>-2.0656779774862102</v>
      </c>
      <c r="L314" t="s">
        <v>28</v>
      </c>
      <c r="M314">
        <v>40</v>
      </c>
      <c r="N314" t="b">
        <v>0</v>
      </c>
      <c r="O314" t="b">
        <v>1</v>
      </c>
      <c r="P314" t="b">
        <v>1</v>
      </c>
      <c r="Q314" t="b">
        <v>1</v>
      </c>
      <c r="R314" t="b">
        <v>0</v>
      </c>
    </row>
    <row r="315" spans="1:18" x14ac:dyDescent="0.2">
      <c r="A315">
        <v>38181</v>
      </c>
      <c r="B315" t="s">
        <v>11</v>
      </c>
      <c r="C315">
        <v>0</v>
      </c>
      <c r="D315">
        <v>0</v>
      </c>
      <c r="E315">
        <v>2670</v>
      </c>
      <c r="F315">
        <v>0</v>
      </c>
      <c r="G315">
        <v>7.4452259363735798E-4</v>
      </c>
      <c r="H315">
        <v>3.8891627624103802E-4</v>
      </c>
      <c r="I315">
        <v>0</v>
      </c>
      <c r="J315">
        <v>0</v>
      </c>
      <c r="K315" t="s">
        <v>18</v>
      </c>
      <c r="L315" t="s">
        <v>29</v>
      </c>
      <c r="M315">
        <v>14</v>
      </c>
      <c r="N315" t="b">
        <v>0</v>
      </c>
      <c r="O315" t="b">
        <v>1</v>
      </c>
      <c r="P315" t="b">
        <v>0</v>
      </c>
      <c r="Q315" t="b">
        <v>1</v>
      </c>
      <c r="R315" t="b">
        <v>0</v>
      </c>
    </row>
    <row r="316" spans="1:18" x14ac:dyDescent="0.2">
      <c r="A316">
        <v>38226</v>
      </c>
      <c r="B316" t="s">
        <v>11</v>
      </c>
      <c r="C316">
        <v>108</v>
      </c>
      <c r="D316">
        <v>2.2519216397993E-3</v>
      </c>
      <c r="E316">
        <v>1999</v>
      </c>
      <c r="F316">
        <v>2.2519216397993E-3</v>
      </c>
      <c r="G316">
        <v>1.45522460061067E-2</v>
      </c>
      <c r="H316">
        <v>1.8543808687355199E-2</v>
      </c>
      <c r="I316">
        <v>1.7001285541439801E-2</v>
      </c>
      <c r="J316">
        <v>8.3631216390736406E-3</v>
      </c>
      <c r="K316">
        <v>-1.7636194399863201</v>
      </c>
      <c r="L316" t="s">
        <v>28</v>
      </c>
      <c r="M316">
        <v>18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</row>
    <row r="317" spans="1:18" x14ac:dyDescent="0.2">
      <c r="A317">
        <v>38379</v>
      </c>
      <c r="B317" t="s">
        <v>11</v>
      </c>
      <c r="C317">
        <v>278</v>
      </c>
      <c r="D317">
        <v>7.4585616391326399E-3</v>
      </c>
      <c r="E317">
        <v>2182</v>
      </c>
      <c r="F317">
        <v>7.4585616391326399E-3</v>
      </c>
      <c r="G317">
        <v>3.9786502542314304E-3</v>
      </c>
      <c r="H317">
        <v>4.2979922950857702E-2</v>
      </c>
      <c r="I317">
        <v>1.5666189456048599E-2</v>
      </c>
      <c r="J317">
        <v>5.0356163581619304E-3</v>
      </c>
      <c r="K317">
        <v>-1.6299152344305701</v>
      </c>
      <c r="L317" t="s">
        <v>28</v>
      </c>
      <c r="M317">
        <v>20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</row>
    <row r="318" spans="1:18" x14ac:dyDescent="0.2">
      <c r="A318">
        <v>38444</v>
      </c>
      <c r="B318" t="s">
        <v>11</v>
      </c>
      <c r="C318">
        <v>45.5</v>
      </c>
      <c r="D318">
        <v>4.2063123002813903E-2</v>
      </c>
      <c r="E318">
        <v>1630</v>
      </c>
      <c r="F318">
        <v>4.2063123002813903E-2</v>
      </c>
      <c r="G318">
        <v>2.9311486516044701E-2</v>
      </c>
      <c r="H318">
        <v>5.5022979925252201E-2</v>
      </c>
      <c r="I318">
        <v>0.121300011625411</v>
      </c>
      <c r="J318">
        <v>3.72974330137315E-2</v>
      </c>
      <c r="K318">
        <v>-2.1244595732211802</v>
      </c>
      <c r="L318" t="s">
        <v>28</v>
      </c>
      <c r="M318">
        <v>32</v>
      </c>
      <c r="N318" t="b">
        <v>0</v>
      </c>
      <c r="O318" t="b">
        <v>1</v>
      </c>
      <c r="P318" t="b">
        <v>0</v>
      </c>
      <c r="Q318" t="b">
        <v>1</v>
      </c>
      <c r="R318" t="b">
        <v>0</v>
      </c>
    </row>
    <row r="319" spans="1:18" x14ac:dyDescent="0.2">
      <c r="A319">
        <v>38626</v>
      </c>
      <c r="B319" t="s">
        <v>11</v>
      </c>
      <c r="C319">
        <v>4784</v>
      </c>
      <c r="D319">
        <v>0.27559909346287398</v>
      </c>
      <c r="E319">
        <v>1616</v>
      </c>
      <c r="F319">
        <v>0.27559909346287398</v>
      </c>
      <c r="G319">
        <v>7.3469853833288495E-2</v>
      </c>
      <c r="H319">
        <v>8.6732360837628197E-2</v>
      </c>
      <c r="I319">
        <v>0.56133038195083396</v>
      </c>
      <c r="J319">
        <v>0.20558744738179399</v>
      </c>
      <c r="K319">
        <v>-1.38982847506897</v>
      </c>
      <c r="L319" t="s">
        <v>28</v>
      </c>
      <c r="M319">
        <v>35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</row>
    <row r="320" spans="1:18" x14ac:dyDescent="0.2">
      <c r="A320">
        <v>38704</v>
      </c>
      <c r="B320" t="s">
        <v>11</v>
      </c>
      <c r="C320">
        <v>0</v>
      </c>
      <c r="D320">
        <v>0</v>
      </c>
      <c r="E320">
        <v>2548</v>
      </c>
      <c r="F320">
        <v>0</v>
      </c>
      <c r="G320">
        <v>2.6003886296775002E-3</v>
      </c>
      <c r="H320">
        <v>5.0487270536603897E-4</v>
      </c>
      <c r="I320" s="1">
        <v>4.9475792705844403E-5</v>
      </c>
      <c r="J320" s="1">
        <v>6.0846362371920902E-5</v>
      </c>
      <c r="K320">
        <v>-0.813126549840821</v>
      </c>
      <c r="L320" t="s">
        <v>28</v>
      </c>
      <c r="M320">
        <v>18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</row>
    <row r="321" spans="1:18" x14ac:dyDescent="0.2">
      <c r="A321">
        <v>38750</v>
      </c>
      <c r="B321" t="s">
        <v>11</v>
      </c>
      <c r="C321">
        <v>53747</v>
      </c>
      <c r="D321">
        <v>0.86790357401278695</v>
      </c>
      <c r="E321">
        <v>1711</v>
      </c>
      <c r="F321">
        <v>0.86790357401278695</v>
      </c>
      <c r="G321">
        <v>0.120955453628822</v>
      </c>
      <c r="H321">
        <v>8.3077459576768695E-2</v>
      </c>
      <c r="I321">
        <v>1.80438822795452</v>
      </c>
      <c r="J321">
        <v>0.43369504086442801</v>
      </c>
      <c r="K321">
        <v>-2.1593160301652499</v>
      </c>
      <c r="L321" t="s">
        <v>28</v>
      </c>
      <c r="M321">
        <v>35</v>
      </c>
      <c r="N321" t="b">
        <v>0</v>
      </c>
      <c r="O321" t="b">
        <v>0</v>
      </c>
      <c r="P321" t="b">
        <v>1</v>
      </c>
      <c r="Q321" t="b">
        <v>1</v>
      </c>
      <c r="R321" t="b">
        <v>0</v>
      </c>
    </row>
    <row r="322" spans="1:18" x14ac:dyDescent="0.2">
      <c r="A322">
        <v>38813</v>
      </c>
      <c r="B322" t="s">
        <v>10</v>
      </c>
      <c r="C322">
        <v>0</v>
      </c>
      <c r="D322">
        <v>9.6903404651526204E-4</v>
      </c>
      <c r="E322">
        <v>2360</v>
      </c>
      <c r="F322">
        <v>9.6903404651526204E-4</v>
      </c>
      <c r="G322">
        <v>4.8111259014171001E-3</v>
      </c>
      <c r="H322">
        <v>4.5249198372452996E-3</v>
      </c>
      <c r="I322">
        <v>3.4407575821700201E-3</v>
      </c>
      <c r="J322">
        <v>1.1644848375871801E-3</v>
      </c>
      <c r="K322">
        <v>-2.1225897116670001</v>
      </c>
      <c r="L322" t="s">
        <v>28</v>
      </c>
      <c r="M322">
        <v>25</v>
      </c>
      <c r="N322" t="b">
        <v>0</v>
      </c>
      <c r="O322" t="b">
        <v>1</v>
      </c>
      <c r="P322" t="b">
        <v>0</v>
      </c>
      <c r="Q322" t="b">
        <v>1</v>
      </c>
      <c r="R322" t="b">
        <v>0</v>
      </c>
    </row>
    <row r="323" spans="1:18" x14ac:dyDescent="0.2">
      <c r="A323">
        <v>38837</v>
      </c>
      <c r="B323" t="s">
        <v>10</v>
      </c>
      <c r="C323">
        <v>0</v>
      </c>
      <c r="D323" s="1">
        <v>1.6871026535830301E-5</v>
      </c>
      <c r="E323">
        <v>2386</v>
      </c>
      <c r="F323" s="1">
        <v>1.6871026535830301E-5</v>
      </c>
      <c r="G323">
        <v>1.7958355205224801E-2</v>
      </c>
      <c r="H323">
        <v>1.89499559805658E-2</v>
      </c>
      <c r="I323">
        <v>1.94793547223758E-3</v>
      </c>
      <c r="J323">
        <v>2.75200119039284E-3</v>
      </c>
      <c r="K323">
        <v>-0.70169462587554199</v>
      </c>
      <c r="L323" t="s">
        <v>29</v>
      </c>
      <c r="M323">
        <v>12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</row>
    <row r="324" spans="1:18" x14ac:dyDescent="0.2">
      <c r="A324">
        <v>38862</v>
      </c>
      <c r="B324" t="s">
        <v>11</v>
      </c>
      <c r="C324">
        <v>8952</v>
      </c>
      <c r="D324">
        <v>0.34309504809105801</v>
      </c>
      <c r="E324">
        <v>2284</v>
      </c>
      <c r="F324">
        <v>0.34309504809105801</v>
      </c>
      <c r="G324">
        <v>6.3453005967351706E-2</v>
      </c>
      <c r="H324">
        <v>4.5604444141025297E-2</v>
      </c>
      <c r="I324">
        <v>0.53786675556862296</v>
      </c>
      <c r="J324">
        <v>0.142043795028618</v>
      </c>
      <c r="K324">
        <v>-1.3712088404729199</v>
      </c>
      <c r="L324" t="s">
        <v>28</v>
      </c>
      <c r="M324">
        <v>35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</row>
    <row r="325" spans="1:18" x14ac:dyDescent="0.2">
      <c r="A325">
        <v>38908</v>
      </c>
      <c r="B325" t="s">
        <v>10</v>
      </c>
      <c r="C325">
        <v>4233</v>
      </c>
      <c r="D325">
        <v>0.56971208023439301</v>
      </c>
      <c r="E325">
        <v>304</v>
      </c>
      <c r="F325">
        <v>0.56971208023439301</v>
      </c>
      <c r="G325">
        <v>0.18554145193563701</v>
      </c>
      <c r="H325">
        <v>0.14926879869559201</v>
      </c>
      <c r="I325">
        <v>5.3143424862761197</v>
      </c>
      <c r="J325">
        <v>1.1447350480846199</v>
      </c>
      <c r="K325">
        <v>-4.1447411031753303</v>
      </c>
      <c r="L325" t="s">
        <v>28</v>
      </c>
      <c r="M325">
        <v>36</v>
      </c>
      <c r="N325" t="b">
        <v>0</v>
      </c>
      <c r="O325" t="b">
        <v>0</v>
      </c>
      <c r="P325" t="b">
        <v>1</v>
      </c>
      <c r="Q325" t="b">
        <v>1</v>
      </c>
      <c r="R325" t="b">
        <v>1</v>
      </c>
    </row>
    <row r="326" spans="1:18" x14ac:dyDescent="0.2">
      <c r="A326">
        <v>38916</v>
      </c>
      <c r="B326" t="s">
        <v>11</v>
      </c>
      <c r="C326">
        <v>0</v>
      </c>
      <c r="D326">
        <v>0</v>
      </c>
      <c r="E326">
        <v>2610</v>
      </c>
      <c r="F326">
        <v>0</v>
      </c>
      <c r="G326">
        <v>1.3736707469888299E-2</v>
      </c>
      <c r="H326">
        <v>5.4286503093769704E-3</v>
      </c>
      <c r="I326">
        <v>9.3953544800753105E-4</v>
      </c>
      <c r="J326">
        <v>2.8224226715283501E-3</v>
      </c>
      <c r="K326">
        <v>-0.33288261800234498</v>
      </c>
      <c r="L326" t="s">
        <v>28</v>
      </c>
      <c r="M326">
        <v>26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</row>
    <row r="327" spans="1:18" x14ac:dyDescent="0.2">
      <c r="A327">
        <v>39266</v>
      </c>
      <c r="B327" t="s">
        <v>10</v>
      </c>
      <c r="C327">
        <v>10</v>
      </c>
      <c r="D327">
        <v>0.69268625004690298</v>
      </c>
      <c r="E327">
        <v>316</v>
      </c>
      <c r="F327">
        <v>0.69268625004690298</v>
      </c>
      <c r="G327">
        <v>0.26304544333208801</v>
      </c>
      <c r="H327">
        <v>0.184119873152647</v>
      </c>
      <c r="I327">
        <v>10.9362216635281</v>
      </c>
      <c r="J327">
        <v>2.0812908785902602</v>
      </c>
      <c r="K327">
        <v>-4.9217221479486497</v>
      </c>
      <c r="L327" t="s">
        <v>28</v>
      </c>
      <c r="M327">
        <v>31</v>
      </c>
      <c r="N327" t="b">
        <v>0</v>
      </c>
      <c r="O327" t="b">
        <v>0</v>
      </c>
      <c r="P327" t="b">
        <v>1</v>
      </c>
      <c r="Q327" t="b">
        <v>1</v>
      </c>
      <c r="R327" t="b">
        <v>1</v>
      </c>
    </row>
    <row r="328" spans="1:18" x14ac:dyDescent="0.2">
      <c r="A328">
        <v>39381</v>
      </c>
      <c r="B328" t="s">
        <v>10</v>
      </c>
      <c r="C328">
        <v>46.590162029970102</v>
      </c>
      <c r="D328">
        <v>4.7279747487381202E-2</v>
      </c>
      <c r="E328">
        <v>404</v>
      </c>
      <c r="F328">
        <v>4.7279747487381202E-2</v>
      </c>
      <c r="G328">
        <v>0.28887493515776802</v>
      </c>
      <c r="H328">
        <v>0.33080936033851499</v>
      </c>
      <c r="I328">
        <v>26.0920702779535</v>
      </c>
      <c r="J328">
        <v>3.9852164203691398</v>
      </c>
      <c r="K328">
        <v>-6.5353516053348102</v>
      </c>
      <c r="L328" t="s">
        <v>28</v>
      </c>
      <c r="M328">
        <v>32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</row>
    <row r="329" spans="1:18" x14ac:dyDescent="0.2">
      <c r="A329">
        <v>40867</v>
      </c>
      <c r="B329" t="s">
        <v>10</v>
      </c>
      <c r="C329">
        <v>2336</v>
      </c>
      <c r="D329">
        <v>1.7871933202005701</v>
      </c>
      <c r="E329">
        <v>509</v>
      </c>
      <c r="F329">
        <v>1.7871933202005701</v>
      </c>
      <c r="G329">
        <v>0.24737215871753299</v>
      </c>
      <c r="H329">
        <v>0.168020874231083</v>
      </c>
      <c r="I329">
        <v>10.080851279595</v>
      </c>
      <c r="J329">
        <v>1.6225626195340099</v>
      </c>
      <c r="K329">
        <v>-5.11145632196083</v>
      </c>
      <c r="L329" t="s">
        <v>28</v>
      </c>
      <c r="M329">
        <v>30</v>
      </c>
      <c r="N329" t="b">
        <v>0</v>
      </c>
      <c r="O329" t="b">
        <v>0</v>
      </c>
      <c r="P329" t="b">
        <v>1</v>
      </c>
      <c r="Q329" t="b">
        <v>1</v>
      </c>
      <c r="R329" t="b">
        <v>0</v>
      </c>
    </row>
    <row r="330" spans="1:18" x14ac:dyDescent="0.2">
      <c r="A330">
        <v>42688</v>
      </c>
      <c r="B330" t="s">
        <v>11</v>
      </c>
      <c r="C330">
        <v>0</v>
      </c>
      <c r="D330">
        <v>2.0207372547610802E-3</v>
      </c>
      <c r="E330">
        <v>2583</v>
      </c>
      <c r="F330">
        <v>2.0207372547610802E-3</v>
      </c>
      <c r="G330">
        <v>5.12382918567423E-2</v>
      </c>
      <c r="H330">
        <v>2.2786072702664199E-2</v>
      </c>
      <c r="I330">
        <v>3.87029446419275E-2</v>
      </c>
      <c r="J330">
        <v>3.57833010427136E-2</v>
      </c>
      <c r="K330">
        <v>-1.0251208334127599</v>
      </c>
      <c r="L330" t="s">
        <v>28</v>
      </c>
      <c r="M330">
        <v>40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</row>
    <row r="331" spans="1:18" x14ac:dyDescent="0.2">
      <c r="A331">
        <v>42698</v>
      </c>
      <c r="B331" t="s">
        <v>11</v>
      </c>
      <c r="C331">
        <v>14.5</v>
      </c>
      <c r="D331">
        <v>0.19996768908731999</v>
      </c>
      <c r="E331">
        <v>438</v>
      </c>
      <c r="F331">
        <v>0.19996768908731999</v>
      </c>
      <c r="G331">
        <v>0.29191611862342898</v>
      </c>
      <c r="H331">
        <v>5.8485747536775101E-2</v>
      </c>
      <c r="I331">
        <v>4.0741966828852396</v>
      </c>
      <c r="J331">
        <v>0.64271375118216301</v>
      </c>
      <c r="K331">
        <v>-6.0279229854222596</v>
      </c>
      <c r="L331" t="s">
        <v>28</v>
      </c>
      <c r="M331">
        <v>36</v>
      </c>
      <c r="N331" t="b">
        <v>0</v>
      </c>
      <c r="O331" t="b">
        <v>1</v>
      </c>
      <c r="P331" t="b">
        <v>1</v>
      </c>
      <c r="Q331" t="b">
        <v>1</v>
      </c>
      <c r="R331" t="b">
        <v>1</v>
      </c>
    </row>
    <row r="332" spans="1:18" x14ac:dyDescent="0.2">
      <c r="A332">
        <v>43416</v>
      </c>
      <c r="B332" t="s">
        <v>11</v>
      </c>
      <c r="C332">
        <v>28062</v>
      </c>
      <c r="D332">
        <v>1.5968292191503399</v>
      </c>
      <c r="E332">
        <v>244</v>
      </c>
      <c r="F332">
        <v>1.5968292191503399</v>
      </c>
      <c r="G332">
        <v>0.27019269782470501</v>
      </c>
      <c r="H332">
        <v>0.184450106455118</v>
      </c>
      <c r="I332">
        <v>13.7368622375885</v>
      </c>
      <c r="J332">
        <v>2.0300608538807001</v>
      </c>
      <c r="K332">
        <v>-5.9801325636278397</v>
      </c>
      <c r="L332" t="s">
        <v>28</v>
      </c>
      <c r="M332">
        <v>31</v>
      </c>
      <c r="N332" t="b">
        <v>0</v>
      </c>
      <c r="O332" t="b">
        <v>0</v>
      </c>
      <c r="P332" t="b">
        <v>1</v>
      </c>
      <c r="Q332" t="b">
        <v>1</v>
      </c>
      <c r="R332" t="b">
        <v>1</v>
      </c>
    </row>
    <row r="333" spans="1:18" x14ac:dyDescent="0.2">
      <c r="A333">
        <v>44133</v>
      </c>
      <c r="B333" t="s">
        <v>11</v>
      </c>
      <c r="C333">
        <v>1.5</v>
      </c>
      <c r="D333">
        <v>3.7995177540660202E-2</v>
      </c>
      <c r="E333">
        <v>342</v>
      </c>
      <c r="F333">
        <v>3.7995177540660202E-2</v>
      </c>
      <c r="G333">
        <v>0.291721227707328</v>
      </c>
      <c r="H333">
        <v>0.29383220750265299</v>
      </c>
      <c r="I333">
        <v>17.189505816648101</v>
      </c>
      <c r="J333">
        <v>3.2791641800657301</v>
      </c>
      <c r="K333">
        <v>-5.2304519375311296</v>
      </c>
      <c r="L333" t="s">
        <v>28</v>
      </c>
      <c r="M333">
        <v>34</v>
      </c>
      <c r="N333" t="b">
        <v>0</v>
      </c>
      <c r="O333" t="b">
        <v>1</v>
      </c>
      <c r="P333" t="b">
        <v>1</v>
      </c>
      <c r="Q333" t="b">
        <v>1</v>
      </c>
      <c r="R333" t="b">
        <v>1</v>
      </c>
    </row>
    <row r="334" spans="1:18" x14ac:dyDescent="0.2">
      <c r="A334">
        <v>44137</v>
      </c>
      <c r="B334" t="s">
        <v>11</v>
      </c>
      <c r="C334">
        <v>2.5</v>
      </c>
      <c r="D334">
        <v>4.6098374518462802E-4</v>
      </c>
      <c r="E334">
        <v>2103</v>
      </c>
      <c r="F334">
        <v>4.6098374518462802E-4</v>
      </c>
      <c r="G334">
        <v>3.1160155530781399E-3</v>
      </c>
      <c r="H334">
        <v>2.24841185817136E-3</v>
      </c>
      <c r="I334">
        <v>9.885723010429389E-4</v>
      </c>
      <c r="J334">
        <v>3.1695139235563398E-4</v>
      </c>
      <c r="K334">
        <v>-1.6645724504858199</v>
      </c>
      <c r="L334" s="5" t="s">
        <v>28</v>
      </c>
      <c r="M334" s="5">
        <v>19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</row>
    <row r="335" spans="1:18" x14ac:dyDescent="0.2">
      <c r="A335">
        <v>44140</v>
      </c>
      <c r="B335" t="s">
        <v>11</v>
      </c>
      <c r="C335">
        <v>1501.5</v>
      </c>
      <c r="D335">
        <v>0.24798537149361599</v>
      </c>
      <c r="E335">
        <v>264</v>
      </c>
      <c r="F335">
        <v>0.24798537149361599</v>
      </c>
      <c r="G335">
        <v>0.14267420459037</v>
      </c>
      <c r="H335">
        <v>0.192228517217441</v>
      </c>
      <c r="I335">
        <v>7.1043034979761703</v>
      </c>
      <c r="J335">
        <v>1.2480327209193101</v>
      </c>
      <c r="K335">
        <v>-5.4937006150224299</v>
      </c>
      <c r="L335" t="s">
        <v>28</v>
      </c>
      <c r="M335">
        <v>43</v>
      </c>
      <c r="N335" t="b">
        <v>0</v>
      </c>
      <c r="O335" t="b">
        <v>0</v>
      </c>
      <c r="P335" t="b">
        <v>1</v>
      </c>
      <c r="Q335" t="b">
        <v>1</v>
      </c>
      <c r="R335" t="b">
        <v>1</v>
      </c>
    </row>
    <row r="336" spans="1:18" x14ac:dyDescent="0.2">
      <c r="A336">
        <v>44141</v>
      </c>
      <c r="B336" t="s">
        <v>11</v>
      </c>
      <c r="C336">
        <v>0</v>
      </c>
      <c r="D336">
        <v>0</v>
      </c>
      <c r="E336">
        <v>2454</v>
      </c>
      <c r="F336">
        <v>0</v>
      </c>
      <c r="G336">
        <v>6.1837485108791404E-3</v>
      </c>
      <c r="H336">
        <v>2.5292757648577201E-2</v>
      </c>
      <c r="I336">
        <v>0</v>
      </c>
      <c r="J336">
        <v>0</v>
      </c>
      <c r="K336" t="s">
        <v>18</v>
      </c>
      <c r="L336" t="s">
        <v>29</v>
      </c>
      <c r="M336">
        <v>14</v>
      </c>
      <c r="N336" t="b">
        <v>0</v>
      </c>
      <c r="O336" t="b">
        <v>1</v>
      </c>
      <c r="P336" t="b">
        <v>0</v>
      </c>
      <c r="Q336" t="b">
        <v>1</v>
      </c>
      <c r="R336" t="b">
        <v>0</v>
      </c>
    </row>
    <row r="337" spans="1:18" x14ac:dyDescent="0.2">
      <c r="A337">
        <v>44183</v>
      </c>
      <c r="B337" t="s">
        <v>11</v>
      </c>
      <c r="C337">
        <v>1</v>
      </c>
      <c r="D337">
        <v>5.3570607936796598E-2</v>
      </c>
      <c r="E337">
        <v>265</v>
      </c>
      <c r="F337">
        <v>5.3570607936796598E-2</v>
      </c>
      <c r="G337">
        <v>0.25767791187202599</v>
      </c>
      <c r="H337">
        <v>1.5420943271358199E-2</v>
      </c>
      <c r="I337">
        <v>0.931101712374099</v>
      </c>
      <c r="J337">
        <v>0.15131927321150301</v>
      </c>
      <c r="K337">
        <v>-5.7992024797181898</v>
      </c>
      <c r="L337" t="s">
        <v>28</v>
      </c>
      <c r="M337">
        <v>21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</row>
    <row r="338" spans="1:18" x14ac:dyDescent="0.2">
      <c r="A338">
        <v>44293</v>
      </c>
      <c r="B338" t="s">
        <v>11</v>
      </c>
      <c r="C338">
        <v>315</v>
      </c>
      <c r="D338">
        <v>0.25673339177868698</v>
      </c>
      <c r="E338">
        <v>301</v>
      </c>
      <c r="F338">
        <v>0.25673339177868698</v>
      </c>
      <c r="G338">
        <v>0.17072867045303999</v>
      </c>
      <c r="H338">
        <v>0.242448892403448</v>
      </c>
      <c r="I338">
        <v>11.7587265740238</v>
      </c>
      <c r="J338">
        <v>1.74518852089164</v>
      </c>
      <c r="K338">
        <v>-6.59068808014427</v>
      </c>
      <c r="L338" t="s">
        <v>28</v>
      </c>
      <c r="M338">
        <v>37</v>
      </c>
      <c r="N338" t="b">
        <v>0</v>
      </c>
      <c r="O338" t="b">
        <v>0</v>
      </c>
      <c r="P338" t="b">
        <v>1</v>
      </c>
      <c r="Q338" t="b">
        <v>1</v>
      </c>
      <c r="R338" t="b">
        <v>1</v>
      </c>
    </row>
    <row r="339" spans="1:18" x14ac:dyDescent="0.2">
      <c r="A339">
        <v>44296</v>
      </c>
      <c r="B339" t="s">
        <v>11</v>
      </c>
      <c r="C339">
        <v>12</v>
      </c>
      <c r="D339">
        <v>5.2904520190562597E-2</v>
      </c>
      <c r="E339">
        <v>488</v>
      </c>
      <c r="F339">
        <v>5.2904520190562597E-2</v>
      </c>
      <c r="G339">
        <v>2.0949800130875999E-2</v>
      </c>
      <c r="H339">
        <v>4.8374358175539901E-2</v>
      </c>
      <c r="I339">
        <v>0.24677980637775801</v>
      </c>
      <c r="J339">
        <v>4.3065064133484703E-2</v>
      </c>
      <c r="K339">
        <v>-4.5019156499165698</v>
      </c>
      <c r="L339" t="s">
        <v>28</v>
      </c>
      <c r="M339">
        <v>22</v>
      </c>
      <c r="N339" t="b">
        <v>0</v>
      </c>
      <c r="O339" t="b">
        <v>1</v>
      </c>
      <c r="P339" t="b">
        <v>0</v>
      </c>
      <c r="Q339" t="b">
        <v>1</v>
      </c>
      <c r="R339" t="b">
        <v>1</v>
      </c>
    </row>
    <row r="340" spans="1:18" x14ac:dyDescent="0.2">
      <c r="A340">
        <v>44298</v>
      </c>
      <c r="B340" t="s">
        <v>11</v>
      </c>
      <c r="C340">
        <v>133</v>
      </c>
      <c r="D340">
        <v>0.13151048521540801</v>
      </c>
      <c r="E340">
        <v>311</v>
      </c>
      <c r="F340">
        <v>0.13151048521540801</v>
      </c>
      <c r="G340">
        <v>0.31327418314359901</v>
      </c>
      <c r="H340">
        <v>0.21610827321394899</v>
      </c>
      <c r="I340">
        <v>15.8803183271914</v>
      </c>
      <c r="J340">
        <v>3.4778794771619501</v>
      </c>
      <c r="K340">
        <v>-4.5282787817671704</v>
      </c>
      <c r="L340" t="s">
        <v>28</v>
      </c>
      <c r="M340">
        <v>25</v>
      </c>
      <c r="N340" t="b">
        <v>0</v>
      </c>
      <c r="O340" t="b">
        <v>1</v>
      </c>
      <c r="P340" t="b">
        <v>1</v>
      </c>
      <c r="Q340" t="b">
        <v>1</v>
      </c>
      <c r="R340" t="b">
        <v>1</v>
      </c>
    </row>
    <row r="341" spans="1:18" x14ac:dyDescent="0.2">
      <c r="A341">
        <v>44301</v>
      </c>
      <c r="B341" t="s">
        <v>11</v>
      </c>
      <c r="C341">
        <v>53.5</v>
      </c>
      <c r="D341">
        <v>6.5151016655699806E-2</v>
      </c>
      <c r="E341">
        <v>2420</v>
      </c>
      <c r="F341">
        <v>6.5151016655699806E-2</v>
      </c>
      <c r="G341">
        <v>3.53674968167711E-2</v>
      </c>
      <c r="H341">
        <v>4.2972170444567998E-2</v>
      </c>
      <c r="I341">
        <v>0.15563985782687201</v>
      </c>
      <c r="J341">
        <v>5.74413347688289E-2</v>
      </c>
      <c r="K341">
        <v>-1.5753262269294801</v>
      </c>
      <c r="L341" t="s">
        <v>29</v>
      </c>
      <c r="M341">
        <v>11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</row>
    <row r="342" spans="1:18" x14ac:dyDescent="0.2">
      <c r="A342">
        <v>44306</v>
      </c>
      <c r="B342" t="s">
        <v>11</v>
      </c>
      <c r="C342">
        <v>19.5</v>
      </c>
      <c r="D342">
        <v>8.6873230051640896E-2</v>
      </c>
      <c r="E342">
        <v>306</v>
      </c>
      <c r="F342">
        <v>8.6873230051640896E-2</v>
      </c>
      <c r="G342">
        <v>0.26145218988343699</v>
      </c>
      <c r="H342">
        <v>0.32065965809434099</v>
      </c>
      <c r="I342">
        <v>20.826358674829301</v>
      </c>
      <c r="J342">
        <v>3.9882988977565401</v>
      </c>
      <c r="K342">
        <v>-5.2000830370170501</v>
      </c>
      <c r="L342" t="s">
        <v>29</v>
      </c>
      <c r="M342">
        <v>9</v>
      </c>
      <c r="N342" t="b">
        <v>0</v>
      </c>
      <c r="O342" t="b">
        <v>1</v>
      </c>
      <c r="P342" t="b">
        <v>1</v>
      </c>
      <c r="Q342" t="b">
        <v>1</v>
      </c>
      <c r="R342" t="b">
        <v>1</v>
      </c>
    </row>
    <row r="343" spans="1:18" x14ac:dyDescent="0.2">
      <c r="A343">
        <v>44307</v>
      </c>
      <c r="B343" t="s">
        <v>11</v>
      </c>
      <c r="C343">
        <v>4</v>
      </c>
      <c r="D343">
        <v>4.4819604086845502E-2</v>
      </c>
      <c r="E343">
        <v>289</v>
      </c>
      <c r="F343">
        <v>4.4819604086845502E-2</v>
      </c>
      <c r="G343">
        <v>0.25459195925234701</v>
      </c>
      <c r="H343">
        <v>0.29701124055686101</v>
      </c>
      <c r="I343">
        <v>18.043902642428801</v>
      </c>
      <c r="J343">
        <v>3.6074526415915198</v>
      </c>
      <c r="K343">
        <v>-4.9894163074587699</v>
      </c>
      <c r="L343" t="s">
        <v>28</v>
      </c>
      <c r="M343">
        <v>26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</row>
    <row r="344" spans="1:18" x14ac:dyDescent="0.2">
      <c r="A344">
        <v>44308</v>
      </c>
      <c r="B344" t="s">
        <v>11</v>
      </c>
      <c r="C344">
        <v>178</v>
      </c>
      <c r="D344">
        <v>3.0100676995655998E-2</v>
      </c>
      <c r="E344">
        <v>416</v>
      </c>
      <c r="F344">
        <v>3.0100676995655998E-2</v>
      </c>
      <c r="G344">
        <v>0.30478228115577799</v>
      </c>
      <c r="H344">
        <v>1.20794637395585E-2</v>
      </c>
      <c r="I344">
        <v>0.86003838941493604</v>
      </c>
      <c r="J344">
        <v>0.134380675779842</v>
      </c>
      <c r="K344">
        <v>-6.1760197856050203</v>
      </c>
      <c r="L344" t="s">
        <v>29</v>
      </c>
      <c r="M344">
        <v>19</v>
      </c>
      <c r="N344" t="b">
        <v>0</v>
      </c>
      <c r="O344" t="b">
        <v>1</v>
      </c>
      <c r="P344" t="b">
        <v>1</v>
      </c>
      <c r="Q344" t="b">
        <v>1</v>
      </c>
      <c r="R344" t="b">
        <v>1</v>
      </c>
    </row>
    <row r="345" spans="1:18" x14ac:dyDescent="0.2">
      <c r="A345">
        <v>44309</v>
      </c>
      <c r="B345" t="s">
        <v>11</v>
      </c>
      <c r="C345">
        <v>590</v>
      </c>
      <c r="D345">
        <v>8.5915814609473104E-2</v>
      </c>
      <c r="E345">
        <v>469</v>
      </c>
      <c r="F345">
        <v>8.5915814609473104E-2</v>
      </c>
      <c r="G345">
        <v>0.26784080851174102</v>
      </c>
      <c r="H345">
        <v>2.9457028160764901E-2</v>
      </c>
      <c r="I345">
        <v>2.08813031043689</v>
      </c>
      <c r="J345">
        <v>0.30977906897163898</v>
      </c>
      <c r="K345">
        <v>-6.4633627522804904</v>
      </c>
      <c r="L345" t="s">
        <v>29</v>
      </c>
      <c r="M345">
        <v>9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</row>
    <row r="346" spans="1:18" x14ac:dyDescent="0.2">
      <c r="A346">
        <v>44340</v>
      </c>
      <c r="B346" t="s">
        <v>11</v>
      </c>
      <c r="C346">
        <v>0</v>
      </c>
      <c r="D346">
        <v>0.152886688337075</v>
      </c>
      <c r="E346">
        <v>1909</v>
      </c>
      <c r="F346">
        <v>0.152886688337075</v>
      </c>
      <c r="G346">
        <v>2.4705103439189899E-2</v>
      </c>
      <c r="H346">
        <v>7.1538991074111505E-2</v>
      </c>
      <c r="I346">
        <v>0.31675144934821198</v>
      </c>
      <c r="J346">
        <v>8.0076038358349699E-2</v>
      </c>
      <c r="K346">
        <v>-2.0463644851887199</v>
      </c>
      <c r="L346" t="s">
        <v>29</v>
      </c>
      <c r="M346">
        <v>23</v>
      </c>
      <c r="N346" t="b">
        <v>0</v>
      </c>
      <c r="O346" t="b">
        <v>1</v>
      </c>
      <c r="P346" t="b">
        <v>0</v>
      </c>
      <c r="Q346" t="b">
        <v>1</v>
      </c>
      <c r="R346" t="b">
        <v>0</v>
      </c>
    </row>
    <row r="347" spans="1:18" x14ac:dyDescent="0.2">
      <c r="A347">
        <v>44341</v>
      </c>
      <c r="B347" t="s">
        <v>11</v>
      </c>
      <c r="C347">
        <v>0</v>
      </c>
      <c r="D347">
        <v>0.27812563139816798</v>
      </c>
      <c r="E347">
        <v>361</v>
      </c>
      <c r="F347">
        <v>0.27812563139816798</v>
      </c>
      <c r="G347">
        <v>0.310904322463325</v>
      </c>
      <c r="H347">
        <v>5.03052976763382E-2</v>
      </c>
      <c r="I347">
        <v>4.1684570554536</v>
      </c>
      <c r="J347">
        <v>0.596286346219569</v>
      </c>
      <c r="K347">
        <v>-6.52426715573813</v>
      </c>
      <c r="L347" t="s">
        <v>28</v>
      </c>
      <c r="M347">
        <v>36</v>
      </c>
      <c r="N347" t="b">
        <v>0</v>
      </c>
      <c r="O347" t="b">
        <v>0</v>
      </c>
      <c r="P347" t="b">
        <v>1</v>
      </c>
      <c r="Q347" t="b">
        <v>1</v>
      </c>
      <c r="R347" t="b">
        <v>1</v>
      </c>
    </row>
    <row r="348" spans="1:18" x14ac:dyDescent="0.2">
      <c r="A348">
        <v>44351</v>
      </c>
      <c r="B348" t="s">
        <v>11</v>
      </c>
      <c r="C348">
        <v>2</v>
      </c>
      <c r="D348">
        <v>3.6757148964859501E-2</v>
      </c>
      <c r="E348">
        <v>272</v>
      </c>
      <c r="F348">
        <v>3.6757148964859501E-2</v>
      </c>
      <c r="G348">
        <v>0.33767088785244398</v>
      </c>
      <c r="H348">
        <v>9.7992931414605002E-3</v>
      </c>
      <c r="I348">
        <v>0.85850646140627795</v>
      </c>
      <c r="J348">
        <v>0.13190547930484001</v>
      </c>
      <c r="K348">
        <v>-6.2298345510144904</v>
      </c>
      <c r="L348" t="s">
        <v>29</v>
      </c>
      <c r="M348">
        <v>20</v>
      </c>
      <c r="N348" t="b">
        <v>0</v>
      </c>
      <c r="O348" t="b">
        <v>1</v>
      </c>
      <c r="P348" t="b">
        <v>1</v>
      </c>
      <c r="Q348" t="b">
        <v>1</v>
      </c>
      <c r="R348" t="b">
        <v>1</v>
      </c>
    </row>
    <row r="349" spans="1:18" x14ac:dyDescent="0.2">
      <c r="A349">
        <v>44352</v>
      </c>
      <c r="B349" t="s">
        <v>11</v>
      </c>
      <c r="C349">
        <v>0</v>
      </c>
      <c r="D349">
        <v>0</v>
      </c>
      <c r="E349">
        <v>2530</v>
      </c>
      <c r="F349">
        <v>0</v>
      </c>
      <c r="G349">
        <v>5.8881063214068999E-4</v>
      </c>
      <c r="H349">
        <v>2.1278233056830102E-3</v>
      </c>
      <c r="I349" s="1">
        <v>6.8124447008465305E-5</v>
      </c>
      <c r="J349" s="1">
        <v>6.8109374048511994E-5</v>
      </c>
      <c r="K349">
        <v>-1.0002213052191999</v>
      </c>
      <c r="L349" t="s">
        <v>29</v>
      </c>
      <c r="M349">
        <v>9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</row>
    <row r="350" spans="1:18" x14ac:dyDescent="0.2">
      <c r="A350">
        <v>44371</v>
      </c>
      <c r="B350" t="s">
        <v>11</v>
      </c>
      <c r="C350">
        <v>4237</v>
      </c>
      <c r="D350">
        <v>1.0609225776437501</v>
      </c>
      <c r="E350">
        <v>340</v>
      </c>
      <c r="F350">
        <v>1.0609225776437501</v>
      </c>
      <c r="G350">
        <v>0.28188739414508801</v>
      </c>
      <c r="H350">
        <v>0.31510308848662699</v>
      </c>
      <c r="I350">
        <v>25.025620336483399</v>
      </c>
      <c r="J350">
        <v>3.6499659077339102</v>
      </c>
      <c r="K350">
        <v>-6.5657319450740301</v>
      </c>
      <c r="L350" t="s">
        <v>29</v>
      </c>
      <c r="M350">
        <v>27</v>
      </c>
      <c r="N350" t="b">
        <v>0</v>
      </c>
      <c r="O350" t="b">
        <v>0</v>
      </c>
      <c r="P350" t="b">
        <v>1</v>
      </c>
      <c r="Q350" t="b">
        <v>1</v>
      </c>
      <c r="R350" t="b">
        <v>1</v>
      </c>
    </row>
    <row r="351" spans="1:18" x14ac:dyDescent="0.2">
      <c r="A351">
        <v>44414</v>
      </c>
      <c r="B351" t="s">
        <v>11</v>
      </c>
      <c r="C351">
        <v>0</v>
      </c>
      <c r="D351">
        <v>0</v>
      </c>
      <c r="E351">
        <v>2670</v>
      </c>
      <c r="F351">
        <v>0</v>
      </c>
      <c r="G351">
        <v>1.22072250461221E-2</v>
      </c>
      <c r="H351">
        <v>7.3495765434683002E-2</v>
      </c>
      <c r="I351">
        <v>3.4985504513635197E-2</v>
      </c>
      <c r="J351">
        <v>3.8463602617893403E-2</v>
      </c>
      <c r="K351">
        <v>-0.90957430226153202</v>
      </c>
      <c r="L351" t="s">
        <v>29</v>
      </c>
      <c r="M351">
        <v>9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</row>
    <row r="352" spans="1:18" x14ac:dyDescent="0.2">
      <c r="A352">
        <v>44415</v>
      </c>
      <c r="B352" t="s">
        <v>11</v>
      </c>
      <c r="C352">
        <v>0</v>
      </c>
      <c r="D352">
        <v>0</v>
      </c>
      <c r="E352">
        <v>2640</v>
      </c>
      <c r="F352">
        <v>0</v>
      </c>
      <c r="G352">
        <v>5.2104954821858597E-3</v>
      </c>
      <c r="H352">
        <v>9.8857546446918895E-2</v>
      </c>
      <c r="I352">
        <v>1.2950174405031699E-2</v>
      </c>
      <c r="J352">
        <v>9.4547950336136295E-3</v>
      </c>
      <c r="K352">
        <v>-1.3696938282629401</v>
      </c>
      <c r="L352" t="s">
        <v>29</v>
      </c>
      <c r="M352">
        <v>12</v>
      </c>
      <c r="N352" t="b">
        <v>0</v>
      </c>
      <c r="O352" t="b">
        <v>1</v>
      </c>
      <c r="P352" t="b">
        <v>1</v>
      </c>
      <c r="Q352" t="b">
        <v>0</v>
      </c>
      <c r="R352" t="b">
        <v>0</v>
      </c>
    </row>
    <row r="353" spans="1:18" x14ac:dyDescent="0.2">
      <c r="A353">
        <v>44427</v>
      </c>
      <c r="B353" t="s">
        <v>11</v>
      </c>
      <c r="C353">
        <v>221.99999999997101</v>
      </c>
      <c r="D353">
        <v>5.1282963504453799E-2</v>
      </c>
      <c r="E353">
        <v>386</v>
      </c>
      <c r="F353">
        <v>5.1282963504453799E-2</v>
      </c>
      <c r="G353">
        <v>0.28686179935150802</v>
      </c>
      <c r="H353">
        <v>1.9475487513553099E-2</v>
      </c>
      <c r="I353">
        <v>1.41720179179999</v>
      </c>
      <c r="J353">
        <v>0.232684937810506</v>
      </c>
      <c r="K353">
        <v>-5.8702503099186796</v>
      </c>
      <c r="L353" t="s">
        <v>29</v>
      </c>
      <c r="M353">
        <v>10</v>
      </c>
      <c r="N353" t="b">
        <v>0</v>
      </c>
      <c r="O353" t="b">
        <v>1</v>
      </c>
      <c r="P353" t="b">
        <v>1</v>
      </c>
      <c r="Q353" t="b">
        <v>1</v>
      </c>
      <c r="R353" t="b">
        <v>1</v>
      </c>
    </row>
    <row r="354" spans="1:18" x14ac:dyDescent="0.2">
      <c r="A354">
        <v>44453</v>
      </c>
      <c r="B354" t="s">
        <v>11</v>
      </c>
      <c r="C354">
        <v>103</v>
      </c>
      <c r="D354">
        <v>0.42272167043327502</v>
      </c>
      <c r="E354">
        <v>1998</v>
      </c>
      <c r="F354">
        <v>0.42272167043327502</v>
      </c>
      <c r="G354">
        <v>7.1928541376675606E-2</v>
      </c>
      <c r="H354">
        <v>0.136164963047263</v>
      </c>
      <c r="I354">
        <v>1.24693098900724</v>
      </c>
      <c r="J354">
        <v>0.41847824968534902</v>
      </c>
      <c r="K354">
        <v>-1.9695392035157999</v>
      </c>
      <c r="L354" t="s">
        <v>29</v>
      </c>
      <c r="M354">
        <v>26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</row>
    <row r="355" spans="1:18" x14ac:dyDescent="0.2">
      <c r="A355">
        <v>44489</v>
      </c>
      <c r="B355" t="s">
        <v>11</v>
      </c>
      <c r="C355">
        <v>10</v>
      </c>
      <c r="D355">
        <v>2.00529825128053</v>
      </c>
      <c r="E355">
        <v>352</v>
      </c>
      <c r="F355">
        <v>2.00529825128053</v>
      </c>
      <c r="G355">
        <v>0.30693183104094102</v>
      </c>
      <c r="H355">
        <v>0.33593544390819002</v>
      </c>
      <c r="I355">
        <v>17.614786396045801</v>
      </c>
      <c r="J355">
        <v>3.37792061639388</v>
      </c>
      <c r="K355">
        <v>-4.6210346297093396</v>
      </c>
      <c r="L355" t="s">
        <v>29</v>
      </c>
      <c r="M355">
        <v>20</v>
      </c>
      <c r="N355" t="b">
        <v>0</v>
      </c>
      <c r="O355" t="b">
        <v>0</v>
      </c>
      <c r="P355" t="b">
        <v>1</v>
      </c>
      <c r="Q355" t="b">
        <v>1</v>
      </c>
      <c r="R355" t="b">
        <v>1</v>
      </c>
    </row>
    <row r="356" spans="1:18" x14ac:dyDescent="0.2">
      <c r="A356">
        <v>44540</v>
      </c>
      <c r="B356" t="s">
        <v>11</v>
      </c>
      <c r="C356">
        <v>18537</v>
      </c>
      <c r="D356">
        <v>2.6699391902021898</v>
      </c>
      <c r="E356">
        <v>654</v>
      </c>
      <c r="F356">
        <v>2.6699391902021898</v>
      </c>
      <c r="G356">
        <v>0.16106165672498499</v>
      </c>
      <c r="H356">
        <v>0.209674977259699</v>
      </c>
      <c r="I356">
        <v>8.9225981981832394</v>
      </c>
      <c r="J356">
        <v>1.4318754622264001</v>
      </c>
      <c r="K356">
        <v>-4.3667617561229104</v>
      </c>
      <c r="L356" t="s">
        <v>29</v>
      </c>
      <c r="M356">
        <v>9</v>
      </c>
      <c r="N356" t="b">
        <v>0</v>
      </c>
      <c r="O356" t="b">
        <v>0</v>
      </c>
      <c r="P356" t="b">
        <v>1</v>
      </c>
      <c r="Q356" t="b">
        <v>1</v>
      </c>
      <c r="R356" t="b">
        <v>0</v>
      </c>
    </row>
    <row r="357" spans="1:18" x14ac:dyDescent="0.2">
      <c r="A357">
        <v>44557</v>
      </c>
      <c r="B357" t="s">
        <v>11</v>
      </c>
      <c r="C357">
        <v>0</v>
      </c>
      <c r="D357">
        <v>3.07380222188257E-4</v>
      </c>
      <c r="E357">
        <v>2435</v>
      </c>
      <c r="F357">
        <v>3.07380222188257E-4</v>
      </c>
      <c r="G357">
        <v>1.3556744266059999E-2</v>
      </c>
      <c r="H357">
        <v>1.7896648724517E-2</v>
      </c>
      <c r="I357">
        <v>8.3069889271654104E-4</v>
      </c>
      <c r="J357">
        <v>1.0546072599697399E-3</v>
      </c>
      <c r="K357">
        <v>-0.49622138059555998</v>
      </c>
      <c r="L357" t="s">
        <v>29</v>
      </c>
      <c r="M357">
        <v>10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</row>
    <row r="358" spans="1:18" x14ac:dyDescent="0.2">
      <c r="A358">
        <v>44582</v>
      </c>
      <c r="B358" t="s">
        <v>11</v>
      </c>
      <c r="C358">
        <v>2340</v>
      </c>
      <c r="D358">
        <v>0.237713437102545</v>
      </c>
      <c r="E358">
        <v>564</v>
      </c>
      <c r="F358">
        <v>0.237713437102545</v>
      </c>
      <c r="G358">
        <v>0.154427814604645</v>
      </c>
      <c r="H358">
        <v>5.7407027062076899E-2</v>
      </c>
      <c r="I358">
        <v>2.1967627978684501</v>
      </c>
      <c r="J358">
        <v>0.37658521758777702</v>
      </c>
      <c r="K358">
        <v>-5.2021408947346197</v>
      </c>
      <c r="L358" t="s">
        <v>29</v>
      </c>
      <c r="M358">
        <v>9</v>
      </c>
      <c r="N358" t="b">
        <v>0</v>
      </c>
      <c r="O358" t="b">
        <v>0</v>
      </c>
      <c r="P358" t="b">
        <v>1</v>
      </c>
      <c r="Q358" t="b">
        <v>1</v>
      </c>
      <c r="R358" t="b">
        <v>0</v>
      </c>
    </row>
    <row r="359" spans="1:18" x14ac:dyDescent="0.2">
      <c r="A359">
        <v>44588</v>
      </c>
      <c r="B359" t="s">
        <v>11</v>
      </c>
      <c r="C359">
        <v>15</v>
      </c>
      <c r="D359">
        <v>2.6388479195037</v>
      </c>
      <c r="E359">
        <v>466</v>
      </c>
      <c r="F359">
        <v>2.6388479195037</v>
      </c>
      <c r="G359">
        <v>0.249980070549916</v>
      </c>
      <c r="H359">
        <v>0.249137418409308</v>
      </c>
      <c r="I359">
        <v>16.349759735013301</v>
      </c>
      <c r="J359">
        <v>2.4524346632348801</v>
      </c>
      <c r="K359">
        <v>-5.5907347996069401</v>
      </c>
      <c r="L359" t="s">
        <v>29</v>
      </c>
      <c r="M359">
        <v>17</v>
      </c>
      <c r="N359" t="b">
        <v>0</v>
      </c>
      <c r="O359" t="b">
        <v>0</v>
      </c>
      <c r="P359" t="b">
        <v>1</v>
      </c>
      <c r="Q359" t="b">
        <v>1</v>
      </c>
      <c r="R359" t="b">
        <v>1</v>
      </c>
    </row>
    <row r="360" spans="1:18" x14ac:dyDescent="0.2">
      <c r="A360">
        <v>44589</v>
      </c>
      <c r="B360" t="s">
        <v>11</v>
      </c>
      <c r="C360">
        <v>4</v>
      </c>
      <c r="D360">
        <v>0.73808720476020795</v>
      </c>
      <c r="E360">
        <v>216</v>
      </c>
      <c r="F360">
        <v>0.73808720476020795</v>
      </c>
      <c r="G360">
        <v>0.36504964977964699</v>
      </c>
      <c r="H360">
        <v>0.35749146024586098</v>
      </c>
      <c r="I360">
        <v>34.442050732558798</v>
      </c>
      <c r="J360">
        <v>5.5047124384121302</v>
      </c>
      <c r="K360">
        <v>-6.1227473559946199</v>
      </c>
      <c r="L360" t="s">
        <v>29</v>
      </c>
      <c r="M360">
        <v>9</v>
      </c>
      <c r="N360" t="b">
        <v>0</v>
      </c>
      <c r="O360" t="b">
        <v>0</v>
      </c>
      <c r="P360" t="b">
        <v>1</v>
      </c>
      <c r="Q360" t="b">
        <v>1</v>
      </c>
      <c r="R360" t="b">
        <v>1</v>
      </c>
    </row>
    <row r="361" spans="1:18" x14ac:dyDescent="0.2">
      <c r="A361">
        <v>44590</v>
      </c>
      <c r="B361" t="s">
        <v>11</v>
      </c>
      <c r="C361">
        <v>15</v>
      </c>
      <c r="D361">
        <v>0.26608484188083298</v>
      </c>
      <c r="E361">
        <v>499</v>
      </c>
      <c r="F361">
        <v>0.26608484188083298</v>
      </c>
      <c r="G361">
        <v>4.8029530458054699E-2</v>
      </c>
      <c r="H361">
        <v>0.15330800809471201</v>
      </c>
      <c r="I361">
        <v>2.0206584748537701</v>
      </c>
      <c r="J361">
        <v>0.30242224481764202</v>
      </c>
      <c r="K361">
        <v>-5.8017347038440601</v>
      </c>
      <c r="L361" t="s">
        <v>28</v>
      </c>
      <c r="M361">
        <v>32</v>
      </c>
      <c r="N361" t="b">
        <v>0</v>
      </c>
      <c r="O361" t="b">
        <v>0</v>
      </c>
      <c r="P361" t="b">
        <v>1</v>
      </c>
      <c r="Q361" t="b">
        <v>1</v>
      </c>
      <c r="R361" t="b">
        <v>1</v>
      </c>
    </row>
    <row r="362" spans="1:18" x14ac:dyDescent="0.2">
      <c r="A362">
        <v>44618</v>
      </c>
      <c r="B362" t="s">
        <v>11</v>
      </c>
      <c r="C362">
        <v>126900</v>
      </c>
      <c r="D362">
        <v>1.3465350921919701</v>
      </c>
      <c r="E362">
        <v>314</v>
      </c>
      <c r="F362">
        <v>1.3465350921919701</v>
      </c>
      <c r="G362">
        <v>0.317594913779642</v>
      </c>
      <c r="H362">
        <v>0.185678518393738</v>
      </c>
      <c r="I362">
        <v>10.5957241998456</v>
      </c>
      <c r="J362">
        <v>2.0985450358022599</v>
      </c>
      <c r="K362">
        <v>-4.4074294093563298</v>
      </c>
      <c r="L362" t="s">
        <v>28</v>
      </c>
      <c r="M362">
        <v>27</v>
      </c>
      <c r="N362" t="b">
        <v>0</v>
      </c>
      <c r="O362" t="b">
        <v>0</v>
      </c>
      <c r="P362" t="b">
        <v>1</v>
      </c>
      <c r="Q362" t="b">
        <v>1</v>
      </c>
      <c r="R362" t="b">
        <v>1</v>
      </c>
    </row>
    <row r="363" spans="1:18" x14ac:dyDescent="0.2">
      <c r="A363">
        <v>44627</v>
      </c>
      <c r="B363" t="s">
        <v>11</v>
      </c>
      <c r="C363">
        <v>93.5</v>
      </c>
      <c r="D363">
        <v>4.5254901422247903E-2</v>
      </c>
      <c r="E363">
        <v>398</v>
      </c>
      <c r="F363">
        <v>4.5254901422247903E-2</v>
      </c>
      <c r="G363">
        <v>0.31196614676961998</v>
      </c>
      <c r="H363">
        <v>8.0513685838078403E-3</v>
      </c>
      <c r="I363">
        <v>0.57513833099877798</v>
      </c>
      <c r="J363">
        <v>8.0930774920166801E-2</v>
      </c>
      <c r="K363">
        <v>-6.5473663152147896</v>
      </c>
      <c r="L363" t="s">
        <v>28</v>
      </c>
      <c r="M363">
        <v>41</v>
      </c>
      <c r="N363" t="b">
        <v>0</v>
      </c>
      <c r="O363" t="b">
        <v>1</v>
      </c>
      <c r="P363" t="b">
        <v>1</v>
      </c>
      <c r="Q363" t="b">
        <v>1</v>
      </c>
      <c r="R363" t="b">
        <v>1</v>
      </c>
    </row>
    <row r="364" spans="1:18" x14ac:dyDescent="0.2">
      <c r="A364">
        <v>44645</v>
      </c>
      <c r="B364" t="s">
        <v>11</v>
      </c>
      <c r="C364">
        <v>0</v>
      </c>
      <c r="D364">
        <v>2.1983766209974298E-3</v>
      </c>
      <c r="E364">
        <v>2466</v>
      </c>
      <c r="F364">
        <v>2.1983766209974298E-3</v>
      </c>
      <c r="G364">
        <v>7.9326473938427806E-3</v>
      </c>
      <c r="H364">
        <v>1.9063647083223501E-2</v>
      </c>
      <c r="I364">
        <v>4.4340810828635497E-3</v>
      </c>
      <c r="J364">
        <v>2.2418869510199601E-3</v>
      </c>
      <c r="K364">
        <v>-0.997242283268998</v>
      </c>
      <c r="L364" t="s">
        <v>28</v>
      </c>
      <c r="M364">
        <v>21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</row>
    <row r="365" spans="1:18" x14ac:dyDescent="0.2">
      <c r="A365">
        <v>44666</v>
      </c>
      <c r="B365" t="s">
        <v>11</v>
      </c>
      <c r="C365">
        <v>15</v>
      </c>
      <c r="D365">
        <v>0.307194008326377</v>
      </c>
      <c r="E365">
        <v>342</v>
      </c>
      <c r="F365">
        <v>0.307194008326377</v>
      </c>
      <c r="G365">
        <v>0.28810820384479602</v>
      </c>
      <c r="H365">
        <v>0.25104809789536198</v>
      </c>
      <c r="I365">
        <v>19.775023116933198</v>
      </c>
      <c r="J365">
        <v>3.0687041733128102</v>
      </c>
      <c r="K365">
        <v>-6.3439901695021703</v>
      </c>
      <c r="L365" t="s">
        <v>28</v>
      </c>
      <c r="M365">
        <v>34</v>
      </c>
      <c r="N365" t="b">
        <v>0</v>
      </c>
      <c r="O365" t="b">
        <v>0</v>
      </c>
      <c r="P365" t="b">
        <v>1</v>
      </c>
      <c r="Q365" t="b">
        <v>1</v>
      </c>
      <c r="R365" t="b">
        <v>1</v>
      </c>
    </row>
    <row r="366" spans="1:18" x14ac:dyDescent="0.2">
      <c r="A366">
        <v>44671</v>
      </c>
      <c r="B366" t="s">
        <v>11</v>
      </c>
      <c r="C366">
        <v>0</v>
      </c>
      <c r="D366">
        <v>0</v>
      </c>
      <c r="E366">
        <v>2479</v>
      </c>
      <c r="F366">
        <v>0</v>
      </c>
      <c r="G366">
        <v>5.2110950246749999E-2</v>
      </c>
      <c r="H366">
        <v>1.1433006059194799E-2</v>
      </c>
      <c r="I366">
        <v>3.5517051856392E-2</v>
      </c>
      <c r="J366">
        <v>3.5545836608335303E-2</v>
      </c>
      <c r="K366">
        <v>-0.99919020749854703</v>
      </c>
      <c r="L366" t="s">
        <v>28</v>
      </c>
      <c r="M366">
        <v>14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</row>
    <row r="367" spans="1:18" x14ac:dyDescent="0.2">
      <c r="A367">
        <v>44685</v>
      </c>
      <c r="B367" t="s">
        <v>11</v>
      </c>
      <c r="C367">
        <v>587.5</v>
      </c>
      <c r="D367">
        <v>8.1681580047565594E-2</v>
      </c>
      <c r="E367">
        <v>385</v>
      </c>
      <c r="F367">
        <v>8.1681580047565594E-2</v>
      </c>
      <c r="G367">
        <v>0.25310802796010901</v>
      </c>
      <c r="H367">
        <v>2.08337013808493E-2</v>
      </c>
      <c r="I367">
        <v>1.23595526674865</v>
      </c>
      <c r="J367">
        <v>0.19175228944612199</v>
      </c>
      <c r="K367">
        <v>-6.0196083709624197</v>
      </c>
      <c r="L367" t="s">
        <v>28</v>
      </c>
      <c r="M367">
        <v>44</v>
      </c>
      <c r="N367" t="b">
        <v>0</v>
      </c>
      <c r="O367" t="b">
        <v>1</v>
      </c>
      <c r="P367" t="b">
        <v>1</v>
      </c>
      <c r="Q367" t="b">
        <v>1</v>
      </c>
      <c r="R367" t="b">
        <v>1</v>
      </c>
    </row>
    <row r="368" spans="1:18" x14ac:dyDescent="0.2">
      <c r="A368">
        <v>44692</v>
      </c>
      <c r="B368" t="s">
        <v>11</v>
      </c>
      <c r="C368">
        <v>11</v>
      </c>
      <c r="D368">
        <v>4.9021339739966101E-4</v>
      </c>
      <c r="E368">
        <v>2600</v>
      </c>
      <c r="F368">
        <v>4.9021339739966101E-4</v>
      </c>
      <c r="G368">
        <v>3.5056040633016099E-3</v>
      </c>
      <c r="H368">
        <v>2.5222905619616399E-3</v>
      </c>
      <c r="I368">
        <v>7.3655225409836097E-4</v>
      </c>
      <c r="J368">
        <v>2.8006296028523401E-4</v>
      </c>
      <c r="K368">
        <v>-0.87958384945946799</v>
      </c>
      <c r="L368" t="s">
        <v>28</v>
      </c>
      <c r="M368">
        <v>39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</row>
    <row r="369" spans="1:18" x14ac:dyDescent="0.2">
      <c r="A369">
        <v>44695</v>
      </c>
      <c r="B369" t="s">
        <v>11</v>
      </c>
      <c r="C369">
        <v>0</v>
      </c>
      <c r="D369">
        <v>0.100414668922474</v>
      </c>
      <c r="E369">
        <v>265</v>
      </c>
      <c r="F369">
        <v>0.100414668922474</v>
      </c>
      <c r="G369">
        <v>0.30803462695521899</v>
      </c>
      <c r="H369">
        <v>0.34569450319905798</v>
      </c>
      <c r="I369">
        <v>28.699978851810201</v>
      </c>
      <c r="J369">
        <v>4.45990415273429</v>
      </c>
      <c r="K369">
        <v>-6.4125961463440602</v>
      </c>
      <c r="L369" t="s">
        <v>29</v>
      </c>
      <c r="M369">
        <v>10</v>
      </c>
      <c r="N369" t="b">
        <v>0</v>
      </c>
      <c r="O369" t="b">
        <v>1</v>
      </c>
      <c r="P369" t="b">
        <v>1</v>
      </c>
      <c r="Q369" t="b">
        <v>1</v>
      </c>
      <c r="R369" t="b">
        <v>1</v>
      </c>
    </row>
    <row r="370" spans="1:18" x14ac:dyDescent="0.2">
      <c r="A370">
        <v>44733</v>
      </c>
      <c r="B370" t="s">
        <v>11</v>
      </c>
      <c r="C370">
        <v>66</v>
      </c>
      <c r="D370">
        <v>2.3221114750458098</v>
      </c>
      <c r="E370">
        <v>604</v>
      </c>
      <c r="F370">
        <v>2.3221114750458098</v>
      </c>
      <c r="G370">
        <v>0.21509741899896501</v>
      </c>
      <c r="H370">
        <v>0.22178427900463901</v>
      </c>
      <c r="I370">
        <v>11.0857233568833</v>
      </c>
      <c r="J370">
        <v>1.7730592715021101</v>
      </c>
      <c r="K370">
        <v>-4.9426502670793502</v>
      </c>
      <c r="L370" t="s">
        <v>28</v>
      </c>
      <c r="M370">
        <v>28</v>
      </c>
      <c r="N370" t="b">
        <v>0</v>
      </c>
      <c r="O370" t="b">
        <v>0</v>
      </c>
      <c r="P370" t="b">
        <v>1</v>
      </c>
      <c r="Q370" t="b">
        <v>1</v>
      </c>
      <c r="R370" t="b">
        <v>0</v>
      </c>
    </row>
    <row r="371" spans="1:18" x14ac:dyDescent="0.2">
      <c r="A371">
        <v>44773</v>
      </c>
      <c r="B371" t="s">
        <v>11</v>
      </c>
      <c r="C371">
        <v>3</v>
      </c>
      <c r="D371">
        <v>0.178192962459431</v>
      </c>
      <c r="E371">
        <v>368</v>
      </c>
      <c r="F371">
        <v>0.178192962459431</v>
      </c>
      <c r="G371">
        <v>0.284818728397225</v>
      </c>
      <c r="H371">
        <v>0.250599480495316</v>
      </c>
      <c r="I371">
        <v>15.576439755592601</v>
      </c>
      <c r="J371">
        <v>2.6412968741434302</v>
      </c>
      <c r="K371">
        <v>-5.8298054050159802</v>
      </c>
      <c r="L371" t="s">
        <v>28</v>
      </c>
      <c r="M371">
        <v>31</v>
      </c>
      <c r="N371" t="b">
        <v>0</v>
      </c>
      <c r="O371" t="b">
        <v>1</v>
      </c>
      <c r="P371" t="b">
        <v>1</v>
      </c>
      <c r="Q371" t="b">
        <v>1</v>
      </c>
      <c r="R371" t="b">
        <v>1</v>
      </c>
    </row>
    <row r="372" spans="1:18" x14ac:dyDescent="0.2">
      <c r="A372">
        <v>44784</v>
      </c>
      <c r="B372" t="s">
        <v>11</v>
      </c>
      <c r="C372">
        <v>139.5</v>
      </c>
      <c r="D372">
        <v>7.1090935515913903E-2</v>
      </c>
      <c r="E372">
        <v>270</v>
      </c>
      <c r="F372">
        <v>7.1090935515913903E-2</v>
      </c>
      <c r="G372">
        <v>0.32726694997080502</v>
      </c>
      <c r="H372">
        <v>0.27948159126452998</v>
      </c>
      <c r="I372">
        <v>18.041554530754301</v>
      </c>
      <c r="J372">
        <v>3.8768466517220799</v>
      </c>
      <c r="K372">
        <v>-4.6353300013184802</v>
      </c>
      <c r="L372" t="s">
        <v>28</v>
      </c>
      <c r="M372">
        <v>27</v>
      </c>
      <c r="N372" t="b">
        <v>0</v>
      </c>
      <c r="O372" t="b">
        <v>1</v>
      </c>
      <c r="P372" t="b">
        <v>1</v>
      </c>
      <c r="Q372" t="b">
        <v>1</v>
      </c>
      <c r="R372" t="b">
        <v>1</v>
      </c>
    </row>
    <row r="373" spans="1:18" x14ac:dyDescent="0.2">
      <c r="A373">
        <v>44787</v>
      </c>
      <c r="B373" t="s">
        <v>11</v>
      </c>
      <c r="C373">
        <v>162</v>
      </c>
      <c r="D373">
        <v>4.8171027808625498E-2</v>
      </c>
      <c r="E373">
        <v>417</v>
      </c>
      <c r="F373">
        <v>4.8171027808625498E-2</v>
      </c>
      <c r="G373">
        <v>0.292411624687064</v>
      </c>
      <c r="H373">
        <v>1.9388038126191501E-2</v>
      </c>
      <c r="I373">
        <v>1.4594867017111099</v>
      </c>
      <c r="J373">
        <v>0.22250420436368601</v>
      </c>
      <c r="K373">
        <v>-6.34287193780695</v>
      </c>
      <c r="L373" s="5" t="s">
        <v>28</v>
      </c>
      <c r="M373" s="5">
        <v>18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</row>
    <row r="374" spans="1:18" x14ac:dyDescent="0.2">
      <c r="A374">
        <v>44833</v>
      </c>
      <c r="B374" t="s">
        <v>11</v>
      </c>
      <c r="C374">
        <v>0</v>
      </c>
      <c r="D374">
        <v>2.8510542716768301E-2</v>
      </c>
      <c r="E374">
        <v>386</v>
      </c>
      <c r="F374">
        <v>2.8510542716768301E-2</v>
      </c>
      <c r="G374">
        <v>0.220342814823871</v>
      </c>
      <c r="H374">
        <v>8.9217336454188306E-3</v>
      </c>
      <c r="I374">
        <v>0.50366586155718296</v>
      </c>
      <c r="J374">
        <v>8.2807102249404102E-2</v>
      </c>
      <c r="K374">
        <v>-5.7380986163398102</v>
      </c>
      <c r="L374" t="s">
        <v>28</v>
      </c>
      <c r="M374">
        <v>19</v>
      </c>
      <c r="N374" t="b">
        <v>0</v>
      </c>
      <c r="O374" t="b">
        <v>1</v>
      </c>
      <c r="P374" t="b">
        <v>1</v>
      </c>
      <c r="Q374" t="b">
        <v>1</v>
      </c>
      <c r="R374" t="b">
        <v>1</v>
      </c>
    </row>
    <row r="375" spans="1:18" x14ac:dyDescent="0.2">
      <c r="A375">
        <v>44857</v>
      </c>
      <c r="B375" t="s">
        <v>11</v>
      </c>
      <c r="C375">
        <v>35146</v>
      </c>
      <c r="D375">
        <v>2.3350803270278901</v>
      </c>
      <c r="E375">
        <v>498</v>
      </c>
      <c r="F375">
        <v>2.3350803270278901</v>
      </c>
      <c r="G375">
        <v>0.193292311487335</v>
      </c>
      <c r="H375">
        <v>0.222148548739864</v>
      </c>
      <c r="I375">
        <v>11.540427626596699</v>
      </c>
      <c r="J375">
        <v>1.78095847074513</v>
      </c>
      <c r="K375">
        <v>-5.1687602214089701</v>
      </c>
      <c r="L375" t="s">
        <v>28</v>
      </c>
      <c r="M375">
        <v>35</v>
      </c>
      <c r="N375" t="b">
        <v>0</v>
      </c>
      <c r="O375" t="b">
        <v>0</v>
      </c>
      <c r="P375" t="b">
        <v>1</v>
      </c>
      <c r="Q375" t="b">
        <v>1</v>
      </c>
      <c r="R375" t="b">
        <v>1</v>
      </c>
    </row>
    <row r="376" spans="1:18" x14ac:dyDescent="0.2">
      <c r="A376">
        <v>44871</v>
      </c>
      <c r="B376" t="s">
        <v>11</v>
      </c>
      <c r="C376">
        <v>4026</v>
      </c>
      <c r="D376">
        <v>0.15089549976821301</v>
      </c>
      <c r="E376">
        <v>226</v>
      </c>
      <c r="F376">
        <v>0.15089549976821301</v>
      </c>
      <c r="G376">
        <v>0.11219246171095699</v>
      </c>
      <c r="H376">
        <v>6.0297268118020601E-2</v>
      </c>
      <c r="I376">
        <v>1.64562029182862</v>
      </c>
      <c r="J376">
        <v>0.24420351171645799</v>
      </c>
      <c r="K376">
        <v>-6.1208161240364101</v>
      </c>
      <c r="L376" t="s">
        <v>28</v>
      </c>
      <c r="M376">
        <v>36</v>
      </c>
      <c r="N376" t="b">
        <v>0</v>
      </c>
      <c r="O376" t="b">
        <v>1</v>
      </c>
      <c r="P376" t="b">
        <v>1</v>
      </c>
      <c r="Q376" t="b">
        <v>1</v>
      </c>
      <c r="R376" t="b">
        <v>1</v>
      </c>
    </row>
    <row r="377" spans="1:18" x14ac:dyDescent="0.2">
      <c r="A377">
        <v>44956</v>
      </c>
      <c r="B377" t="s">
        <v>11</v>
      </c>
      <c r="C377">
        <v>240</v>
      </c>
      <c r="D377">
        <v>5.6859619268456903E-2</v>
      </c>
      <c r="E377">
        <v>664</v>
      </c>
      <c r="F377">
        <v>5.6859619268456903E-2</v>
      </c>
      <c r="G377">
        <v>1.6480429056087001E-2</v>
      </c>
      <c r="H377">
        <v>2.2954374073079199E-2</v>
      </c>
      <c r="I377">
        <v>9.5364976812027796E-2</v>
      </c>
      <c r="J377">
        <v>1.72119622601133E-2</v>
      </c>
      <c r="K377">
        <v>-2.23712770000679</v>
      </c>
      <c r="L377" t="s">
        <v>28</v>
      </c>
      <c r="M377">
        <v>28</v>
      </c>
      <c r="N377" t="b">
        <v>0</v>
      </c>
      <c r="O377" t="b">
        <v>1</v>
      </c>
      <c r="P377" t="b">
        <v>0</v>
      </c>
      <c r="Q377" t="b">
        <v>1</v>
      </c>
      <c r="R377" t="b">
        <v>0</v>
      </c>
    </row>
    <row r="378" spans="1:18" x14ac:dyDescent="0.2">
      <c r="A378">
        <v>44973</v>
      </c>
      <c r="B378" t="s">
        <v>11</v>
      </c>
      <c r="C378">
        <v>625</v>
      </c>
      <c r="D378">
        <v>0.141974254633669</v>
      </c>
      <c r="E378">
        <v>496</v>
      </c>
      <c r="F378">
        <v>0.141974254633669</v>
      </c>
      <c r="G378">
        <v>0.245093457827641</v>
      </c>
      <c r="H378">
        <v>0.234275752927427</v>
      </c>
      <c r="I378">
        <v>12.840680861222401</v>
      </c>
      <c r="J378">
        <v>2.3583669115383601</v>
      </c>
      <c r="K378">
        <v>-5.3845339096558797</v>
      </c>
      <c r="L378" t="s">
        <v>28</v>
      </c>
      <c r="M378">
        <v>38</v>
      </c>
      <c r="N378" t="b">
        <v>0</v>
      </c>
      <c r="O378" t="b">
        <v>1</v>
      </c>
      <c r="P378" t="b">
        <v>1</v>
      </c>
      <c r="Q378" t="b">
        <v>1</v>
      </c>
      <c r="R378" t="b">
        <v>1</v>
      </c>
    </row>
    <row r="379" spans="1:18" x14ac:dyDescent="0.2">
      <c r="A379">
        <v>45041</v>
      </c>
      <c r="B379" t="s">
        <v>11</v>
      </c>
      <c r="C379">
        <v>30563.5</v>
      </c>
      <c r="D379">
        <v>1.50529789399067</v>
      </c>
      <c r="E379">
        <v>466</v>
      </c>
      <c r="F379">
        <v>1.50529789399067</v>
      </c>
      <c r="G379">
        <v>0.25964209298464502</v>
      </c>
      <c r="H379">
        <v>0.27139672358358802</v>
      </c>
      <c r="I379">
        <v>18.371797432372201</v>
      </c>
      <c r="J379">
        <v>2.7577521361351001</v>
      </c>
      <c r="K379">
        <v>-6.1160317192317999</v>
      </c>
      <c r="L379" t="s">
        <v>28</v>
      </c>
      <c r="M379">
        <v>34</v>
      </c>
      <c r="N379" t="b">
        <v>0</v>
      </c>
      <c r="O379" t="b">
        <v>0</v>
      </c>
      <c r="P379" t="b">
        <v>1</v>
      </c>
      <c r="Q379" t="b">
        <v>1</v>
      </c>
      <c r="R379" t="b">
        <v>1</v>
      </c>
    </row>
    <row r="380" spans="1:18" x14ac:dyDescent="0.2">
      <c r="A380">
        <v>45043</v>
      </c>
      <c r="B380" t="s">
        <v>11</v>
      </c>
      <c r="C380">
        <v>27354</v>
      </c>
      <c r="D380">
        <v>2.0163248956483799</v>
      </c>
      <c r="E380">
        <v>488</v>
      </c>
      <c r="F380">
        <v>2.0163248956483799</v>
      </c>
      <c r="G380">
        <v>0.204034360714904</v>
      </c>
      <c r="H380">
        <v>0.24604396401112699</v>
      </c>
      <c r="I380">
        <v>12.741153695295701</v>
      </c>
      <c r="J380">
        <v>1.8752119104626499</v>
      </c>
      <c r="K380">
        <v>-5.7192623083336196</v>
      </c>
      <c r="L380" t="s">
        <v>28</v>
      </c>
      <c r="M380">
        <v>39</v>
      </c>
      <c r="N380" t="b">
        <v>0</v>
      </c>
      <c r="O380" t="b">
        <v>0</v>
      </c>
      <c r="P380" t="b">
        <v>1</v>
      </c>
      <c r="Q380" t="b">
        <v>1</v>
      </c>
      <c r="R380" t="b">
        <v>1</v>
      </c>
    </row>
    <row r="381" spans="1:18" x14ac:dyDescent="0.2">
      <c r="A381">
        <v>45169</v>
      </c>
      <c r="B381" t="s">
        <v>11</v>
      </c>
      <c r="C381">
        <v>0</v>
      </c>
      <c r="D381">
        <v>4.7850044018110299E-2</v>
      </c>
      <c r="E381">
        <v>384</v>
      </c>
      <c r="F381">
        <v>4.7850044018110299E-2</v>
      </c>
      <c r="G381">
        <v>0.33495369734249297</v>
      </c>
      <c r="H381">
        <v>1.34820226557233E-2</v>
      </c>
      <c r="I381">
        <v>1.1548977874111099</v>
      </c>
      <c r="J381">
        <v>0.16965253449061399</v>
      </c>
      <c r="K381">
        <v>-6.5253828757521202</v>
      </c>
      <c r="L381" t="s">
        <v>28</v>
      </c>
      <c r="M381">
        <v>40</v>
      </c>
      <c r="N381" t="b">
        <v>0</v>
      </c>
      <c r="O381" t="b">
        <v>1</v>
      </c>
      <c r="P381" t="b">
        <v>1</v>
      </c>
      <c r="Q381" t="b">
        <v>1</v>
      </c>
      <c r="R381" t="b">
        <v>1</v>
      </c>
    </row>
    <row r="382" spans="1:18" x14ac:dyDescent="0.2">
      <c r="A382">
        <v>45280</v>
      </c>
      <c r="B382" t="s">
        <v>11</v>
      </c>
      <c r="C382">
        <v>9975</v>
      </c>
      <c r="D382">
        <v>0.28705980212159299</v>
      </c>
      <c r="E382">
        <v>1205</v>
      </c>
      <c r="F382">
        <v>0.28705980212159299</v>
      </c>
      <c r="G382">
        <v>6.0905145535935998E-2</v>
      </c>
      <c r="H382">
        <v>7.4070233097180097E-2</v>
      </c>
      <c r="I382">
        <v>0.92333332759021503</v>
      </c>
      <c r="J382">
        <v>0.18444173955034601</v>
      </c>
      <c r="K382">
        <v>-3.4497263310344199</v>
      </c>
      <c r="L382" t="s">
        <v>28</v>
      </c>
      <c r="M382">
        <v>12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2">
      <c r="A383">
        <v>45282</v>
      </c>
      <c r="B383" t="s">
        <v>11</v>
      </c>
      <c r="C383">
        <v>0</v>
      </c>
      <c r="D383">
        <v>0</v>
      </c>
      <c r="E383">
        <v>2514</v>
      </c>
      <c r="F383">
        <v>0</v>
      </c>
      <c r="G383">
        <v>1.11024294842603E-3</v>
      </c>
      <c r="H383">
        <v>4.1682976065649203E-3</v>
      </c>
      <c r="I383">
        <v>1.6530694724151601E-4</v>
      </c>
      <c r="J383">
        <v>2.9844418641200099E-4</v>
      </c>
      <c r="K383">
        <v>-0.55389568558494495</v>
      </c>
      <c r="L383" t="s">
        <v>28</v>
      </c>
      <c r="M383">
        <v>32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</row>
    <row r="384" spans="1:18" x14ac:dyDescent="0.2">
      <c r="A384">
        <v>45290</v>
      </c>
      <c r="B384" t="s">
        <v>11</v>
      </c>
      <c r="C384">
        <v>1440.5</v>
      </c>
      <c r="D384">
        <v>0.86648090283968704</v>
      </c>
      <c r="E384">
        <v>358</v>
      </c>
      <c r="F384">
        <v>0.86648090283968704</v>
      </c>
      <c r="G384">
        <v>0.16114569119439301</v>
      </c>
      <c r="H384">
        <v>0.26320807072087699</v>
      </c>
      <c r="I384">
        <v>8.9773359049049706</v>
      </c>
      <c r="J384">
        <v>1.5264187732891199</v>
      </c>
      <c r="K384">
        <v>-5.3136499262178498</v>
      </c>
      <c r="L384" t="s">
        <v>28</v>
      </c>
      <c r="M384">
        <v>18</v>
      </c>
      <c r="N384" t="b">
        <v>0</v>
      </c>
      <c r="O384" t="b">
        <v>0</v>
      </c>
      <c r="P384" t="b">
        <v>1</v>
      </c>
      <c r="Q384" t="b">
        <v>1</v>
      </c>
      <c r="R384" t="b">
        <v>1</v>
      </c>
    </row>
    <row r="385" spans="1:18" x14ac:dyDescent="0.2">
      <c r="A385">
        <v>45292</v>
      </c>
      <c r="B385" t="s">
        <v>11</v>
      </c>
      <c r="C385">
        <v>29890</v>
      </c>
      <c r="D385">
        <v>0.185207991242474</v>
      </c>
      <c r="E385">
        <v>253</v>
      </c>
      <c r="F385">
        <v>0.185207991242474</v>
      </c>
      <c r="G385">
        <v>0.313329205074456</v>
      </c>
      <c r="H385">
        <v>4.6242841933835502E-2</v>
      </c>
      <c r="I385">
        <v>3.9889700973492799</v>
      </c>
      <c r="J385">
        <v>0.58667946505016</v>
      </c>
      <c r="K385">
        <v>-6.4835439668603296</v>
      </c>
      <c r="L385" t="s">
        <v>28</v>
      </c>
      <c r="M385">
        <v>26</v>
      </c>
      <c r="N385" t="b">
        <v>0</v>
      </c>
      <c r="O385" t="b">
        <v>1</v>
      </c>
      <c r="P385" t="b">
        <v>1</v>
      </c>
      <c r="Q385" t="b">
        <v>1</v>
      </c>
      <c r="R385" t="b">
        <v>1</v>
      </c>
    </row>
    <row r="386" spans="1:18" x14ac:dyDescent="0.2">
      <c r="A386">
        <v>45299</v>
      </c>
      <c r="B386" t="s">
        <v>11</v>
      </c>
      <c r="C386">
        <v>33</v>
      </c>
      <c r="D386">
        <v>8.94254480027631E-2</v>
      </c>
      <c r="E386">
        <v>299</v>
      </c>
      <c r="F386">
        <v>8.94254480027631E-2</v>
      </c>
      <c r="G386">
        <v>0.298604361993204</v>
      </c>
      <c r="H386">
        <v>3.9751152037777598E-2</v>
      </c>
      <c r="I386">
        <v>1.53920594231186</v>
      </c>
      <c r="J386">
        <v>0.45437356888590302</v>
      </c>
      <c r="K386">
        <v>-3.1907236546876501</v>
      </c>
      <c r="L386" t="s">
        <v>28</v>
      </c>
      <c r="M386">
        <v>28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</row>
    <row r="387" spans="1:18" x14ac:dyDescent="0.2">
      <c r="A387">
        <v>45300</v>
      </c>
      <c r="B387" t="s">
        <v>11</v>
      </c>
      <c r="C387">
        <v>25</v>
      </c>
      <c r="D387">
        <v>1.8817550180133799E-2</v>
      </c>
      <c r="E387">
        <v>203</v>
      </c>
      <c r="F387">
        <v>1.8817550180133799E-2</v>
      </c>
      <c r="G387">
        <v>0.26403991277567201</v>
      </c>
      <c r="H387">
        <v>0.18781611187063599</v>
      </c>
      <c r="I387">
        <v>11.3645227440872</v>
      </c>
      <c r="J387">
        <v>2.34190411259326</v>
      </c>
      <c r="K387">
        <v>-4.8446497586716202</v>
      </c>
      <c r="L387" t="s">
        <v>28</v>
      </c>
      <c r="M387">
        <v>42</v>
      </c>
      <c r="N387" t="b">
        <v>0</v>
      </c>
      <c r="O387" t="b">
        <v>1</v>
      </c>
      <c r="P387" t="b">
        <v>1</v>
      </c>
      <c r="Q387" t="b">
        <v>1</v>
      </c>
      <c r="R387" t="b">
        <v>1</v>
      </c>
    </row>
    <row r="388" spans="1:18" x14ac:dyDescent="0.2">
      <c r="A388">
        <v>45369</v>
      </c>
      <c r="B388" t="s">
        <v>11</v>
      </c>
      <c r="C388">
        <v>6.5</v>
      </c>
      <c r="D388">
        <v>4.5272337715892501E-2</v>
      </c>
      <c r="E388">
        <v>393</v>
      </c>
      <c r="F388">
        <v>4.5272337715892501E-2</v>
      </c>
      <c r="G388">
        <v>0.31535634667689699</v>
      </c>
      <c r="H388">
        <v>1.5484223990695E-2</v>
      </c>
      <c r="I388">
        <v>1.1722744084332499</v>
      </c>
      <c r="J388">
        <v>0.17801446948683999</v>
      </c>
      <c r="K388">
        <v>-6.3309576685881499</v>
      </c>
      <c r="L388" t="s">
        <v>28</v>
      </c>
      <c r="M388">
        <v>45</v>
      </c>
      <c r="N388" t="b">
        <v>0</v>
      </c>
      <c r="O388" t="b">
        <v>1</v>
      </c>
      <c r="P388" t="b">
        <v>1</v>
      </c>
      <c r="Q388" t="b">
        <v>1</v>
      </c>
      <c r="R388" t="b">
        <v>1</v>
      </c>
    </row>
    <row r="389" spans="1:18" x14ac:dyDescent="0.2">
      <c r="A389">
        <v>45376</v>
      </c>
      <c r="B389" t="s">
        <v>11</v>
      </c>
      <c r="C389">
        <v>0</v>
      </c>
      <c r="D389">
        <v>0.19281961337869299</v>
      </c>
      <c r="E389">
        <v>364</v>
      </c>
      <c r="F389">
        <v>0.19281961337869299</v>
      </c>
      <c r="G389">
        <v>0.33830027285658698</v>
      </c>
      <c r="H389">
        <v>5.6175639991075298E-2</v>
      </c>
      <c r="I389">
        <v>4.8518571624855698</v>
      </c>
      <c r="J389">
        <v>0.813379999823309</v>
      </c>
      <c r="K389">
        <v>-5.7279962011838901</v>
      </c>
      <c r="L389" t="s">
        <v>28</v>
      </c>
      <c r="M389">
        <v>20</v>
      </c>
      <c r="N389" t="b">
        <v>0</v>
      </c>
      <c r="O389" t="b">
        <v>1</v>
      </c>
      <c r="P389" t="b">
        <v>1</v>
      </c>
      <c r="Q389" t="b">
        <v>1</v>
      </c>
      <c r="R389" t="b">
        <v>1</v>
      </c>
    </row>
    <row r="390" spans="1:18" x14ac:dyDescent="0.2">
      <c r="A390">
        <v>45409</v>
      </c>
      <c r="B390" t="s">
        <v>11</v>
      </c>
      <c r="C390">
        <v>0</v>
      </c>
      <c r="D390" s="1">
        <v>6.2851338984925701E-6</v>
      </c>
      <c r="E390">
        <v>2620</v>
      </c>
      <c r="F390" s="1">
        <v>6.2851338984925701E-6</v>
      </c>
      <c r="G390">
        <v>6.8472361200358999E-4</v>
      </c>
      <c r="H390">
        <v>1.30512478310056E-3</v>
      </c>
      <c r="I390" s="1">
        <v>9.3334238392614698E-6</v>
      </c>
      <c r="J390" s="1">
        <v>6.9691465386374803E-6</v>
      </c>
      <c r="K390">
        <v>-0.43739788277788999</v>
      </c>
      <c r="L390" t="s">
        <v>28</v>
      </c>
      <c r="M390">
        <v>28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</row>
    <row r="391" spans="1:18" x14ac:dyDescent="0.2">
      <c r="A391">
        <v>45475</v>
      </c>
      <c r="B391" t="s">
        <v>11</v>
      </c>
      <c r="C391">
        <v>430</v>
      </c>
      <c r="D391">
        <v>0.12590840192667199</v>
      </c>
      <c r="E391">
        <v>410</v>
      </c>
      <c r="F391">
        <v>0.12590840192667199</v>
      </c>
      <c r="G391">
        <v>0.30597184779073799</v>
      </c>
      <c r="H391">
        <v>2.5092699210797001E-2</v>
      </c>
      <c r="I391">
        <v>1.9171912001454099</v>
      </c>
      <c r="J391">
        <v>0.31788245586334901</v>
      </c>
      <c r="K391">
        <v>-5.6350476887871102</v>
      </c>
      <c r="L391" t="s">
        <v>28</v>
      </c>
      <c r="M391">
        <v>26</v>
      </c>
      <c r="N391" t="b">
        <v>0</v>
      </c>
      <c r="O391" t="b">
        <v>1</v>
      </c>
      <c r="P391" t="b">
        <v>1</v>
      </c>
      <c r="Q391" t="b">
        <v>1</v>
      </c>
      <c r="R391" t="b">
        <v>1</v>
      </c>
    </row>
    <row r="392" spans="1:18" x14ac:dyDescent="0.2">
      <c r="A392">
        <v>45714</v>
      </c>
      <c r="B392" t="s">
        <v>11</v>
      </c>
      <c r="C392">
        <v>38292.5</v>
      </c>
      <c r="D392">
        <v>4.0345069949886598</v>
      </c>
      <c r="E392">
        <v>1942</v>
      </c>
      <c r="F392">
        <v>4.0345069949886598</v>
      </c>
      <c r="G392">
        <v>0.22008745619572101</v>
      </c>
      <c r="H392">
        <v>0.20842153591562801</v>
      </c>
      <c r="I392">
        <v>11.407272581303699</v>
      </c>
      <c r="J392">
        <v>1.86167342427797</v>
      </c>
      <c r="K392">
        <v>-3.96028943109315</v>
      </c>
      <c r="L392" t="s">
        <v>28</v>
      </c>
      <c r="M392">
        <v>20</v>
      </c>
      <c r="N392" t="b">
        <v>0</v>
      </c>
      <c r="O392" t="b">
        <v>0</v>
      </c>
      <c r="P392" t="b">
        <v>1</v>
      </c>
      <c r="Q392" t="b">
        <v>1</v>
      </c>
      <c r="R392" t="b">
        <v>0</v>
      </c>
    </row>
    <row r="393" spans="1:18" x14ac:dyDescent="0.2">
      <c r="A393">
        <v>45720</v>
      </c>
      <c r="B393" t="s">
        <v>11</v>
      </c>
      <c r="C393">
        <v>7</v>
      </c>
      <c r="D393">
        <v>1.7537234311102101E-2</v>
      </c>
      <c r="E393">
        <v>160</v>
      </c>
      <c r="F393">
        <v>1.7537234311102101E-2</v>
      </c>
      <c r="G393">
        <v>0.31128676628338398</v>
      </c>
      <c r="H393">
        <v>7.7476411807257006E-2</v>
      </c>
      <c r="I393">
        <v>2.5758547442823199</v>
      </c>
      <c r="J393">
        <v>0.92511658312131295</v>
      </c>
      <c r="K393">
        <v>-2.7654001199930298</v>
      </c>
      <c r="L393" t="s">
        <v>28</v>
      </c>
      <c r="M393">
        <v>23</v>
      </c>
      <c r="N393" t="b">
        <v>0</v>
      </c>
      <c r="O393" t="b">
        <v>1</v>
      </c>
      <c r="P393" t="b">
        <v>1</v>
      </c>
      <c r="Q393" t="b">
        <v>1</v>
      </c>
      <c r="R393" t="b">
        <v>1</v>
      </c>
    </row>
    <row r="394" spans="1:18" x14ac:dyDescent="0.2">
      <c r="A394">
        <v>45733</v>
      </c>
      <c r="B394" t="s">
        <v>11</v>
      </c>
      <c r="C394">
        <v>67</v>
      </c>
      <c r="D394">
        <v>0.48578381656922398</v>
      </c>
      <c r="E394">
        <v>249</v>
      </c>
      <c r="F394">
        <v>0.48578381656922398</v>
      </c>
      <c r="G394">
        <v>0.30566893100253401</v>
      </c>
      <c r="H394">
        <v>0.30968270650021201</v>
      </c>
      <c r="I394">
        <v>25.986013549372601</v>
      </c>
      <c r="J394">
        <v>4.0309461672208702</v>
      </c>
      <c r="K394">
        <v>-6.3261151786565399</v>
      </c>
      <c r="L394" t="s">
        <v>28</v>
      </c>
      <c r="M394">
        <v>34</v>
      </c>
      <c r="N394" t="b">
        <v>0</v>
      </c>
      <c r="O394" t="b">
        <v>0</v>
      </c>
      <c r="P394" t="b">
        <v>1</v>
      </c>
      <c r="Q394" t="b">
        <v>1</v>
      </c>
      <c r="R394" t="b">
        <v>1</v>
      </c>
    </row>
    <row r="395" spans="1:18" x14ac:dyDescent="0.2">
      <c r="A395">
        <v>45736</v>
      </c>
      <c r="B395" t="s">
        <v>10</v>
      </c>
      <c r="C395">
        <v>774</v>
      </c>
      <c r="D395">
        <v>0.28235853854548498</v>
      </c>
      <c r="E395">
        <v>299</v>
      </c>
      <c r="F395">
        <v>0.28235853854548498</v>
      </c>
      <c r="G395">
        <v>0.116854172774707</v>
      </c>
      <c r="H395">
        <v>0.23888567767548499</v>
      </c>
      <c r="I395">
        <v>7.9959137130351197</v>
      </c>
      <c r="J395">
        <v>1.1484136147808099</v>
      </c>
      <c r="K395">
        <v>-6.7167047440149403</v>
      </c>
      <c r="L395" t="s">
        <v>29</v>
      </c>
      <c r="M395">
        <v>12</v>
      </c>
      <c r="N395" t="b">
        <v>0</v>
      </c>
      <c r="O395" t="b">
        <v>0</v>
      </c>
      <c r="P395" t="b">
        <v>1</v>
      </c>
      <c r="Q395" t="b">
        <v>1</v>
      </c>
      <c r="R395" t="b">
        <v>1</v>
      </c>
    </row>
    <row r="396" spans="1:18" x14ac:dyDescent="0.2">
      <c r="A396">
        <v>45782</v>
      </c>
      <c r="B396" t="s">
        <v>10</v>
      </c>
      <c r="C396">
        <v>563.5</v>
      </c>
      <c r="D396">
        <v>0.12436445767054601</v>
      </c>
      <c r="E396">
        <v>429</v>
      </c>
      <c r="F396">
        <v>0.12436445767054601</v>
      </c>
      <c r="G396">
        <v>0.117014109600552</v>
      </c>
      <c r="H396">
        <v>0.22156658663751699</v>
      </c>
      <c r="I396">
        <v>6.2994751993923703</v>
      </c>
      <c r="J396">
        <v>0.983651865144475</v>
      </c>
      <c r="K396">
        <v>-6.2777400831897499</v>
      </c>
      <c r="L396" s="5" t="s">
        <v>29</v>
      </c>
      <c r="M396" s="5">
        <v>18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</row>
    <row r="397" spans="1:18" x14ac:dyDescent="0.2">
      <c r="A397">
        <v>45784</v>
      </c>
      <c r="B397" t="s">
        <v>11</v>
      </c>
      <c r="C397">
        <v>0</v>
      </c>
      <c r="D397">
        <v>0.19369428021132101</v>
      </c>
      <c r="E397">
        <v>2620</v>
      </c>
      <c r="F397">
        <v>0.19369428021132101</v>
      </c>
      <c r="G397">
        <v>7.4271388756719806E-2</v>
      </c>
      <c r="H397">
        <v>3.53927586987339E-2</v>
      </c>
      <c r="I397">
        <v>0.247720124247089</v>
      </c>
      <c r="J397">
        <v>0.119751824109709</v>
      </c>
      <c r="K397">
        <v>-0.45114840159990299</v>
      </c>
      <c r="L397" t="s">
        <v>29</v>
      </c>
      <c r="M397">
        <v>12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</row>
    <row r="398" spans="1:18" x14ac:dyDescent="0.2">
      <c r="A398">
        <v>45820</v>
      </c>
      <c r="B398" t="s">
        <v>11</v>
      </c>
      <c r="C398">
        <v>0</v>
      </c>
      <c r="D398">
        <v>1.06624641409095E-4</v>
      </c>
      <c r="E398">
        <v>2393</v>
      </c>
      <c r="F398">
        <v>1.06624641409095E-4</v>
      </c>
      <c r="G398">
        <v>4.4406784767019401E-3</v>
      </c>
      <c r="H398">
        <v>5.4682292474382997E-3</v>
      </c>
      <c r="I398">
        <v>1.54578287307612E-3</v>
      </c>
      <c r="J398">
        <v>1.07079565525227E-3</v>
      </c>
      <c r="K398">
        <v>-1.34400828450128</v>
      </c>
      <c r="L398" t="s">
        <v>29</v>
      </c>
      <c r="M398">
        <v>13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</row>
    <row r="399" spans="1:18" x14ac:dyDescent="0.2">
      <c r="A399">
        <v>45829</v>
      </c>
      <c r="B399" t="s">
        <v>11</v>
      </c>
      <c r="C399">
        <v>5.5</v>
      </c>
      <c r="D399">
        <v>1.89506668497469</v>
      </c>
      <c r="E399">
        <v>421</v>
      </c>
      <c r="F399">
        <v>1.89506668497469</v>
      </c>
      <c r="G399">
        <v>0.20882615466068399</v>
      </c>
      <c r="H399">
        <v>0.25750868478173999</v>
      </c>
      <c r="I399">
        <v>12.4910221313745</v>
      </c>
      <c r="J399">
        <v>1.9648803495885001</v>
      </c>
      <c r="K399">
        <v>-5.3926721027154896</v>
      </c>
      <c r="L399" s="5" t="s">
        <v>29</v>
      </c>
      <c r="M399" s="5">
        <v>16</v>
      </c>
      <c r="N399" t="b">
        <v>0</v>
      </c>
      <c r="O399" t="b">
        <v>0</v>
      </c>
      <c r="P399" t="b">
        <v>1</v>
      </c>
      <c r="Q399" t="b">
        <v>1</v>
      </c>
      <c r="R399" t="b">
        <v>1</v>
      </c>
    </row>
    <row r="400" spans="1:18" x14ac:dyDescent="0.2">
      <c r="A400">
        <v>45878</v>
      </c>
      <c r="B400" t="s">
        <v>11</v>
      </c>
      <c r="C400">
        <v>12294</v>
      </c>
      <c r="D400">
        <v>0.34709061737550201</v>
      </c>
      <c r="E400">
        <v>366</v>
      </c>
      <c r="F400">
        <v>0.34709061737550201</v>
      </c>
      <c r="G400">
        <v>0.33742612483800899</v>
      </c>
      <c r="H400">
        <v>0.30041753619238198</v>
      </c>
      <c r="I400">
        <v>24.9492146537991</v>
      </c>
      <c r="J400">
        <v>3.841867580678</v>
      </c>
      <c r="K400">
        <v>-6.4036887060230203</v>
      </c>
      <c r="L400" s="5" t="s">
        <v>29</v>
      </c>
      <c r="M400" s="5">
        <v>12</v>
      </c>
      <c r="N400" t="b">
        <v>0</v>
      </c>
      <c r="O400" t="b">
        <v>0</v>
      </c>
      <c r="P400" t="b">
        <v>1</v>
      </c>
      <c r="Q400" t="b">
        <v>1</v>
      </c>
      <c r="R400" t="b">
        <v>1</v>
      </c>
    </row>
    <row r="401" spans="1:18" x14ac:dyDescent="0.2">
      <c r="A401">
        <v>46082</v>
      </c>
      <c r="B401" t="s">
        <v>11</v>
      </c>
      <c r="C401">
        <v>0</v>
      </c>
      <c r="D401">
        <v>0.170143614049381</v>
      </c>
      <c r="E401">
        <v>2284</v>
      </c>
      <c r="F401">
        <v>0.170143614049381</v>
      </c>
      <c r="G401">
        <v>4.6598740112597598E-2</v>
      </c>
      <c r="H401">
        <v>8.2965335770242801E-2</v>
      </c>
      <c r="I401">
        <v>0.211894615765889</v>
      </c>
      <c r="J401">
        <v>6.5782981164754506E-2</v>
      </c>
      <c r="K401">
        <v>-0.63467786009791105</v>
      </c>
      <c r="L401" t="s">
        <v>29</v>
      </c>
      <c r="M401">
        <v>10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</row>
    <row r="402" spans="1:18" x14ac:dyDescent="0.2">
      <c r="A402">
        <v>46110</v>
      </c>
      <c r="B402" t="s">
        <v>11</v>
      </c>
      <c r="C402">
        <v>621.5</v>
      </c>
      <c r="D402">
        <v>0.302557677523969</v>
      </c>
      <c r="E402">
        <v>332</v>
      </c>
      <c r="F402">
        <v>0.302557677523969</v>
      </c>
      <c r="G402">
        <v>0.27148257235347301</v>
      </c>
      <c r="H402">
        <v>0.35078169462448</v>
      </c>
      <c r="I402">
        <v>22.220488511671</v>
      </c>
      <c r="J402">
        <v>3.6715437260321502</v>
      </c>
      <c r="K402">
        <v>-5.9696771902084604</v>
      </c>
      <c r="L402" t="s">
        <v>29</v>
      </c>
      <c r="M402">
        <v>9</v>
      </c>
      <c r="N402" t="b">
        <v>0</v>
      </c>
      <c r="O402" t="b">
        <v>0</v>
      </c>
      <c r="P402" t="b">
        <v>1</v>
      </c>
      <c r="Q402" t="b">
        <v>1</v>
      </c>
      <c r="R402" t="b">
        <v>1</v>
      </c>
    </row>
    <row r="403" spans="1:18" x14ac:dyDescent="0.2">
      <c r="A403">
        <v>46112</v>
      </c>
      <c r="B403" t="s">
        <v>11</v>
      </c>
      <c r="C403">
        <v>3</v>
      </c>
      <c r="D403">
        <v>1.5655914358394601E-3</v>
      </c>
      <c r="E403">
        <v>2178</v>
      </c>
      <c r="F403">
        <v>1.5655914358394601E-3</v>
      </c>
      <c r="G403">
        <v>8.5709472906481208E-3</v>
      </c>
      <c r="H403">
        <v>1.34721472702317E-2</v>
      </c>
      <c r="I403">
        <v>1.0933646746043E-2</v>
      </c>
      <c r="J403">
        <v>6.6091195250568601E-3</v>
      </c>
      <c r="K403">
        <v>-1.4174437721525299</v>
      </c>
      <c r="L403" t="s">
        <v>29</v>
      </c>
      <c r="M403">
        <v>15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</row>
    <row r="404" spans="1:18" x14ac:dyDescent="0.2">
      <c r="A404">
        <v>46130</v>
      </c>
      <c r="B404" t="s">
        <v>11</v>
      </c>
      <c r="C404">
        <v>20469.5</v>
      </c>
      <c r="D404">
        <v>1.21462022762364</v>
      </c>
      <c r="E404">
        <v>1430</v>
      </c>
      <c r="F404">
        <v>1.21462022762364</v>
      </c>
      <c r="G404">
        <v>0.11493779429393</v>
      </c>
      <c r="H404">
        <v>0.23268161701005199</v>
      </c>
      <c r="I404">
        <v>1.42836886236431</v>
      </c>
      <c r="J404">
        <v>0.464912644489756</v>
      </c>
      <c r="K404">
        <v>-0.45976085459079702</v>
      </c>
      <c r="L404" t="s">
        <v>29</v>
      </c>
      <c r="M404">
        <v>21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</row>
    <row r="405" spans="1:18" x14ac:dyDescent="0.2">
      <c r="A405">
        <v>46150</v>
      </c>
      <c r="B405" t="s">
        <v>11</v>
      </c>
      <c r="C405">
        <v>61870</v>
      </c>
      <c r="D405">
        <v>3.6228332883599399</v>
      </c>
      <c r="E405">
        <v>799</v>
      </c>
      <c r="F405">
        <v>3.6228332883599399</v>
      </c>
      <c r="G405">
        <v>0.210872807449413</v>
      </c>
      <c r="H405">
        <v>0.19021563761488899</v>
      </c>
      <c r="I405">
        <v>10.476152100760499</v>
      </c>
      <c r="J405">
        <v>1.60603680557309</v>
      </c>
      <c r="K405">
        <v>-4.2672240067095304</v>
      </c>
      <c r="L405" t="s">
        <v>29</v>
      </c>
      <c r="M405">
        <v>13</v>
      </c>
      <c r="N405" t="b">
        <v>0</v>
      </c>
      <c r="O405" t="b">
        <v>0</v>
      </c>
      <c r="P405" t="b">
        <v>1</v>
      </c>
      <c r="Q405" t="b">
        <v>1</v>
      </c>
      <c r="R405" t="b">
        <v>0</v>
      </c>
    </row>
    <row r="406" spans="1:18" x14ac:dyDescent="0.2">
      <c r="A406">
        <v>46182</v>
      </c>
      <c r="B406" t="s">
        <v>11</v>
      </c>
      <c r="C406">
        <v>0</v>
      </c>
      <c r="D406">
        <v>9.2408906044215491E-3</v>
      </c>
      <c r="E406">
        <v>2321</v>
      </c>
      <c r="F406">
        <v>9.2408906044215491E-3</v>
      </c>
      <c r="G406">
        <v>1.3650629098572901E-2</v>
      </c>
      <c r="H406">
        <v>1.1863968590697299E-2</v>
      </c>
      <c r="I406">
        <v>1.4950332154364801E-2</v>
      </c>
      <c r="J406">
        <v>6.9902888131676902E-3</v>
      </c>
      <c r="K406">
        <v>-0.81676761898425698</v>
      </c>
      <c r="L406" t="s">
        <v>29</v>
      </c>
      <c r="M406">
        <v>18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</row>
    <row r="407" spans="1:18" x14ac:dyDescent="0.2">
      <c r="A407">
        <v>46243</v>
      </c>
      <c r="B407" t="s">
        <v>11</v>
      </c>
      <c r="C407">
        <v>0</v>
      </c>
      <c r="D407">
        <v>0</v>
      </c>
      <c r="E407">
        <v>2670</v>
      </c>
      <c r="F407">
        <v>0</v>
      </c>
      <c r="G407">
        <v>2.3965473502523299E-3</v>
      </c>
      <c r="H407">
        <v>2.64020028586519E-2</v>
      </c>
      <c r="I407">
        <v>9.7084991158267E-4</v>
      </c>
      <c r="J407">
        <v>4.2833424925092503E-3</v>
      </c>
      <c r="K407">
        <v>-0.22665708223904599</v>
      </c>
      <c r="L407" t="s">
        <v>29</v>
      </c>
      <c r="M407">
        <v>13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</row>
    <row r="408" spans="1:18" x14ac:dyDescent="0.2">
      <c r="A408">
        <v>46264</v>
      </c>
      <c r="B408" t="s">
        <v>11</v>
      </c>
      <c r="C408">
        <v>7.5</v>
      </c>
      <c r="D408">
        <v>0.477159661215874</v>
      </c>
      <c r="E408">
        <v>1003</v>
      </c>
      <c r="F408">
        <v>0.477159661215874</v>
      </c>
      <c r="G408">
        <v>0.250208862029001</v>
      </c>
      <c r="H408">
        <v>0.239760803651211</v>
      </c>
      <c r="I408">
        <v>9.3823168427987103</v>
      </c>
      <c r="J408">
        <v>1.9867150952938999</v>
      </c>
      <c r="K408">
        <v>-4.4823524030583197</v>
      </c>
      <c r="L408" t="s">
        <v>29</v>
      </c>
      <c r="M408">
        <v>12</v>
      </c>
      <c r="N408" t="b">
        <v>0</v>
      </c>
      <c r="O408" t="b">
        <v>0</v>
      </c>
      <c r="P408" t="b">
        <v>1</v>
      </c>
      <c r="Q408" t="b">
        <v>1</v>
      </c>
      <c r="R408" t="b">
        <v>0</v>
      </c>
    </row>
    <row r="409" spans="1:18" x14ac:dyDescent="0.2">
      <c r="A409">
        <v>46293</v>
      </c>
      <c r="B409" t="s">
        <v>11</v>
      </c>
      <c r="C409">
        <v>39</v>
      </c>
      <c r="D409">
        <v>0.13962664075683801</v>
      </c>
      <c r="E409">
        <v>283</v>
      </c>
      <c r="F409">
        <v>0.13962664075683801</v>
      </c>
      <c r="G409">
        <v>0.26020597136820001</v>
      </c>
      <c r="H409">
        <v>2.8272858457792E-2</v>
      </c>
      <c r="I409">
        <v>1.8464940156279801</v>
      </c>
      <c r="J409">
        <v>0.288320481088504</v>
      </c>
      <c r="K409">
        <v>-5.9200351235096704</v>
      </c>
      <c r="L409" t="s">
        <v>29</v>
      </c>
      <c r="M409">
        <v>14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</row>
    <row r="410" spans="1:18" x14ac:dyDescent="0.2">
      <c r="A410">
        <v>46297</v>
      </c>
      <c r="B410" t="s">
        <v>11</v>
      </c>
      <c r="C410">
        <v>19</v>
      </c>
      <c r="D410">
        <v>2.34094513805921E-3</v>
      </c>
      <c r="E410">
        <v>2264</v>
      </c>
      <c r="F410">
        <v>2.34094513805921E-3</v>
      </c>
      <c r="G410">
        <v>1.3986534421558099E-2</v>
      </c>
      <c r="H410">
        <v>8.7799006099986004E-3</v>
      </c>
      <c r="I410">
        <v>1.2526007900483801E-2</v>
      </c>
      <c r="J410">
        <v>4.1636391331024902E-3</v>
      </c>
      <c r="K410">
        <v>-2.4461924861474098</v>
      </c>
      <c r="L410" t="s">
        <v>29</v>
      </c>
      <c r="M410">
        <v>11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</row>
    <row r="411" spans="1:18" x14ac:dyDescent="0.2">
      <c r="A411">
        <v>46299</v>
      </c>
      <c r="B411" t="s">
        <v>11</v>
      </c>
      <c r="C411">
        <v>0</v>
      </c>
      <c r="D411">
        <v>5.5653928787932801E-2</v>
      </c>
      <c r="E411">
        <v>337</v>
      </c>
      <c r="F411">
        <v>5.5653928787932801E-2</v>
      </c>
      <c r="G411">
        <v>0.26261243373335802</v>
      </c>
      <c r="H411">
        <v>0.39789688752448699</v>
      </c>
      <c r="I411">
        <v>25.7463739558446</v>
      </c>
      <c r="J411">
        <v>4.0991014215345496</v>
      </c>
      <c r="K411">
        <v>-6.2674028732470397</v>
      </c>
      <c r="L411" t="s">
        <v>29</v>
      </c>
      <c r="M411">
        <v>11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</row>
    <row r="412" spans="1:18" x14ac:dyDescent="0.2">
      <c r="A412">
        <v>46308</v>
      </c>
      <c r="B412" t="s">
        <v>11</v>
      </c>
      <c r="C412">
        <v>235</v>
      </c>
      <c r="D412">
        <v>0.11692219228532399</v>
      </c>
      <c r="E412">
        <v>364</v>
      </c>
      <c r="F412">
        <v>0.11692219228532399</v>
      </c>
      <c r="G412">
        <v>0.304625947786549</v>
      </c>
      <c r="H412">
        <v>2.90754178109459E-2</v>
      </c>
      <c r="I412">
        <v>2.30484442619368</v>
      </c>
      <c r="J412">
        <v>0.34726209333615299</v>
      </c>
      <c r="K412">
        <v>-6.3004925556053397</v>
      </c>
      <c r="L412" t="s">
        <v>29</v>
      </c>
      <c r="M412">
        <v>9</v>
      </c>
      <c r="N412" t="b">
        <v>0</v>
      </c>
      <c r="O412" t="b">
        <v>1</v>
      </c>
      <c r="P412" t="b">
        <v>1</v>
      </c>
      <c r="Q412" t="b">
        <v>1</v>
      </c>
      <c r="R412" t="b">
        <v>1</v>
      </c>
    </row>
    <row r="413" spans="1:18" x14ac:dyDescent="0.2">
      <c r="A413">
        <v>46313</v>
      </c>
      <c r="B413" t="s">
        <v>11</v>
      </c>
      <c r="C413">
        <v>207</v>
      </c>
      <c r="D413">
        <v>0.627089837643095</v>
      </c>
      <c r="E413">
        <v>229</v>
      </c>
      <c r="F413">
        <v>0.627089837643095</v>
      </c>
      <c r="G413">
        <v>0.316204393974645</v>
      </c>
      <c r="H413">
        <v>0.18652337131567301</v>
      </c>
      <c r="I413">
        <v>15.601781421066301</v>
      </c>
      <c r="J413">
        <v>2.3449990213630398</v>
      </c>
      <c r="K413">
        <v>-6.3857986493823997</v>
      </c>
      <c r="L413" t="s">
        <v>29</v>
      </c>
      <c r="M413">
        <v>16</v>
      </c>
      <c r="N413" t="b">
        <v>0</v>
      </c>
      <c r="O413" t="b">
        <v>0</v>
      </c>
      <c r="P413" t="b">
        <v>1</v>
      </c>
      <c r="Q413" t="b">
        <v>1</v>
      </c>
      <c r="R413" t="b">
        <v>1</v>
      </c>
    </row>
    <row r="414" spans="1:18" x14ac:dyDescent="0.2">
      <c r="A414">
        <v>46315</v>
      </c>
      <c r="B414" t="s">
        <v>11</v>
      </c>
      <c r="C414">
        <v>858</v>
      </c>
      <c r="D414">
        <v>0.365676940999831</v>
      </c>
      <c r="E414">
        <v>261</v>
      </c>
      <c r="F414">
        <v>0.365676940999831</v>
      </c>
      <c r="G414">
        <v>0.293991188637441</v>
      </c>
      <c r="H414">
        <v>0.101573404256612</v>
      </c>
      <c r="I414">
        <v>6.7980336733888098</v>
      </c>
      <c r="J414">
        <v>1.12581725909129</v>
      </c>
      <c r="K414">
        <v>-5.7134998423997398</v>
      </c>
      <c r="L414" t="s">
        <v>29</v>
      </c>
      <c r="M414">
        <v>9</v>
      </c>
      <c r="N414" t="b">
        <v>0</v>
      </c>
      <c r="O414" t="b">
        <v>0</v>
      </c>
      <c r="P414" t="b">
        <v>1</v>
      </c>
      <c r="Q414" t="b">
        <v>1</v>
      </c>
      <c r="R414" t="b">
        <v>1</v>
      </c>
    </row>
    <row r="415" spans="1:18" x14ac:dyDescent="0.2">
      <c r="A415">
        <v>46320</v>
      </c>
      <c r="B415" t="s">
        <v>11</v>
      </c>
      <c r="C415">
        <v>1</v>
      </c>
      <c r="D415">
        <v>2.19219772083293</v>
      </c>
      <c r="E415">
        <v>318</v>
      </c>
      <c r="F415">
        <v>2.19219772083293</v>
      </c>
      <c r="G415">
        <v>0.24695144575466799</v>
      </c>
      <c r="H415">
        <v>0.23751606038418299</v>
      </c>
      <c r="I415">
        <v>15.9499307315055</v>
      </c>
      <c r="J415">
        <v>2.4583607583761302</v>
      </c>
      <c r="K415">
        <v>-5.5963035383627897</v>
      </c>
      <c r="L415" s="5" t="s">
        <v>29</v>
      </c>
      <c r="M415" s="5">
        <v>11</v>
      </c>
      <c r="N415" t="b">
        <v>0</v>
      </c>
      <c r="O415" t="b">
        <v>0</v>
      </c>
      <c r="P415" t="b">
        <v>1</v>
      </c>
      <c r="Q415" t="b">
        <v>1</v>
      </c>
      <c r="R415" t="b">
        <v>1</v>
      </c>
    </row>
    <row r="416" spans="1:18" x14ac:dyDescent="0.2">
      <c r="A416">
        <v>46358</v>
      </c>
      <c r="B416" t="s">
        <v>11</v>
      </c>
      <c r="C416">
        <v>174.5</v>
      </c>
      <c r="D416">
        <v>2.1699922143535999E-2</v>
      </c>
      <c r="E416">
        <v>475</v>
      </c>
      <c r="F416">
        <v>2.1699922143535999E-2</v>
      </c>
      <c r="G416">
        <v>2.1384129834921401E-2</v>
      </c>
      <c r="H416">
        <v>1.83112123852332E-2</v>
      </c>
      <c r="I416">
        <v>9.7060512396354798E-2</v>
      </c>
      <c r="J416">
        <v>1.5497143034372701E-2</v>
      </c>
      <c r="K416">
        <v>-4.8628698906416998</v>
      </c>
      <c r="L416" t="s">
        <v>29</v>
      </c>
      <c r="M416">
        <v>18</v>
      </c>
      <c r="N416" t="b">
        <v>0</v>
      </c>
      <c r="O416" t="b">
        <v>1</v>
      </c>
      <c r="P416" t="b">
        <v>0</v>
      </c>
      <c r="Q416" t="b">
        <v>1</v>
      </c>
      <c r="R416" t="b">
        <v>1</v>
      </c>
    </row>
    <row r="417" spans="1:18" x14ac:dyDescent="0.2">
      <c r="A417">
        <v>46363</v>
      </c>
      <c r="B417" t="s">
        <v>11</v>
      </c>
      <c r="C417">
        <v>2973.5</v>
      </c>
      <c r="D417">
        <v>0.41587189216499598</v>
      </c>
      <c r="E417">
        <v>2364</v>
      </c>
      <c r="F417">
        <v>0.41587189216499598</v>
      </c>
      <c r="G417">
        <v>8.3463326483839098E-2</v>
      </c>
      <c r="H417">
        <v>8.9652166185572799E-2</v>
      </c>
      <c r="I417">
        <v>0.84551763823315595</v>
      </c>
      <c r="J417">
        <v>0.27077263557348702</v>
      </c>
      <c r="K417">
        <v>-1.5867399050800901</v>
      </c>
      <c r="L417" t="s">
        <v>29</v>
      </c>
      <c r="M417">
        <v>19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</row>
    <row r="418" spans="1:18" x14ac:dyDescent="0.2">
      <c r="A418">
        <v>46378</v>
      </c>
      <c r="B418" t="s">
        <v>11</v>
      </c>
      <c r="C418">
        <v>13190</v>
      </c>
      <c r="D418">
        <v>1.2102252960536899</v>
      </c>
      <c r="E418">
        <v>334</v>
      </c>
      <c r="F418">
        <v>1.2102252960536899</v>
      </c>
      <c r="G418">
        <v>0.28046156289094099</v>
      </c>
      <c r="H418">
        <v>0.277203700957319</v>
      </c>
      <c r="I418">
        <v>20.564531599754201</v>
      </c>
      <c r="J418">
        <v>3.2274379605174799</v>
      </c>
      <c r="K418">
        <v>-5.9968019650476201</v>
      </c>
      <c r="L418" t="s">
        <v>29</v>
      </c>
      <c r="M418">
        <v>13</v>
      </c>
      <c r="N418" t="b">
        <v>0</v>
      </c>
      <c r="O418" t="b">
        <v>0</v>
      </c>
      <c r="P418" t="b">
        <v>1</v>
      </c>
      <c r="Q418" t="b">
        <v>1</v>
      </c>
      <c r="R418" t="b">
        <v>1</v>
      </c>
    </row>
    <row r="419" spans="1:18" x14ac:dyDescent="0.2">
      <c r="A419">
        <v>46439</v>
      </c>
      <c r="B419" t="s">
        <v>11</v>
      </c>
      <c r="C419">
        <v>24</v>
      </c>
      <c r="D419">
        <v>8.2837380723986498E-2</v>
      </c>
      <c r="E419">
        <v>324</v>
      </c>
      <c r="F419">
        <v>8.2837380723986498E-2</v>
      </c>
      <c r="G419">
        <v>7.7890408092376198E-2</v>
      </c>
      <c r="H419">
        <v>0.115738156113444</v>
      </c>
      <c r="I419">
        <v>2.5464491220275698</v>
      </c>
      <c r="J419">
        <v>0.36916292126651201</v>
      </c>
      <c r="K419">
        <v>-6.67350808919677</v>
      </c>
      <c r="L419" t="s">
        <v>29</v>
      </c>
      <c r="M419">
        <v>17</v>
      </c>
      <c r="N419" t="b">
        <v>0</v>
      </c>
      <c r="O419" t="b">
        <v>1</v>
      </c>
      <c r="P419" t="b">
        <v>1</v>
      </c>
      <c r="Q419" t="b">
        <v>1</v>
      </c>
      <c r="R419" t="b">
        <v>1</v>
      </c>
    </row>
    <row r="420" spans="1:18" x14ac:dyDescent="0.2">
      <c r="A420">
        <v>46480</v>
      </c>
      <c r="B420" t="s">
        <v>11</v>
      </c>
      <c r="C420">
        <v>0</v>
      </c>
      <c r="D420">
        <v>5.8824883946569699E-2</v>
      </c>
      <c r="E420">
        <v>2334</v>
      </c>
      <c r="F420">
        <v>5.8824883946569699E-2</v>
      </c>
      <c r="G420">
        <v>5.4826500144126301E-2</v>
      </c>
      <c r="H420">
        <v>3.9855260276784397E-2</v>
      </c>
      <c r="I420">
        <v>0.28039511221973101</v>
      </c>
      <c r="J420">
        <v>0.100781486347857</v>
      </c>
      <c r="K420">
        <v>-2.1985211401664699</v>
      </c>
      <c r="L420" t="s">
        <v>29</v>
      </c>
      <c r="M420">
        <v>9</v>
      </c>
      <c r="N420" t="b">
        <v>0</v>
      </c>
      <c r="O420" t="b">
        <v>1</v>
      </c>
      <c r="P420" t="b">
        <v>0</v>
      </c>
      <c r="Q420" t="b">
        <v>1</v>
      </c>
      <c r="R420" t="b">
        <v>0</v>
      </c>
    </row>
    <row r="421" spans="1:18" x14ac:dyDescent="0.2">
      <c r="A421">
        <v>46545</v>
      </c>
      <c r="B421" t="s">
        <v>11</v>
      </c>
      <c r="C421">
        <v>0</v>
      </c>
      <c r="D421">
        <v>0</v>
      </c>
      <c r="E421">
        <v>2635</v>
      </c>
      <c r="F421">
        <v>0</v>
      </c>
      <c r="G421">
        <v>3.02184255222556E-2</v>
      </c>
      <c r="H421">
        <v>3.1514758169908098E-2</v>
      </c>
      <c r="I421">
        <v>3.5950659212967598E-2</v>
      </c>
      <c r="J421">
        <v>5.2027560989769503E-2</v>
      </c>
      <c r="K421">
        <v>-0.69099259179258499</v>
      </c>
      <c r="L421" t="s">
        <v>29</v>
      </c>
      <c r="M421">
        <v>15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</row>
    <row r="422" spans="1:18" x14ac:dyDescent="0.2">
      <c r="A422">
        <v>46555</v>
      </c>
      <c r="B422" t="s">
        <v>11</v>
      </c>
      <c r="C422">
        <v>3373</v>
      </c>
      <c r="D422">
        <v>0.193224143862022</v>
      </c>
      <c r="E422">
        <v>312</v>
      </c>
      <c r="F422">
        <v>0.193224143862022</v>
      </c>
      <c r="G422">
        <v>0.26470055822773197</v>
      </c>
      <c r="H422">
        <v>4.5365310140020598E-2</v>
      </c>
      <c r="I422">
        <v>2.7491154924424399</v>
      </c>
      <c r="J422">
        <v>0.48873611203335199</v>
      </c>
      <c r="K422">
        <v>-5.2295938148437902</v>
      </c>
      <c r="L422" t="s">
        <v>29</v>
      </c>
      <c r="M422">
        <v>10</v>
      </c>
      <c r="N422" t="b">
        <v>0</v>
      </c>
      <c r="O422" t="b">
        <v>1</v>
      </c>
      <c r="P422" t="b">
        <v>1</v>
      </c>
      <c r="Q422" t="b">
        <v>1</v>
      </c>
      <c r="R422" t="b">
        <v>1</v>
      </c>
    </row>
    <row r="423" spans="1:18" x14ac:dyDescent="0.2">
      <c r="A423">
        <v>46572</v>
      </c>
      <c r="B423" t="s">
        <v>11</v>
      </c>
      <c r="C423">
        <v>70</v>
      </c>
      <c r="D423">
        <v>6.6820276497695898E-3</v>
      </c>
      <c r="E423">
        <v>1612</v>
      </c>
      <c r="F423">
        <v>6.6820276497695898E-3</v>
      </c>
      <c r="G423">
        <v>4.0216472600185099E-3</v>
      </c>
      <c r="H423">
        <v>1.25453647358293E-2</v>
      </c>
      <c r="I423">
        <v>9.7436262513904293E-3</v>
      </c>
      <c r="J423">
        <v>2.2469059007378099E-3</v>
      </c>
      <c r="K423">
        <v>-1.3625842544699001</v>
      </c>
      <c r="L423" t="s">
        <v>29</v>
      </c>
      <c r="M423">
        <v>9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</row>
    <row r="424" spans="1:18" x14ac:dyDescent="0.2">
      <c r="A424">
        <v>46604</v>
      </c>
      <c r="B424" t="s">
        <v>11</v>
      </c>
      <c r="C424">
        <v>42</v>
      </c>
      <c r="D424">
        <v>1.7472378406007901E-2</v>
      </c>
      <c r="E424">
        <v>254</v>
      </c>
      <c r="F424">
        <v>1.7472378406007901E-2</v>
      </c>
      <c r="G424">
        <v>0.303519621954425</v>
      </c>
      <c r="H424">
        <v>1.0365790234688E-2</v>
      </c>
      <c r="I424">
        <v>0.62551419064657299</v>
      </c>
      <c r="J424">
        <v>0.112081772577872</v>
      </c>
      <c r="K424">
        <v>-5.4249839046586201</v>
      </c>
      <c r="L424" s="5" t="s">
        <v>29</v>
      </c>
      <c r="M424" s="5">
        <v>14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</row>
    <row r="425" spans="1:18" x14ac:dyDescent="0.2">
      <c r="A425">
        <v>46639</v>
      </c>
      <c r="B425" t="s">
        <v>10</v>
      </c>
      <c r="C425">
        <v>7.3969126426673002</v>
      </c>
      <c r="D425">
        <v>0.83231843715340903</v>
      </c>
      <c r="E425">
        <v>415</v>
      </c>
      <c r="F425">
        <v>0.83231843715340903</v>
      </c>
      <c r="G425">
        <v>0.238194218890495</v>
      </c>
      <c r="H425">
        <v>0.15125865753298001</v>
      </c>
      <c r="I425">
        <v>9.1190348832683306</v>
      </c>
      <c r="J425">
        <v>1.4151480537437899</v>
      </c>
      <c r="K425">
        <v>-5.85572401713892</v>
      </c>
      <c r="L425" t="s">
        <v>29</v>
      </c>
      <c r="M425">
        <v>17</v>
      </c>
      <c r="N425" t="b">
        <v>0</v>
      </c>
      <c r="O425" t="b">
        <v>0</v>
      </c>
      <c r="P425" t="b">
        <v>1</v>
      </c>
      <c r="Q425" t="b">
        <v>1</v>
      </c>
      <c r="R425" t="b">
        <v>1</v>
      </c>
    </row>
    <row r="426" spans="1:18" x14ac:dyDescent="0.2">
      <c r="A426">
        <v>46643</v>
      </c>
      <c r="B426" t="s">
        <v>11</v>
      </c>
      <c r="C426">
        <v>0</v>
      </c>
      <c r="D426">
        <v>0</v>
      </c>
      <c r="E426">
        <v>2465</v>
      </c>
      <c r="F426">
        <v>0</v>
      </c>
      <c r="G426">
        <v>1.95444913963553E-2</v>
      </c>
      <c r="H426">
        <v>5.4888131008193598E-2</v>
      </c>
      <c r="I426">
        <v>2.28780107201721E-2</v>
      </c>
      <c r="J426">
        <v>1.86480672589012E-2</v>
      </c>
      <c r="K426">
        <v>-1.2268301268192801</v>
      </c>
      <c r="L426" t="s">
        <v>29</v>
      </c>
      <c r="M426">
        <v>9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</row>
    <row r="427" spans="1:18" x14ac:dyDescent="0.2">
      <c r="A427">
        <v>46693</v>
      </c>
      <c r="B427" t="s">
        <v>10</v>
      </c>
      <c r="C427">
        <v>170</v>
      </c>
      <c r="D427">
        <v>3.9457538481823402</v>
      </c>
      <c r="E427">
        <v>367</v>
      </c>
      <c r="F427">
        <v>3.9457538481823402</v>
      </c>
      <c r="G427">
        <v>0.29811546120226301</v>
      </c>
      <c r="H427">
        <v>0.26928162885787599</v>
      </c>
      <c r="I427">
        <v>20.8764912054897</v>
      </c>
      <c r="J427">
        <v>3.4063388283600702</v>
      </c>
      <c r="K427">
        <v>-4.9703620838736002</v>
      </c>
      <c r="L427" t="s">
        <v>29</v>
      </c>
      <c r="M427">
        <v>22</v>
      </c>
      <c r="N427" t="b">
        <v>0</v>
      </c>
      <c r="O427" t="b">
        <v>0</v>
      </c>
      <c r="P427" t="b">
        <v>1</v>
      </c>
      <c r="Q427" t="b">
        <v>1</v>
      </c>
      <c r="R427" t="b">
        <v>1</v>
      </c>
    </row>
    <row r="428" spans="1:18" x14ac:dyDescent="0.2">
      <c r="A428">
        <v>46730</v>
      </c>
      <c r="B428" t="s">
        <v>10</v>
      </c>
      <c r="C428">
        <v>1639</v>
      </c>
      <c r="D428">
        <v>2.67001420744774</v>
      </c>
      <c r="E428">
        <v>474</v>
      </c>
      <c r="F428">
        <v>2.67001420744774</v>
      </c>
      <c r="G428">
        <v>0.20611684675192499</v>
      </c>
      <c r="H428">
        <v>0.25373872065429898</v>
      </c>
      <c r="I428">
        <v>13.990889977512801</v>
      </c>
      <c r="J428">
        <v>2.17441419799444</v>
      </c>
      <c r="K428">
        <v>-5.2064026166251196</v>
      </c>
      <c r="L428" t="s">
        <v>29</v>
      </c>
      <c r="M428">
        <v>10</v>
      </c>
      <c r="N428" t="b">
        <v>0</v>
      </c>
      <c r="O428" t="b">
        <v>0</v>
      </c>
      <c r="P428" t="b">
        <v>1</v>
      </c>
      <c r="Q428" t="b">
        <v>1</v>
      </c>
      <c r="R428" t="b">
        <v>1</v>
      </c>
    </row>
    <row r="429" spans="1:18" x14ac:dyDescent="0.2">
      <c r="A429">
        <v>46751</v>
      </c>
      <c r="B429" t="s">
        <v>10</v>
      </c>
      <c r="C429">
        <v>16</v>
      </c>
      <c r="D429">
        <v>1.2797821673474901</v>
      </c>
      <c r="E429">
        <v>416</v>
      </c>
      <c r="F429">
        <v>1.2797821673474901</v>
      </c>
      <c r="G429">
        <v>0.29181346240671502</v>
      </c>
      <c r="H429">
        <v>0.203263383799829</v>
      </c>
      <c r="I429">
        <v>12.6873661872539</v>
      </c>
      <c r="J429">
        <v>2.3758927161201102</v>
      </c>
      <c r="K429">
        <v>-4.8013885233569198</v>
      </c>
      <c r="L429" t="s">
        <v>29</v>
      </c>
      <c r="M429">
        <v>9</v>
      </c>
      <c r="N429" t="b">
        <v>0</v>
      </c>
      <c r="O429" t="b">
        <v>0</v>
      </c>
      <c r="P429" t="b">
        <v>1</v>
      </c>
      <c r="Q429" t="b">
        <v>1</v>
      </c>
      <c r="R429" t="b">
        <v>1</v>
      </c>
    </row>
    <row r="430" spans="1:18" x14ac:dyDescent="0.2">
      <c r="A430">
        <v>46802</v>
      </c>
      <c r="B430" t="s">
        <v>10</v>
      </c>
      <c r="C430">
        <v>687</v>
      </c>
      <c r="D430">
        <v>9.2839976330500298E-2</v>
      </c>
      <c r="E430">
        <v>436</v>
      </c>
      <c r="F430">
        <v>9.2839976330500298E-2</v>
      </c>
      <c r="G430">
        <v>0.222674872231613</v>
      </c>
      <c r="H430">
        <v>1.72456542307413E-2</v>
      </c>
      <c r="I430">
        <v>0.93114520048000204</v>
      </c>
      <c r="J430">
        <v>0.142471160399186</v>
      </c>
      <c r="K430">
        <v>-5.88403450776058</v>
      </c>
      <c r="L430" s="5" t="s">
        <v>29</v>
      </c>
      <c r="M430" s="5">
        <v>15</v>
      </c>
      <c r="N430" t="b">
        <v>0</v>
      </c>
      <c r="O430" t="b">
        <v>1</v>
      </c>
      <c r="P430" t="b">
        <v>1</v>
      </c>
      <c r="Q430" t="b">
        <v>1</v>
      </c>
      <c r="R430" t="b">
        <v>1</v>
      </c>
    </row>
    <row r="431" spans="1:18" x14ac:dyDescent="0.2">
      <c r="A431">
        <v>48243</v>
      </c>
      <c r="B431" t="s">
        <v>11</v>
      </c>
      <c r="C431">
        <v>102996</v>
      </c>
      <c r="D431">
        <v>1.8345331582331299</v>
      </c>
      <c r="E431">
        <v>686</v>
      </c>
      <c r="F431">
        <v>1.8345331582331299</v>
      </c>
      <c r="G431">
        <v>0.20279754956250801</v>
      </c>
      <c r="H431">
        <v>0.23029697678105099</v>
      </c>
      <c r="I431">
        <v>10.8306369715466</v>
      </c>
      <c r="J431">
        <v>2.0966743133697601</v>
      </c>
      <c r="K431">
        <v>-4.2906538969588404</v>
      </c>
      <c r="L431" t="s">
        <v>29</v>
      </c>
      <c r="M431">
        <v>9</v>
      </c>
      <c r="N431" t="b">
        <v>0</v>
      </c>
      <c r="O431" t="b">
        <v>0</v>
      </c>
      <c r="P431" t="b">
        <v>1</v>
      </c>
      <c r="Q431" t="b">
        <v>1</v>
      </c>
      <c r="R431" t="b">
        <v>0</v>
      </c>
    </row>
    <row r="432" spans="1:18" x14ac:dyDescent="0.2">
      <c r="A432">
        <v>48245</v>
      </c>
      <c r="B432" t="s">
        <v>11</v>
      </c>
      <c r="C432">
        <v>316</v>
      </c>
      <c r="D432">
        <v>0.70505530577070297</v>
      </c>
      <c r="E432">
        <v>1556</v>
      </c>
      <c r="F432">
        <v>0.70505530577070297</v>
      </c>
      <c r="G432">
        <v>9.7376343891434E-2</v>
      </c>
      <c r="H432">
        <v>0.104585401590433</v>
      </c>
      <c r="I432">
        <v>1.9834509235584601</v>
      </c>
      <c r="J432">
        <v>0.40117456444831501</v>
      </c>
      <c r="K432">
        <v>-3.1866317834625799</v>
      </c>
      <c r="L432" t="s">
        <v>29</v>
      </c>
      <c r="M432">
        <v>9</v>
      </c>
      <c r="N432" t="b">
        <v>0</v>
      </c>
      <c r="O432" t="b">
        <v>0</v>
      </c>
      <c r="P432" t="b">
        <v>1</v>
      </c>
      <c r="Q432" t="b">
        <v>1</v>
      </c>
      <c r="R432" t="b">
        <v>0</v>
      </c>
    </row>
    <row r="433" spans="1:18" x14ac:dyDescent="0.2">
      <c r="A433">
        <v>48249</v>
      </c>
      <c r="B433" t="s">
        <v>11</v>
      </c>
      <c r="C433">
        <v>548.14784226585402</v>
      </c>
      <c r="D433">
        <v>4.5289181831270203E-2</v>
      </c>
      <c r="E433">
        <v>392</v>
      </c>
      <c r="F433">
        <v>4.5289181831270203E-2</v>
      </c>
      <c r="G433">
        <v>0.29010740617428898</v>
      </c>
      <c r="H433">
        <v>3.0827958320043099E-2</v>
      </c>
      <c r="I433">
        <v>1.6316190659355201</v>
      </c>
      <c r="J433">
        <v>0.34657040643658199</v>
      </c>
      <c r="K433">
        <v>-4.5772225632730903</v>
      </c>
      <c r="L433" t="s">
        <v>29</v>
      </c>
      <c r="M433">
        <v>18</v>
      </c>
      <c r="N433" t="b">
        <v>0</v>
      </c>
      <c r="O433" t="b">
        <v>1</v>
      </c>
      <c r="P433" t="b">
        <v>1</v>
      </c>
      <c r="Q433" t="b">
        <v>1</v>
      </c>
      <c r="R433" t="b">
        <v>1</v>
      </c>
    </row>
    <row r="434" spans="1:18" x14ac:dyDescent="0.2">
      <c r="A434">
        <v>48373</v>
      </c>
      <c r="B434" t="s">
        <v>11</v>
      </c>
      <c r="C434">
        <v>1.5</v>
      </c>
      <c r="D434">
        <v>4.1964966533932002E-2</v>
      </c>
      <c r="E434">
        <v>333</v>
      </c>
      <c r="F434">
        <v>4.1964966533932002E-2</v>
      </c>
      <c r="G434">
        <v>0.30685893027653999</v>
      </c>
      <c r="H434">
        <v>0.31521257866813102</v>
      </c>
      <c r="I434">
        <v>3.6935573009333802</v>
      </c>
      <c r="J434">
        <v>0.64405022481779195</v>
      </c>
      <c r="K434">
        <v>-5.6697322564129502</v>
      </c>
      <c r="L434" t="s">
        <v>29</v>
      </c>
      <c r="M434">
        <v>9</v>
      </c>
      <c r="N434" t="b">
        <v>0</v>
      </c>
      <c r="O434" t="b">
        <v>1</v>
      </c>
      <c r="P434" t="b">
        <v>1</v>
      </c>
      <c r="Q434" t="b">
        <v>1</v>
      </c>
      <c r="R434" t="b">
        <v>1</v>
      </c>
    </row>
    <row r="435" spans="1:18" x14ac:dyDescent="0.2">
      <c r="A435">
        <v>48398</v>
      </c>
      <c r="B435" t="s">
        <v>11</v>
      </c>
      <c r="C435">
        <v>70778.5</v>
      </c>
      <c r="D435">
        <v>3.1423872636021999</v>
      </c>
      <c r="E435">
        <v>682</v>
      </c>
      <c r="F435">
        <v>3.1423872636021999</v>
      </c>
      <c r="G435">
        <v>0.23742982019654399</v>
      </c>
      <c r="H435">
        <v>0.19589060677405101</v>
      </c>
      <c r="I435">
        <v>12.0902793707493</v>
      </c>
      <c r="J435">
        <v>1.74257993306922</v>
      </c>
      <c r="K435">
        <v>-5.1348531779469901</v>
      </c>
      <c r="L435" s="5" t="s">
        <v>29</v>
      </c>
      <c r="M435" s="5">
        <v>13</v>
      </c>
      <c r="N435" t="b">
        <v>0</v>
      </c>
      <c r="O435" t="b">
        <v>0</v>
      </c>
      <c r="P435" t="b">
        <v>1</v>
      </c>
      <c r="Q435" t="b">
        <v>1</v>
      </c>
      <c r="R435" t="b">
        <v>0</v>
      </c>
    </row>
    <row r="436" spans="1:18" x14ac:dyDescent="0.2">
      <c r="A436">
        <v>48587</v>
      </c>
      <c r="B436" t="s">
        <v>11</v>
      </c>
      <c r="C436">
        <v>9296</v>
      </c>
      <c r="D436">
        <v>2.2637184012160598</v>
      </c>
      <c r="E436">
        <v>513</v>
      </c>
      <c r="F436">
        <v>2.2637184012160598</v>
      </c>
      <c r="G436">
        <v>0.225384775058177</v>
      </c>
      <c r="H436">
        <v>0.17674355614595999</v>
      </c>
      <c r="I436">
        <v>10.843622051279</v>
      </c>
      <c r="J436">
        <v>1.56986111072499</v>
      </c>
      <c r="K436">
        <v>-5.4653902765325801</v>
      </c>
      <c r="L436" t="s">
        <v>29</v>
      </c>
      <c r="M436">
        <v>11</v>
      </c>
      <c r="N436" t="b">
        <v>0</v>
      </c>
      <c r="O436" t="b">
        <v>0</v>
      </c>
      <c r="P436" t="b">
        <v>1</v>
      </c>
      <c r="Q436" t="b">
        <v>1</v>
      </c>
      <c r="R436" t="b">
        <v>0</v>
      </c>
    </row>
    <row r="437" spans="1:18" x14ac:dyDescent="0.2">
      <c r="A437">
        <v>48830</v>
      </c>
      <c r="B437" t="s">
        <v>11</v>
      </c>
      <c r="C437">
        <v>23979</v>
      </c>
      <c r="D437">
        <v>0.34913186866482399</v>
      </c>
      <c r="E437">
        <v>314</v>
      </c>
      <c r="F437">
        <v>0.34913186866482399</v>
      </c>
      <c r="G437">
        <v>0.28209529297970698</v>
      </c>
      <c r="H437">
        <v>7.0284846540115603E-2</v>
      </c>
      <c r="I437">
        <v>3.4031551496799102</v>
      </c>
      <c r="J437">
        <v>0.734064327913165</v>
      </c>
      <c r="K437">
        <v>-4.1604300398266396</v>
      </c>
      <c r="L437" t="s">
        <v>29</v>
      </c>
      <c r="M437">
        <v>26</v>
      </c>
      <c r="N437" t="b">
        <v>0</v>
      </c>
      <c r="O437" t="b">
        <v>0</v>
      </c>
      <c r="P437" t="b">
        <v>1</v>
      </c>
      <c r="Q437" t="b">
        <v>1</v>
      </c>
      <c r="R437" t="b">
        <v>1</v>
      </c>
    </row>
    <row r="438" spans="1:18" x14ac:dyDescent="0.2">
      <c r="A438">
        <v>49011</v>
      </c>
      <c r="B438" t="s">
        <v>11</v>
      </c>
      <c r="C438">
        <v>2727</v>
      </c>
      <c r="D438">
        <v>1.9685071715703399</v>
      </c>
      <c r="E438">
        <v>471</v>
      </c>
      <c r="F438">
        <v>1.9685071715703399</v>
      </c>
      <c r="G438">
        <v>0.20164691601495499</v>
      </c>
      <c r="H438">
        <v>0.21012236392926001</v>
      </c>
      <c r="I438">
        <v>10.746057451916601</v>
      </c>
      <c r="J438">
        <v>1.64211610853608</v>
      </c>
      <c r="K438">
        <v>-5.3452677522122896</v>
      </c>
      <c r="L438" t="s">
        <v>29</v>
      </c>
      <c r="M438">
        <v>22</v>
      </c>
      <c r="N438" t="b">
        <v>0</v>
      </c>
      <c r="O438" t="b">
        <v>0</v>
      </c>
      <c r="P438" t="b">
        <v>1</v>
      </c>
      <c r="Q438" t="b">
        <v>1</v>
      </c>
      <c r="R438" t="b">
        <v>1</v>
      </c>
    </row>
    <row r="439" spans="1:18" x14ac:dyDescent="0.2">
      <c r="A439">
        <v>49326</v>
      </c>
      <c r="B439" t="s">
        <v>11</v>
      </c>
      <c r="C439">
        <v>129</v>
      </c>
      <c r="D439">
        <v>0.32515123113473099</v>
      </c>
      <c r="E439">
        <v>1957</v>
      </c>
      <c r="F439">
        <v>0.32515123113473099</v>
      </c>
      <c r="G439">
        <v>8.37992871021805E-2</v>
      </c>
      <c r="H439">
        <v>5.2186984880992E-2</v>
      </c>
      <c r="I439">
        <v>0.67814090415962902</v>
      </c>
      <c r="J439">
        <v>0.22365541196157199</v>
      </c>
      <c r="K439">
        <v>-1.5782746767851401</v>
      </c>
      <c r="L439" t="s">
        <v>29</v>
      </c>
      <c r="M439">
        <v>23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</row>
    <row r="440" spans="1:18" x14ac:dyDescent="0.2">
      <c r="A440">
        <v>49369</v>
      </c>
      <c r="B440" t="s">
        <v>11</v>
      </c>
      <c r="C440">
        <v>2158.5</v>
      </c>
      <c r="D440">
        <v>0.22573147222885101</v>
      </c>
      <c r="E440">
        <v>447</v>
      </c>
      <c r="F440">
        <v>0.22573147222885101</v>
      </c>
      <c r="G440">
        <v>0.17925174502250199</v>
      </c>
      <c r="H440">
        <v>0.26820706026959301</v>
      </c>
      <c r="I440">
        <v>11.688145878232801</v>
      </c>
      <c r="J440">
        <v>2.1604385412318501</v>
      </c>
      <c r="K440">
        <v>-5.3055961496910804</v>
      </c>
      <c r="L440" s="5" t="s">
        <v>29</v>
      </c>
      <c r="M440" s="5">
        <v>19</v>
      </c>
      <c r="N440" t="b">
        <v>0</v>
      </c>
      <c r="O440" t="b">
        <v>0</v>
      </c>
      <c r="P440" t="b">
        <v>1</v>
      </c>
      <c r="Q440" t="b">
        <v>1</v>
      </c>
      <c r="R440" t="b">
        <v>1</v>
      </c>
    </row>
    <row r="441" spans="1:18" x14ac:dyDescent="0.2">
      <c r="A441">
        <v>49399</v>
      </c>
      <c r="B441" t="s">
        <v>11</v>
      </c>
      <c r="C441">
        <v>2819</v>
      </c>
      <c r="D441">
        <v>0.24442341872058199</v>
      </c>
      <c r="E441">
        <v>126</v>
      </c>
      <c r="F441">
        <v>0.24442341872058199</v>
      </c>
      <c r="G441">
        <v>0.28603533983000301</v>
      </c>
      <c r="H441">
        <v>0.206162460327905</v>
      </c>
      <c r="I441">
        <v>16.172027596374399</v>
      </c>
      <c r="J441">
        <v>2.4960179181472002</v>
      </c>
      <c r="K441">
        <v>-6.3812058646906298</v>
      </c>
      <c r="L441" t="s">
        <v>29</v>
      </c>
      <c r="M441">
        <v>9</v>
      </c>
      <c r="N441" t="b">
        <v>0</v>
      </c>
      <c r="O441" t="b">
        <v>0</v>
      </c>
      <c r="P441" t="b">
        <v>1</v>
      </c>
      <c r="Q441" t="b">
        <v>1</v>
      </c>
      <c r="R441" t="b">
        <v>1</v>
      </c>
    </row>
    <row r="442" spans="1:18" x14ac:dyDescent="0.2">
      <c r="A442">
        <v>49410</v>
      </c>
      <c r="B442" t="s">
        <v>11</v>
      </c>
      <c r="C442">
        <v>1608</v>
      </c>
      <c r="D442">
        <v>0.22628189094482601</v>
      </c>
      <c r="E442">
        <v>386</v>
      </c>
      <c r="F442">
        <v>0.22628189094482601</v>
      </c>
      <c r="G442">
        <v>0.29106942748505399</v>
      </c>
      <c r="H442">
        <v>2.7940724585338202E-2</v>
      </c>
      <c r="I442">
        <v>1.9146348089565199</v>
      </c>
      <c r="J442">
        <v>0.29937615929626898</v>
      </c>
      <c r="K442">
        <v>-5.6395703718707404</v>
      </c>
      <c r="L442" t="s">
        <v>29</v>
      </c>
      <c r="M442">
        <v>10</v>
      </c>
      <c r="N442" t="b">
        <v>0</v>
      </c>
      <c r="O442" t="b">
        <v>0</v>
      </c>
      <c r="P442" t="b">
        <v>1</v>
      </c>
      <c r="Q442" t="b">
        <v>1</v>
      </c>
      <c r="R442" t="b">
        <v>1</v>
      </c>
    </row>
    <row r="443" spans="1:18" x14ac:dyDescent="0.2">
      <c r="A443">
        <v>49453</v>
      </c>
      <c r="B443" t="s">
        <v>11</v>
      </c>
      <c r="C443">
        <v>83.5</v>
      </c>
      <c r="D443">
        <v>1.62862460815047E-2</v>
      </c>
      <c r="E443">
        <v>1946</v>
      </c>
      <c r="F443">
        <v>1.62862460815047E-2</v>
      </c>
      <c r="G443">
        <v>2.4271473855359198E-2</v>
      </c>
      <c r="H443">
        <v>1.06154493349707E-2</v>
      </c>
      <c r="I443">
        <v>2.9925365823702799E-2</v>
      </c>
      <c r="J443">
        <v>1.10553958791912E-2</v>
      </c>
      <c r="K443">
        <v>-1.2337070414520499</v>
      </c>
      <c r="L443" t="s">
        <v>29</v>
      </c>
      <c r="M443">
        <v>20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</row>
    <row r="444" spans="1:18" x14ac:dyDescent="0.2">
      <c r="A444">
        <v>49483</v>
      </c>
      <c r="B444" t="s">
        <v>11</v>
      </c>
      <c r="C444">
        <v>120.000305175687</v>
      </c>
      <c r="D444">
        <v>0.21974730360184899</v>
      </c>
      <c r="E444">
        <v>491</v>
      </c>
      <c r="F444">
        <v>0.21974730360184899</v>
      </c>
      <c r="G444">
        <v>7.1424331664242294E-2</v>
      </c>
      <c r="H444">
        <v>3.2150584718411403E-2</v>
      </c>
      <c r="I444">
        <v>0.358775090209626</v>
      </c>
      <c r="J444">
        <v>0.101715303156134</v>
      </c>
      <c r="K444">
        <v>-1.3668325443062199</v>
      </c>
      <c r="L444" t="s">
        <v>29</v>
      </c>
      <c r="M444">
        <v>22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</row>
    <row r="445" spans="1:18" x14ac:dyDescent="0.2">
      <c r="A445">
        <v>49547</v>
      </c>
      <c r="B445" t="s">
        <v>11</v>
      </c>
      <c r="C445">
        <v>72</v>
      </c>
      <c r="D445">
        <v>1.2522583202231201E-2</v>
      </c>
      <c r="E445">
        <v>1544</v>
      </c>
      <c r="F445">
        <v>1.2522583202231201E-2</v>
      </c>
      <c r="G445">
        <v>1.93211424773523E-2</v>
      </c>
      <c r="H445">
        <v>2.1356831844075701E-2</v>
      </c>
      <c r="I445">
        <v>7.2891898370789701E-2</v>
      </c>
      <c r="J445">
        <v>1.9966469796303801E-2</v>
      </c>
      <c r="K445">
        <v>-3.0235347452224102</v>
      </c>
      <c r="L445" t="s">
        <v>29</v>
      </c>
      <c r="M445">
        <v>9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</row>
    <row r="446" spans="1:18" x14ac:dyDescent="0.2">
      <c r="A446">
        <v>49620</v>
      </c>
      <c r="B446" t="s">
        <v>11</v>
      </c>
      <c r="C446">
        <v>0</v>
      </c>
      <c r="D446">
        <v>5.0846938367195898E-3</v>
      </c>
      <c r="E446">
        <v>2524</v>
      </c>
      <c r="F446">
        <v>5.0846938367195898E-3</v>
      </c>
      <c r="G446">
        <v>2.7886516242739901E-2</v>
      </c>
      <c r="H446">
        <v>1.3856991582324301E-2</v>
      </c>
      <c r="I446">
        <v>9.1352487920530606E-3</v>
      </c>
      <c r="J446">
        <v>3.9228771845349402E-3</v>
      </c>
      <c r="K446">
        <v>-1.0325469712133399</v>
      </c>
      <c r="L446" t="s">
        <v>29</v>
      </c>
      <c r="M446">
        <v>9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</row>
    <row r="447" spans="1:18" x14ac:dyDescent="0.2">
      <c r="A447">
        <v>49701</v>
      </c>
      <c r="B447" t="s">
        <v>11</v>
      </c>
      <c r="C447">
        <v>0</v>
      </c>
      <c r="D447">
        <v>0.542762090261247</v>
      </c>
      <c r="E447">
        <v>218</v>
      </c>
      <c r="F447">
        <v>0.542762090261247</v>
      </c>
      <c r="G447">
        <v>0.30676233414135801</v>
      </c>
      <c r="H447">
        <v>8.8864347492248405E-2</v>
      </c>
      <c r="I447">
        <v>6.9259768438362501</v>
      </c>
      <c r="J447">
        <v>1.0892650854402499</v>
      </c>
      <c r="K447">
        <v>-5.8601114080463601</v>
      </c>
      <c r="L447" t="s">
        <v>29</v>
      </c>
      <c r="M447">
        <v>26</v>
      </c>
      <c r="N447" t="b">
        <v>0</v>
      </c>
      <c r="O447" t="b">
        <v>0</v>
      </c>
      <c r="P447" t="b">
        <v>1</v>
      </c>
      <c r="Q447" t="b">
        <v>1</v>
      </c>
      <c r="R447" t="b">
        <v>1</v>
      </c>
    </row>
    <row r="448" spans="1:18" x14ac:dyDescent="0.2">
      <c r="A448">
        <v>50035</v>
      </c>
      <c r="B448" t="s">
        <v>11</v>
      </c>
      <c r="C448">
        <v>489</v>
      </c>
      <c r="D448">
        <v>1.08750207584546E-2</v>
      </c>
      <c r="E448">
        <v>2198</v>
      </c>
      <c r="F448">
        <v>1.08750207584546E-2</v>
      </c>
      <c r="G448">
        <v>3.0832607530707799E-2</v>
      </c>
      <c r="H448">
        <v>1.6304952398098201E-2</v>
      </c>
      <c r="I448">
        <v>4.0280550514216598E-2</v>
      </c>
      <c r="J448">
        <v>2.5881679941002898E-2</v>
      </c>
      <c r="K448">
        <v>-1.13615228311267</v>
      </c>
      <c r="L448" s="5" t="s">
        <v>29</v>
      </c>
      <c r="M448" s="5">
        <v>10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</row>
    <row r="449" spans="1:18" x14ac:dyDescent="0.2">
      <c r="A449">
        <v>50501</v>
      </c>
      <c r="B449" t="s">
        <v>11</v>
      </c>
      <c r="C449">
        <v>4464</v>
      </c>
      <c r="D449">
        <v>0.46628002992030998</v>
      </c>
      <c r="E449">
        <v>2562</v>
      </c>
      <c r="F449">
        <v>0.46628002992030998</v>
      </c>
      <c r="G449">
        <v>6.7694325014200196E-2</v>
      </c>
      <c r="H449">
        <v>7.2646655315805594E-2</v>
      </c>
      <c r="I449">
        <v>0.67194143468018996</v>
      </c>
      <c r="J449">
        <v>0.20279199672180101</v>
      </c>
      <c r="K449">
        <v>-1.0141495132178</v>
      </c>
      <c r="L449" t="s">
        <v>29</v>
      </c>
      <c r="M449">
        <v>15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</row>
    <row r="450" spans="1:18" x14ac:dyDescent="0.2">
      <c r="A450">
        <v>52064</v>
      </c>
      <c r="B450" t="s">
        <v>11</v>
      </c>
      <c r="C450">
        <v>148</v>
      </c>
      <c r="D450">
        <v>0.60016335072496696</v>
      </c>
      <c r="E450">
        <v>446</v>
      </c>
      <c r="F450">
        <v>0.60016335072496696</v>
      </c>
      <c r="G450">
        <v>0.185613285397105</v>
      </c>
      <c r="H450">
        <v>0.24799707355667999</v>
      </c>
      <c r="I450">
        <v>12.079604450343901</v>
      </c>
      <c r="J450">
        <v>1.82408432639635</v>
      </c>
      <c r="K450">
        <v>-6.2932622870005703</v>
      </c>
      <c r="L450" t="s">
        <v>29</v>
      </c>
      <c r="M450">
        <v>9</v>
      </c>
      <c r="N450" t="b">
        <v>0</v>
      </c>
      <c r="O450" t="b">
        <v>0</v>
      </c>
      <c r="P450" t="b">
        <v>1</v>
      </c>
      <c r="Q450" t="b">
        <v>1</v>
      </c>
      <c r="R450" t="b">
        <v>1</v>
      </c>
    </row>
    <row r="451" spans="1:18" x14ac:dyDescent="0.2">
      <c r="A451">
        <v>52174</v>
      </c>
      <c r="B451" t="s">
        <v>11</v>
      </c>
      <c r="C451">
        <v>3</v>
      </c>
      <c r="D451">
        <v>8.3192455234015195E-2</v>
      </c>
      <c r="E451">
        <v>2175</v>
      </c>
      <c r="F451">
        <v>8.3192455234015195E-2</v>
      </c>
      <c r="G451">
        <v>4.6633920585111698E-2</v>
      </c>
      <c r="H451">
        <v>6.2225755748808703E-2</v>
      </c>
      <c r="I451">
        <v>7.4058763667800703E-2</v>
      </c>
      <c r="J451">
        <v>4.69617169010886E-2</v>
      </c>
      <c r="K451">
        <v>0.194492283692523</v>
      </c>
      <c r="L451" t="s">
        <v>29</v>
      </c>
      <c r="M451">
        <v>11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</row>
    <row r="452" spans="1:18" x14ac:dyDescent="0.2">
      <c r="A452">
        <v>52221</v>
      </c>
      <c r="B452" t="s">
        <v>11</v>
      </c>
      <c r="C452">
        <v>0</v>
      </c>
      <c r="D452">
        <v>0</v>
      </c>
      <c r="E452">
        <v>2503</v>
      </c>
      <c r="F452">
        <v>0</v>
      </c>
      <c r="G452">
        <v>1.35297538410275E-2</v>
      </c>
      <c r="H452">
        <v>4.5988948033665399E-2</v>
      </c>
      <c r="I452">
        <v>6.9680644038782203E-3</v>
      </c>
      <c r="J452">
        <v>8.29508977498674E-3</v>
      </c>
      <c r="K452">
        <v>-0.840022783706323</v>
      </c>
      <c r="L452" s="5" t="s">
        <v>29</v>
      </c>
      <c r="M452" s="5">
        <v>14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</row>
    <row r="453" spans="1:18" x14ac:dyDescent="0.2">
      <c r="A453">
        <v>52269</v>
      </c>
      <c r="B453" t="s">
        <v>11</v>
      </c>
      <c r="C453">
        <v>564</v>
      </c>
      <c r="D453">
        <v>4.6170815399629597E-2</v>
      </c>
      <c r="E453">
        <v>397</v>
      </c>
      <c r="F453">
        <v>4.6170815399629597E-2</v>
      </c>
      <c r="G453">
        <v>0.31060087064824898</v>
      </c>
      <c r="H453">
        <v>1.4939542989576201E-2</v>
      </c>
      <c r="I453">
        <v>1.1427118047301199</v>
      </c>
      <c r="J453">
        <v>0.17333589246436401</v>
      </c>
      <c r="K453">
        <v>-6.3261046153838203</v>
      </c>
      <c r="L453" t="s">
        <v>29</v>
      </c>
      <c r="M453">
        <v>12</v>
      </c>
      <c r="N453" t="b">
        <v>0</v>
      </c>
      <c r="O453" t="b">
        <v>1</v>
      </c>
      <c r="P453" t="b">
        <v>1</v>
      </c>
      <c r="Q453" t="b">
        <v>1</v>
      </c>
      <c r="R453" t="b">
        <v>1</v>
      </c>
    </row>
    <row r="454" spans="1:18" x14ac:dyDescent="0.2">
      <c r="A454">
        <v>52783</v>
      </c>
      <c r="B454" t="s">
        <v>11</v>
      </c>
      <c r="C454">
        <v>631</v>
      </c>
      <c r="D454">
        <v>4.2188877455964897E-2</v>
      </c>
      <c r="E454">
        <v>395</v>
      </c>
      <c r="F454">
        <v>4.2188877455964897E-2</v>
      </c>
      <c r="G454">
        <v>0.28146592588109798</v>
      </c>
      <c r="H454">
        <v>1.1748416087976899E-2</v>
      </c>
      <c r="I454">
        <v>0.851523829885663</v>
      </c>
      <c r="J454">
        <v>0.12720691452338301</v>
      </c>
      <c r="K454">
        <v>-6.3623503129692702</v>
      </c>
      <c r="L454" t="s">
        <v>29</v>
      </c>
      <c r="M454">
        <v>15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</row>
    <row r="455" spans="1:18" x14ac:dyDescent="0.2">
      <c r="A455">
        <v>52960</v>
      </c>
      <c r="B455" t="s">
        <v>11</v>
      </c>
      <c r="C455">
        <v>3640</v>
      </c>
      <c r="D455">
        <v>6.9433821851220601E-2</v>
      </c>
      <c r="E455">
        <v>143</v>
      </c>
      <c r="F455">
        <v>6.9433821851220601E-2</v>
      </c>
      <c r="G455">
        <v>0.30084293613208202</v>
      </c>
      <c r="H455">
        <v>0.16302875668842001</v>
      </c>
      <c r="I455">
        <v>9.5989250178459606</v>
      </c>
      <c r="J455">
        <v>1.7651986888959399</v>
      </c>
      <c r="K455">
        <v>-5.3985374314746597</v>
      </c>
      <c r="L455" t="s">
        <v>29</v>
      </c>
      <c r="M455">
        <v>10</v>
      </c>
      <c r="N455" t="b">
        <v>0</v>
      </c>
      <c r="O455" t="b">
        <v>1</v>
      </c>
      <c r="P455" t="b">
        <v>1</v>
      </c>
      <c r="Q455" t="b">
        <v>1</v>
      </c>
      <c r="R455" t="b">
        <v>1</v>
      </c>
    </row>
    <row r="456" spans="1:18" x14ac:dyDescent="0.2">
      <c r="A456">
        <v>53238</v>
      </c>
      <c r="B456" t="s">
        <v>11</v>
      </c>
      <c r="C456">
        <v>87.5</v>
      </c>
      <c r="D456">
        <v>0.18094951180323801</v>
      </c>
      <c r="E456">
        <v>232</v>
      </c>
      <c r="F456">
        <v>0.18094951180323801</v>
      </c>
      <c r="G456">
        <v>0.304981923455242</v>
      </c>
      <c r="H456">
        <v>4.6796177341479797E-2</v>
      </c>
      <c r="I456">
        <v>3.4158212399923098</v>
      </c>
      <c r="J456">
        <v>0.58180525771404401</v>
      </c>
      <c r="K456">
        <v>-5.5600592901121599</v>
      </c>
      <c r="L456" s="5" t="s">
        <v>29</v>
      </c>
      <c r="M456" s="5">
        <v>18</v>
      </c>
      <c r="N456" t="b">
        <v>0</v>
      </c>
      <c r="O456" t="b">
        <v>1</v>
      </c>
      <c r="P456" t="b">
        <v>1</v>
      </c>
      <c r="Q456" t="b">
        <v>1</v>
      </c>
      <c r="R456" t="b">
        <v>1</v>
      </c>
    </row>
    <row r="457" spans="1:18" x14ac:dyDescent="0.2">
      <c r="A457">
        <v>53252</v>
      </c>
      <c r="B457" t="s">
        <v>11</v>
      </c>
      <c r="C457">
        <v>15803</v>
      </c>
      <c r="D457">
        <v>1.39958742054952</v>
      </c>
      <c r="E457">
        <v>2442</v>
      </c>
      <c r="F457">
        <v>1.39958742054952</v>
      </c>
      <c r="G457">
        <v>9.6797525932869596E-2</v>
      </c>
      <c r="H457">
        <v>8.5005689084116001E-2</v>
      </c>
      <c r="I457">
        <v>1.4226274765714899</v>
      </c>
      <c r="J457">
        <v>0.38994302270380699</v>
      </c>
      <c r="K457">
        <v>-5.9085698885479897E-2</v>
      </c>
      <c r="L457" t="s">
        <v>29</v>
      </c>
      <c r="M457">
        <v>16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</row>
    <row r="458" spans="1:18" x14ac:dyDescent="0.2">
      <c r="A458">
        <v>53284</v>
      </c>
      <c r="B458" t="s">
        <v>11</v>
      </c>
      <c r="C458">
        <v>78</v>
      </c>
      <c r="D458">
        <v>0.22713441563030001</v>
      </c>
      <c r="E458">
        <v>310</v>
      </c>
      <c r="F458">
        <v>0.22713441563030001</v>
      </c>
      <c r="G458">
        <v>8.2485801826782404E-2</v>
      </c>
      <c r="H458">
        <v>0.18697015481995</v>
      </c>
      <c r="I458">
        <v>4.4014760899519496</v>
      </c>
      <c r="J458">
        <v>0.64169415960559795</v>
      </c>
      <c r="K458">
        <v>-6.5051888221755299</v>
      </c>
      <c r="L458" t="s">
        <v>29</v>
      </c>
      <c r="M458">
        <v>17</v>
      </c>
      <c r="N458" t="b">
        <v>0</v>
      </c>
      <c r="O458" t="b">
        <v>0</v>
      </c>
      <c r="P458" t="b">
        <v>1</v>
      </c>
      <c r="Q458" t="b">
        <v>1</v>
      </c>
      <c r="R458" t="b">
        <v>1</v>
      </c>
    </row>
    <row r="459" spans="1:18" x14ac:dyDescent="0.2">
      <c r="A459">
        <v>53535</v>
      </c>
      <c r="B459" t="s">
        <v>10</v>
      </c>
      <c r="C459">
        <v>102</v>
      </c>
      <c r="D459">
        <v>0.38230477014846398</v>
      </c>
      <c r="E459">
        <v>326</v>
      </c>
      <c r="F459">
        <v>0.38230477014846398</v>
      </c>
      <c r="G459">
        <v>0.28074915644363002</v>
      </c>
      <c r="H459">
        <v>0.26603432993461401</v>
      </c>
      <c r="I459">
        <v>21.3138323510417</v>
      </c>
      <c r="J459">
        <v>3.2248492598809202</v>
      </c>
      <c r="K459">
        <v>-6.4906995316941103</v>
      </c>
      <c r="L459" t="s">
        <v>29</v>
      </c>
      <c r="M459">
        <v>12</v>
      </c>
      <c r="N459" t="b">
        <v>0</v>
      </c>
      <c r="O459" t="b">
        <v>0</v>
      </c>
      <c r="P459" t="b">
        <v>1</v>
      </c>
      <c r="Q459" t="b">
        <v>1</v>
      </c>
      <c r="R459" t="b">
        <v>1</v>
      </c>
    </row>
    <row r="460" spans="1:18" x14ac:dyDescent="0.2">
      <c r="A460">
        <v>59785</v>
      </c>
      <c r="B460" t="s">
        <v>10</v>
      </c>
      <c r="C460">
        <v>105026.5</v>
      </c>
      <c r="D460">
        <v>0.44796433960979498</v>
      </c>
      <c r="E460">
        <v>398</v>
      </c>
      <c r="F460">
        <v>0.44796433960979498</v>
      </c>
      <c r="G460">
        <v>0.29474101305956002</v>
      </c>
      <c r="H460">
        <v>8.1741883192281095E-2</v>
      </c>
      <c r="I460">
        <v>4.5724683773374002</v>
      </c>
      <c r="J460">
        <v>0.96263898627380295</v>
      </c>
      <c r="K460">
        <v>-4.2845803011706298</v>
      </c>
      <c r="L460" s="5" t="s">
        <v>29</v>
      </c>
      <c r="M460" s="5">
        <v>19</v>
      </c>
      <c r="N460" t="b">
        <v>0</v>
      </c>
      <c r="O460" t="b">
        <v>0</v>
      </c>
      <c r="P460" t="b">
        <v>1</v>
      </c>
      <c r="Q460" t="b">
        <v>1</v>
      </c>
      <c r="R460" t="b">
        <v>1</v>
      </c>
    </row>
    <row r="461" spans="1:18" x14ac:dyDescent="0.2">
      <c r="A461">
        <v>59854</v>
      </c>
      <c r="B461" t="s">
        <v>10</v>
      </c>
      <c r="C461">
        <v>11.5</v>
      </c>
      <c r="D461">
        <v>1.0428557906573701</v>
      </c>
      <c r="E461">
        <v>386</v>
      </c>
      <c r="F461">
        <v>1.0428557906573701</v>
      </c>
      <c r="G461">
        <v>0.32530152287770497</v>
      </c>
      <c r="H461">
        <v>0.192245225263355</v>
      </c>
      <c r="I461">
        <v>16.6832348166595</v>
      </c>
      <c r="J461">
        <v>2.5926706655852798</v>
      </c>
      <c r="K461">
        <v>-6.0325359613197902</v>
      </c>
      <c r="L461" t="s">
        <v>29</v>
      </c>
      <c r="M461">
        <v>10</v>
      </c>
      <c r="N461" t="b">
        <v>0</v>
      </c>
      <c r="O461" t="b">
        <v>0</v>
      </c>
      <c r="P461" t="b">
        <v>1</v>
      </c>
      <c r="Q461" t="b">
        <v>1</v>
      </c>
      <c r="R461" t="b">
        <v>1</v>
      </c>
    </row>
    <row r="462" spans="1:18" x14ac:dyDescent="0.2">
      <c r="A462">
        <v>60241</v>
      </c>
      <c r="B462" t="s">
        <v>10</v>
      </c>
      <c r="C462">
        <v>5</v>
      </c>
      <c r="D462">
        <v>1.07886649554864E-2</v>
      </c>
      <c r="E462">
        <v>878</v>
      </c>
      <c r="F462">
        <v>1.07886649554864E-2</v>
      </c>
      <c r="G462">
        <v>0.10609969637969</v>
      </c>
      <c r="H462">
        <v>5.9257820977098802E-3</v>
      </c>
      <c r="I462">
        <v>0.130606730876418</v>
      </c>
      <c r="J462">
        <v>2.2154713382222701E-2</v>
      </c>
      <c r="K462">
        <v>-5.408242654905</v>
      </c>
      <c r="L462" t="s">
        <v>29</v>
      </c>
      <c r="M462">
        <v>21</v>
      </c>
      <c r="N462" t="b">
        <v>0</v>
      </c>
      <c r="O462" t="b">
        <v>1</v>
      </c>
      <c r="P462" t="b">
        <v>1</v>
      </c>
      <c r="Q462" t="b">
        <v>1</v>
      </c>
      <c r="R462" t="b">
        <v>0</v>
      </c>
    </row>
    <row r="463" spans="1:18" x14ac:dyDescent="0.2">
      <c r="A463">
        <v>60242</v>
      </c>
      <c r="B463" t="s">
        <v>10</v>
      </c>
      <c r="C463">
        <v>93.5</v>
      </c>
      <c r="D463">
        <v>0.77508733378408801</v>
      </c>
      <c r="E463">
        <v>198</v>
      </c>
      <c r="F463">
        <v>0.77508733378408801</v>
      </c>
      <c r="G463">
        <v>0.110860424066033</v>
      </c>
      <c r="H463">
        <v>0.20170562607529999</v>
      </c>
      <c r="I463">
        <v>5.9628846921595304</v>
      </c>
      <c r="J463">
        <v>0.91039064936047398</v>
      </c>
      <c r="K463">
        <v>-5.6984299674208403</v>
      </c>
      <c r="L463" t="s">
        <v>29</v>
      </c>
      <c r="M463">
        <v>19</v>
      </c>
      <c r="N463" t="b">
        <v>0</v>
      </c>
      <c r="O463" t="b">
        <v>0</v>
      </c>
      <c r="P463" t="b">
        <v>1</v>
      </c>
      <c r="Q463" t="b">
        <v>1</v>
      </c>
      <c r="R463" t="b">
        <v>1</v>
      </c>
    </row>
    <row r="464" spans="1:18" x14ac:dyDescent="0.2">
      <c r="A464">
        <v>62777</v>
      </c>
      <c r="B464" t="s">
        <v>10</v>
      </c>
      <c r="C464">
        <v>6</v>
      </c>
      <c r="D464">
        <v>0.60654566911707597</v>
      </c>
      <c r="E464">
        <v>281</v>
      </c>
      <c r="F464">
        <v>0.60654566911707597</v>
      </c>
      <c r="G464">
        <v>0.212157309104546</v>
      </c>
      <c r="H464">
        <v>0.22697292116563</v>
      </c>
      <c r="I464">
        <v>10.574947073542001</v>
      </c>
      <c r="J464">
        <v>2.0021233831539198</v>
      </c>
      <c r="K464">
        <v>-4.9789146304868597</v>
      </c>
      <c r="L464" t="s">
        <v>29</v>
      </c>
      <c r="M464">
        <v>23</v>
      </c>
      <c r="N464" t="b">
        <v>0</v>
      </c>
      <c r="O464" t="b">
        <v>0</v>
      </c>
      <c r="P464" t="b">
        <v>1</v>
      </c>
      <c r="Q464" t="b">
        <v>1</v>
      </c>
      <c r="R464" t="b">
        <v>1</v>
      </c>
    </row>
    <row r="465" spans="1:18" x14ac:dyDescent="0.2">
      <c r="A465">
        <v>62784</v>
      </c>
      <c r="B465" t="s">
        <v>10</v>
      </c>
      <c r="C465">
        <v>16</v>
      </c>
      <c r="D465">
        <v>8.1753954902996806E-2</v>
      </c>
      <c r="E465">
        <v>311</v>
      </c>
      <c r="F465">
        <v>8.1753954902996806E-2</v>
      </c>
      <c r="G465">
        <v>0.30265875675321402</v>
      </c>
      <c r="H465">
        <v>0.20502026862037501</v>
      </c>
      <c r="I465">
        <v>15.674714633654499</v>
      </c>
      <c r="J465">
        <v>2.7990129764591498</v>
      </c>
      <c r="K465">
        <v>-5.5708783095665302</v>
      </c>
      <c r="L465" t="s">
        <v>29</v>
      </c>
      <c r="M465">
        <v>9</v>
      </c>
      <c r="N465" t="b">
        <v>0</v>
      </c>
      <c r="O465" t="b">
        <v>1</v>
      </c>
      <c r="P465" t="b">
        <v>1</v>
      </c>
      <c r="Q465" t="b">
        <v>1</v>
      </c>
      <c r="R465" t="b">
        <v>1</v>
      </c>
    </row>
    <row r="466" spans="1:18" x14ac:dyDescent="0.2">
      <c r="A466">
        <v>62807</v>
      </c>
      <c r="B466" t="s">
        <v>10</v>
      </c>
      <c r="C466">
        <v>60</v>
      </c>
      <c r="D466">
        <v>4.2763343238081702E-2</v>
      </c>
      <c r="E466">
        <v>574</v>
      </c>
      <c r="F466">
        <v>4.2763343238081702E-2</v>
      </c>
      <c r="G466">
        <v>0.21028677491461401</v>
      </c>
      <c r="H466">
        <v>0.33843331034771401</v>
      </c>
      <c r="I466">
        <v>13.240174649033801</v>
      </c>
      <c r="J466">
        <v>4.2026506245954796</v>
      </c>
      <c r="K466">
        <v>-3.1402589662246898</v>
      </c>
      <c r="L466" t="s">
        <v>29</v>
      </c>
      <c r="M466">
        <v>15</v>
      </c>
      <c r="N466" t="b">
        <v>0</v>
      </c>
      <c r="O466" t="b">
        <v>1</v>
      </c>
      <c r="P466" t="b">
        <v>1</v>
      </c>
      <c r="Q466" t="b">
        <v>1</v>
      </c>
      <c r="R466" t="b">
        <v>0</v>
      </c>
    </row>
    <row r="467" spans="1:18" x14ac:dyDescent="0.2">
      <c r="A467">
        <v>63158</v>
      </c>
      <c r="B467" t="s">
        <v>10</v>
      </c>
      <c r="C467">
        <v>18</v>
      </c>
      <c r="D467">
        <v>0.79689200787600301</v>
      </c>
      <c r="E467">
        <v>405</v>
      </c>
      <c r="F467">
        <v>0.79689200787600301</v>
      </c>
      <c r="G467">
        <v>0.25232356281178497</v>
      </c>
      <c r="H467">
        <v>0.114210281165828</v>
      </c>
      <c r="I467">
        <v>6.87463826929873</v>
      </c>
      <c r="J467">
        <v>1.1705386132854601</v>
      </c>
      <c r="K467">
        <v>-5.1922646484627899</v>
      </c>
      <c r="L467" s="5" t="s">
        <v>29</v>
      </c>
      <c r="M467" s="5">
        <v>9</v>
      </c>
      <c r="N467" t="b">
        <v>0</v>
      </c>
      <c r="O467" t="b">
        <v>0</v>
      </c>
      <c r="P467" t="b">
        <v>1</v>
      </c>
      <c r="Q467" t="b">
        <v>1</v>
      </c>
      <c r="R467" t="b">
        <v>1</v>
      </c>
    </row>
    <row r="468" spans="1:18" x14ac:dyDescent="0.2">
      <c r="A468">
        <v>63233</v>
      </c>
      <c r="B468" t="s">
        <v>10</v>
      </c>
      <c r="C468">
        <v>70.5</v>
      </c>
      <c r="D468">
        <v>2.9685863874345599E-2</v>
      </c>
      <c r="E468">
        <v>209</v>
      </c>
      <c r="F468">
        <v>2.9685863874345599E-2</v>
      </c>
      <c r="G468">
        <v>0.100026400578132</v>
      </c>
      <c r="H468">
        <v>0.119769746837426</v>
      </c>
      <c r="I468">
        <v>2.7461419985557001</v>
      </c>
      <c r="J468">
        <v>0.48141488542788902</v>
      </c>
      <c r="K468">
        <v>-5.6426508961535804</v>
      </c>
      <c r="L468" t="s">
        <v>29</v>
      </c>
      <c r="M468">
        <v>16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</row>
  </sheetData>
  <conditionalFormatting sqref="N2:R468">
    <cfRule type="containsText" dxfId="13" priority="57" operator="containsText" text="FALSE">
      <formula>NOT(ISERROR(SEARCH("FALSE",N2)))</formula>
    </cfRule>
    <cfRule type="containsText" dxfId="12" priority="58" operator="containsText" text="TRUE">
      <formula>NOT(ISERROR(SEARCH("TRUE",N2)))</formula>
    </cfRule>
    <cfRule type="colorScale" priority="59">
      <colorScale>
        <cfvo type="formula" val="TRUE"/>
        <cfvo type="formula" val="FALSE"/>
        <color rgb="FF00B050"/>
        <color rgb="FFFF0000"/>
      </colorScale>
    </cfRule>
  </conditionalFormatting>
  <conditionalFormatting sqref="V22:AB2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:AA2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:AA2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:AB2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:AA2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:AB2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:AB2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3:AB2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AB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4:AB1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:AC2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:AC1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:AC1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:AC1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:AC1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8:AB5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9:AA5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2:AA5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8:AB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8:AA5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8:AB5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8:AB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9:AB5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0:A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8:AB5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7922-E715-4641-BE00-09DC0BDA3C22}">
  <dimension ref="A1:R468"/>
  <sheetViews>
    <sheetView tabSelected="1" workbookViewId="0">
      <pane ySplit="1" topLeftCell="A324" activePane="bottomLeft" state="frozen"/>
      <selection pane="bottomLeft" activeCell="D353" sqref="D353"/>
    </sheetView>
  </sheetViews>
  <sheetFormatPr baseColWidth="10" defaultRowHeight="16" x14ac:dyDescent="0.2"/>
  <cols>
    <col min="11" max="11" width="13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4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s="3" t="s">
        <v>27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</v>
      </c>
      <c r="R1" t="s">
        <v>44</v>
      </c>
    </row>
    <row r="2" spans="1:18" x14ac:dyDescent="0.2">
      <c r="A2">
        <v>30681</v>
      </c>
      <c r="B2" t="s">
        <v>10</v>
      </c>
      <c r="C2">
        <v>257</v>
      </c>
      <c r="D2">
        <v>553</v>
      </c>
      <c r="E2">
        <v>1.03332131067731</v>
      </c>
      <c r="F2">
        <v>0.17095074347165701</v>
      </c>
      <c r="G2">
        <v>0.20425149804165799</v>
      </c>
      <c r="H2">
        <v>9.56814684115845</v>
      </c>
      <c r="I2">
        <v>1.51431490682987</v>
      </c>
      <c r="J2">
        <v>-5.6360968857846796</v>
      </c>
      <c r="K2">
        <v>9</v>
      </c>
      <c r="L2" t="b">
        <v>1</v>
      </c>
      <c r="M2" t="b">
        <v>0</v>
      </c>
      <c r="N2" t="b">
        <v>1</v>
      </c>
      <c r="O2" t="b">
        <v>1</v>
      </c>
      <c r="P2" t="b">
        <v>0</v>
      </c>
      <c r="Q2" t="s">
        <v>10</v>
      </c>
      <c r="R2">
        <f>SUM(M2+P2)</f>
        <v>0</v>
      </c>
    </row>
    <row r="3" spans="1:18" x14ac:dyDescent="0.2">
      <c r="A3">
        <v>32074</v>
      </c>
      <c r="B3" t="s">
        <v>10</v>
      </c>
      <c r="C3">
        <v>5520</v>
      </c>
      <c r="D3">
        <v>505</v>
      </c>
      <c r="E3">
        <v>0.23631225537554501</v>
      </c>
      <c r="F3">
        <v>2.8806737751929899E-2</v>
      </c>
      <c r="G3">
        <v>6.0757451913032598E-2</v>
      </c>
      <c r="H3">
        <v>0.44228237664657</v>
      </c>
      <c r="I3">
        <v>6.8186997843531105E-2</v>
      </c>
      <c r="J3">
        <v>-3.0206656369248801</v>
      </c>
      <c r="K3" s="5">
        <v>13</v>
      </c>
      <c r="L3" t="b">
        <v>1</v>
      </c>
      <c r="M3" t="b">
        <v>0</v>
      </c>
      <c r="N3" t="b">
        <v>0</v>
      </c>
      <c r="O3" t="b">
        <v>1</v>
      </c>
      <c r="P3" t="b">
        <v>0</v>
      </c>
      <c r="Q3" t="s">
        <v>10</v>
      </c>
      <c r="R3">
        <f>SUM(M3+P3)</f>
        <v>0</v>
      </c>
    </row>
    <row r="4" spans="1:18" x14ac:dyDescent="0.2">
      <c r="A4">
        <v>33010</v>
      </c>
      <c r="B4" t="s">
        <v>11</v>
      </c>
      <c r="C4">
        <v>2437.5</v>
      </c>
      <c r="D4">
        <v>682</v>
      </c>
      <c r="E4">
        <v>0.84104990100689003</v>
      </c>
      <c r="F4">
        <v>8.5536872157406393E-2</v>
      </c>
      <c r="G4">
        <v>9.5146842711177904E-2</v>
      </c>
      <c r="H4">
        <v>2.0999083283550899</v>
      </c>
      <c r="I4">
        <v>0.32064391415096399</v>
      </c>
      <c r="J4">
        <v>-3.9260324983293402</v>
      </c>
      <c r="K4">
        <v>21</v>
      </c>
      <c r="L4" t="b">
        <v>1</v>
      </c>
      <c r="M4" t="b">
        <v>0</v>
      </c>
      <c r="N4" t="b">
        <v>1</v>
      </c>
      <c r="O4" t="b">
        <v>1</v>
      </c>
      <c r="P4" t="b">
        <v>0</v>
      </c>
      <c r="Q4" t="s">
        <v>11</v>
      </c>
      <c r="R4">
        <f>SUM(M4+P4)</f>
        <v>0</v>
      </c>
    </row>
    <row r="5" spans="1:18" x14ac:dyDescent="0.2">
      <c r="A5">
        <v>34433</v>
      </c>
      <c r="B5" t="s">
        <v>11</v>
      </c>
      <c r="C5">
        <v>326</v>
      </c>
      <c r="D5">
        <v>551</v>
      </c>
      <c r="E5">
        <v>0.419557681832123</v>
      </c>
      <c r="F5">
        <v>0.28796991000361499</v>
      </c>
      <c r="G5">
        <v>6.27979196801106E-2</v>
      </c>
      <c r="H5">
        <v>4.5482354407846897</v>
      </c>
      <c r="I5">
        <v>0.79893258377836096</v>
      </c>
      <c r="J5">
        <v>-5.1677423637260702</v>
      </c>
      <c r="K5">
        <v>15</v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s">
        <v>11</v>
      </c>
      <c r="R5">
        <f>SUM(M5+P5)</f>
        <v>0</v>
      </c>
    </row>
    <row r="6" spans="1:18" x14ac:dyDescent="0.2">
      <c r="A6">
        <v>34464</v>
      </c>
      <c r="B6" t="s">
        <v>11</v>
      </c>
      <c r="C6">
        <v>16462.5</v>
      </c>
      <c r="D6">
        <v>538</v>
      </c>
      <c r="E6">
        <v>0.56664153718514698</v>
      </c>
      <c r="F6">
        <v>0.25797299950271702</v>
      </c>
      <c r="G6">
        <v>5.5902614525532399E-2</v>
      </c>
      <c r="H6">
        <v>3.43764747479507</v>
      </c>
      <c r="I6">
        <v>0.59055951662211503</v>
      </c>
      <c r="J6">
        <v>-4.8615014351669696</v>
      </c>
      <c r="K6" s="5">
        <v>12</v>
      </c>
      <c r="L6" t="b">
        <v>1</v>
      </c>
      <c r="M6" t="b">
        <v>0</v>
      </c>
      <c r="N6" t="b">
        <v>1</v>
      </c>
      <c r="O6" t="b">
        <v>1</v>
      </c>
      <c r="P6" t="b">
        <v>0</v>
      </c>
      <c r="Q6" t="s">
        <v>11</v>
      </c>
      <c r="R6">
        <f>SUM(M6+P6)</f>
        <v>0</v>
      </c>
    </row>
    <row r="7" spans="1:18" x14ac:dyDescent="0.2">
      <c r="A7">
        <v>45363</v>
      </c>
      <c r="B7" t="s">
        <v>11</v>
      </c>
      <c r="C7">
        <v>6937.5</v>
      </c>
      <c r="D7">
        <v>2053</v>
      </c>
      <c r="E7">
        <v>0.46606989157973899</v>
      </c>
      <c r="F7">
        <v>7.8204852709564093E-2</v>
      </c>
      <c r="G7">
        <v>9.45936778302464E-2</v>
      </c>
      <c r="H7">
        <v>0.62342170757709603</v>
      </c>
      <c r="I7">
        <v>0.26805591790053301</v>
      </c>
      <c r="J7">
        <v>-0.58701116255804797</v>
      </c>
      <c r="K7">
        <v>42</v>
      </c>
      <c r="L7" t="b">
        <v>1</v>
      </c>
      <c r="M7" t="b">
        <v>0</v>
      </c>
      <c r="N7" t="b">
        <v>1</v>
      </c>
      <c r="O7" t="b">
        <v>0</v>
      </c>
      <c r="P7" t="b">
        <v>0</v>
      </c>
      <c r="Q7" t="s">
        <v>11</v>
      </c>
      <c r="R7">
        <f>SUM(M7+P7)</f>
        <v>0</v>
      </c>
    </row>
    <row r="8" spans="1:18" x14ac:dyDescent="0.2">
      <c r="A8">
        <v>56211</v>
      </c>
      <c r="B8" t="s">
        <v>10</v>
      </c>
      <c r="C8">
        <v>7080</v>
      </c>
      <c r="D8">
        <v>2272</v>
      </c>
      <c r="E8">
        <v>0.60783496194681996</v>
      </c>
      <c r="F8">
        <v>7.1056907135929701E-2</v>
      </c>
      <c r="G8">
        <v>0.11122091603697699</v>
      </c>
      <c r="H8">
        <v>1.0748965267664199</v>
      </c>
      <c r="I8">
        <v>0.35893575530634497</v>
      </c>
      <c r="J8">
        <v>-1.30124000720121</v>
      </c>
      <c r="K8">
        <v>9</v>
      </c>
      <c r="L8" t="b">
        <v>1</v>
      </c>
      <c r="M8" t="b">
        <v>0</v>
      </c>
      <c r="N8" t="b">
        <v>1</v>
      </c>
      <c r="O8" t="b">
        <v>0</v>
      </c>
      <c r="P8" t="b">
        <v>0</v>
      </c>
      <c r="Q8" t="s">
        <v>10</v>
      </c>
      <c r="R8">
        <f>SUM(M8+P8)</f>
        <v>0</v>
      </c>
    </row>
    <row r="9" spans="1:18" x14ac:dyDescent="0.2">
      <c r="A9">
        <v>60246</v>
      </c>
      <c r="B9" t="s">
        <v>10</v>
      </c>
      <c r="C9">
        <v>22</v>
      </c>
      <c r="D9">
        <v>552</v>
      </c>
      <c r="E9">
        <v>0.62960104066744105</v>
      </c>
      <c r="F9">
        <v>0.27016027858665997</v>
      </c>
      <c r="G9">
        <v>0.22444515765546699</v>
      </c>
      <c r="H9">
        <v>13.752036611306901</v>
      </c>
      <c r="I9">
        <v>2.5320649758585199</v>
      </c>
      <c r="J9">
        <v>-5.1825034885568897</v>
      </c>
      <c r="K9">
        <v>26</v>
      </c>
      <c r="L9" t="b">
        <v>1</v>
      </c>
      <c r="M9" t="b">
        <v>0</v>
      </c>
      <c r="N9" t="b">
        <v>1</v>
      </c>
      <c r="O9" t="b">
        <v>1</v>
      </c>
      <c r="P9" t="b">
        <v>0</v>
      </c>
      <c r="Q9" t="s">
        <v>10</v>
      </c>
      <c r="R9">
        <f>SUM(M9+P9)</f>
        <v>0</v>
      </c>
    </row>
    <row r="10" spans="1:18" x14ac:dyDescent="0.2">
      <c r="A10">
        <v>62899</v>
      </c>
      <c r="B10" t="s">
        <v>10</v>
      </c>
      <c r="C10">
        <v>203</v>
      </c>
      <c r="D10">
        <v>505</v>
      </c>
      <c r="E10">
        <v>0.99989622706412595</v>
      </c>
      <c r="F10">
        <v>0.17337411459892099</v>
      </c>
      <c r="G10">
        <v>0.17955052275681099</v>
      </c>
      <c r="H10">
        <v>8.1694184421165499</v>
      </c>
      <c r="I10">
        <v>1.2155595030516599</v>
      </c>
      <c r="J10">
        <v>-5.8981252641712203</v>
      </c>
      <c r="K10">
        <v>28</v>
      </c>
      <c r="L10" t="b">
        <v>1</v>
      </c>
      <c r="M10" t="b">
        <v>0</v>
      </c>
      <c r="N10" t="b">
        <v>1</v>
      </c>
      <c r="O10" t="b">
        <v>1</v>
      </c>
      <c r="P10" t="b">
        <v>0</v>
      </c>
      <c r="Q10" t="s">
        <v>10</v>
      </c>
      <c r="R10">
        <f>SUM(M10+P10)</f>
        <v>0</v>
      </c>
    </row>
    <row r="11" spans="1:18" x14ac:dyDescent="0.2">
      <c r="A11">
        <v>28803</v>
      </c>
      <c r="B11" t="s">
        <v>10</v>
      </c>
      <c r="C11">
        <v>5796</v>
      </c>
      <c r="D11">
        <v>953</v>
      </c>
      <c r="E11">
        <v>1.4737162298414599</v>
      </c>
      <c r="F11">
        <v>0.40218304072419703</v>
      </c>
      <c r="G11">
        <v>0.328627475379066</v>
      </c>
      <c r="H11">
        <v>26.879084373620401</v>
      </c>
      <c r="I11">
        <v>6.04493440044783</v>
      </c>
      <c r="J11">
        <v>-4.2027533238238099</v>
      </c>
      <c r="K11">
        <v>33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s">
        <v>10</v>
      </c>
      <c r="R11">
        <f>SUM(M11+P11)</f>
        <v>0</v>
      </c>
    </row>
    <row r="12" spans="1:18" x14ac:dyDescent="0.2">
      <c r="A12">
        <v>29324</v>
      </c>
      <c r="B12" t="s">
        <v>10</v>
      </c>
      <c r="C12">
        <v>8086.5</v>
      </c>
      <c r="D12">
        <v>570</v>
      </c>
      <c r="E12">
        <v>2.9521530105896101</v>
      </c>
      <c r="F12">
        <v>0.18355068509452899</v>
      </c>
      <c r="G12">
        <v>0.20798720563552101</v>
      </c>
      <c r="H12">
        <v>9.8646500289351895</v>
      </c>
      <c r="I12">
        <v>1.54014209586257</v>
      </c>
      <c r="J12">
        <v>-4.48822029922776</v>
      </c>
      <c r="K12">
        <v>42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s">
        <v>10</v>
      </c>
      <c r="R12">
        <f>SUM(M12+P12)</f>
        <v>0</v>
      </c>
    </row>
    <row r="13" spans="1:18" x14ac:dyDescent="0.2">
      <c r="A13">
        <v>29400</v>
      </c>
      <c r="B13" t="s">
        <v>10</v>
      </c>
      <c r="C13">
        <v>12024.5</v>
      </c>
      <c r="D13">
        <v>673</v>
      </c>
      <c r="E13">
        <v>1.3204763586884301</v>
      </c>
      <c r="F13">
        <v>0.28881761714975801</v>
      </c>
      <c r="G13">
        <v>0.191817623449027</v>
      </c>
      <c r="H13">
        <v>13.9161615879121</v>
      </c>
      <c r="I13">
        <v>2.3695613840887799</v>
      </c>
      <c r="J13">
        <v>-5.3156188794270696</v>
      </c>
      <c r="K13">
        <v>36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s">
        <v>10</v>
      </c>
      <c r="R13">
        <f>SUM(M13+P13)</f>
        <v>0</v>
      </c>
    </row>
    <row r="14" spans="1:18" x14ac:dyDescent="0.2">
      <c r="A14">
        <v>32145</v>
      </c>
      <c r="B14" t="s">
        <v>11</v>
      </c>
      <c r="C14">
        <v>7680.5</v>
      </c>
      <c r="D14">
        <v>1893</v>
      </c>
      <c r="E14">
        <v>0.30833666763664602</v>
      </c>
      <c r="F14">
        <v>4.3653136452259503E-2</v>
      </c>
      <c r="G14">
        <v>6.3740301517360001E-2</v>
      </c>
      <c r="H14">
        <v>0.40263824021533501</v>
      </c>
      <c r="I14">
        <v>0.114600594316089</v>
      </c>
      <c r="J14">
        <v>-0.82287158405644301</v>
      </c>
      <c r="K14">
        <v>38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s">
        <v>11</v>
      </c>
      <c r="R14">
        <f>SUM(M14+P14)</f>
        <v>0</v>
      </c>
    </row>
    <row r="15" spans="1:18" x14ac:dyDescent="0.2">
      <c r="A15">
        <v>34096</v>
      </c>
      <c r="B15" t="s">
        <v>11</v>
      </c>
      <c r="C15">
        <v>6822.5</v>
      </c>
      <c r="D15">
        <v>674</v>
      </c>
      <c r="E15">
        <v>0.68040316962730796</v>
      </c>
      <c r="F15">
        <v>0.23395282522988001</v>
      </c>
      <c r="G15">
        <v>7.3694119729498395E-2</v>
      </c>
      <c r="H15">
        <v>3.9965601313573198</v>
      </c>
      <c r="I15">
        <v>0.70499828791071995</v>
      </c>
      <c r="J15">
        <v>-4.7037801631512197</v>
      </c>
      <c r="K15">
        <v>23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s">
        <v>11</v>
      </c>
      <c r="R15">
        <f>SUM(M15+P15)</f>
        <v>0</v>
      </c>
    </row>
    <row r="16" spans="1:18" x14ac:dyDescent="0.2">
      <c r="A16">
        <v>34757</v>
      </c>
      <c r="B16" t="s">
        <v>11</v>
      </c>
      <c r="C16">
        <v>22080.5</v>
      </c>
      <c r="D16">
        <v>1731</v>
      </c>
      <c r="E16">
        <v>0.84228738792617197</v>
      </c>
      <c r="F16">
        <v>0.107246793376698</v>
      </c>
      <c r="G16">
        <v>9.90758264548985E-2</v>
      </c>
      <c r="H16">
        <v>1.3115015963227099</v>
      </c>
      <c r="I16">
        <v>0.38588234211504302</v>
      </c>
      <c r="J16">
        <v>-1.21595148880032</v>
      </c>
      <c r="K16" s="5">
        <v>19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s">
        <v>11</v>
      </c>
      <c r="R16">
        <f>SUM(M16+P16)</f>
        <v>0</v>
      </c>
    </row>
    <row r="17" spans="1:18" x14ac:dyDescent="0.2">
      <c r="A17">
        <v>34966</v>
      </c>
      <c r="B17" t="s">
        <v>11</v>
      </c>
      <c r="C17">
        <v>4618</v>
      </c>
      <c r="D17">
        <v>2367</v>
      </c>
      <c r="E17">
        <v>0.235965834623411</v>
      </c>
      <c r="F17">
        <v>7.1389274920245993E-2</v>
      </c>
      <c r="G17">
        <v>2.4430925877764499E-2</v>
      </c>
      <c r="H17">
        <v>0.281468201574124</v>
      </c>
      <c r="I17">
        <v>8.4714326155286804E-2</v>
      </c>
      <c r="J17">
        <v>-0.53712717807969601</v>
      </c>
      <c r="K17">
        <v>29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s">
        <v>11</v>
      </c>
      <c r="R17">
        <f>SUM(M17+P17)</f>
        <v>0</v>
      </c>
    </row>
    <row r="18" spans="1:18" x14ac:dyDescent="0.2">
      <c r="A18">
        <v>35556</v>
      </c>
      <c r="B18" t="s">
        <v>11</v>
      </c>
      <c r="C18">
        <v>723</v>
      </c>
      <c r="D18">
        <v>2049</v>
      </c>
      <c r="E18">
        <v>0.23865059704764099</v>
      </c>
      <c r="F18">
        <v>9.3727345118406996E-2</v>
      </c>
      <c r="G18">
        <v>5.758122957839E-2</v>
      </c>
      <c r="H18">
        <v>0.59043212212224405</v>
      </c>
      <c r="I18">
        <v>0.18870188871020599</v>
      </c>
      <c r="J18">
        <v>-1.8642183577443801</v>
      </c>
      <c r="K18">
        <v>28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s">
        <v>11</v>
      </c>
      <c r="R18">
        <f>SUM(M18+P18)</f>
        <v>0</v>
      </c>
    </row>
    <row r="19" spans="1:18" x14ac:dyDescent="0.2">
      <c r="A19">
        <v>35732</v>
      </c>
      <c r="B19" t="s">
        <v>11</v>
      </c>
      <c r="C19">
        <v>9644.5</v>
      </c>
      <c r="D19">
        <v>1335</v>
      </c>
      <c r="E19">
        <v>0.34728084609147702</v>
      </c>
      <c r="F19">
        <v>3.1859126260606697E-2</v>
      </c>
      <c r="G19">
        <v>0.16710049609565999</v>
      </c>
      <c r="H19">
        <v>0.68665156853627096</v>
      </c>
      <c r="I19">
        <v>0.167110751569609</v>
      </c>
      <c r="J19">
        <v>-2.0308132137352701</v>
      </c>
      <c r="K19">
        <v>12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s">
        <v>11</v>
      </c>
      <c r="R19">
        <f>SUM(M19+P19)</f>
        <v>0</v>
      </c>
    </row>
    <row r="20" spans="1:18" x14ac:dyDescent="0.2">
      <c r="A20">
        <v>36062</v>
      </c>
      <c r="B20" t="s">
        <v>11</v>
      </c>
      <c r="C20">
        <v>846.5</v>
      </c>
      <c r="D20">
        <v>1318</v>
      </c>
      <c r="E20">
        <v>0.97381622447271499</v>
      </c>
      <c r="F20">
        <v>7.9093587905948795E-2</v>
      </c>
      <c r="G20">
        <v>0.15697080352418299</v>
      </c>
      <c r="H20">
        <v>2.3793276295494801</v>
      </c>
      <c r="I20">
        <v>0.55717312370904304</v>
      </c>
      <c r="J20">
        <v>-2.5225757404097702</v>
      </c>
      <c r="K20">
        <v>25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s">
        <v>11</v>
      </c>
      <c r="R20">
        <f>SUM(M20+P20)</f>
        <v>0</v>
      </c>
    </row>
    <row r="21" spans="1:18" x14ac:dyDescent="0.2">
      <c r="A21">
        <v>36067</v>
      </c>
      <c r="B21" t="s">
        <v>11</v>
      </c>
      <c r="C21">
        <v>28137</v>
      </c>
      <c r="D21">
        <v>669</v>
      </c>
      <c r="E21">
        <v>1.3200485955291299</v>
      </c>
      <c r="F21">
        <v>0.114272014265386</v>
      </c>
      <c r="G21">
        <v>0.11673041164430301</v>
      </c>
      <c r="H21">
        <v>3.50443938542803</v>
      </c>
      <c r="I21">
        <v>0.50924102527832904</v>
      </c>
      <c r="J21">
        <v>-4.2895027726900103</v>
      </c>
      <c r="K21">
        <v>12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s">
        <v>11</v>
      </c>
      <c r="R21">
        <f>SUM(M21+P21)</f>
        <v>0</v>
      </c>
    </row>
    <row r="22" spans="1:18" x14ac:dyDescent="0.2">
      <c r="A22">
        <v>36096</v>
      </c>
      <c r="B22" t="s">
        <v>11</v>
      </c>
      <c r="C22">
        <v>15050</v>
      </c>
      <c r="D22">
        <v>2534</v>
      </c>
      <c r="E22">
        <v>0.60209106162834403</v>
      </c>
      <c r="F22">
        <v>0.120820476382516</v>
      </c>
      <c r="G22">
        <v>8.7906027920424207E-2</v>
      </c>
      <c r="H22">
        <v>0.98259056502733</v>
      </c>
      <c r="I22">
        <v>0.36161065939527998</v>
      </c>
      <c r="J22">
        <v>-1.0522353075412501</v>
      </c>
      <c r="K22">
        <v>11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s">
        <v>11</v>
      </c>
      <c r="R22">
        <f>SUM(M22+P22)</f>
        <v>0</v>
      </c>
    </row>
    <row r="23" spans="1:18" x14ac:dyDescent="0.2">
      <c r="A23">
        <v>36828</v>
      </c>
      <c r="B23" t="s">
        <v>11</v>
      </c>
      <c r="C23">
        <v>1552</v>
      </c>
      <c r="D23">
        <v>2066</v>
      </c>
      <c r="E23">
        <v>1.6036510695266999</v>
      </c>
      <c r="F23">
        <v>0.125996986404459</v>
      </c>
      <c r="G23">
        <v>0.136697099763715</v>
      </c>
      <c r="H23">
        <v>3.4205091650796402</v>
      </c>
      <c r="I23">
        <v>0.79741199634788595</v>
      </c>
      <c r="J23">
        <v>-2.2784433942229101</v>
      </c>
      <c r="K23">
        <v>11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s">
        <v>11</v>
      </c>
      <c r="R23">
        <f>SUM(M23+P23)</f>
        <v>0</v>
      </c>
    </row>
    <row r="24" spans="1:18" x14ac:dyDescent="0.2">
      <c r="A24">
        <v>38175</v>
      </c>
      <c r="B24" t="s">
        <v>11</v>
      </c>
      <c r="C24">
        <v>3721</v>
      </c>
      <c r="D24">
        <v>1464</v>
      </c>
      <c r="E24">
        <v>1.4338737038163101</v>
      </c>
      <c r="F24">
        <v>0.110971257080602</v>
      </c>
      <c r="G24">
        <v>0.123443883334434</v>
      </c>
      <c r="H24">
        <v>3.23799528164795</v>
      </c>
      <c r="I24">
        <v>0.54043015426340402</v>
      </c>
      <c r="J24">
        <v>-3.3383066499881302</v>
      </c>
      <c r="K24">
        <v>21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s">
        <v>11</v>
      </c>
      <c r="R24">
        <f>SUM(M24+P24)</f>
        <v>0</v>
      </c>
    </row>
    <row r="25" spans="1:18" x14ac:dyDescent="0.2">
      <c r="A25">
        <v>38626</v>
      </c>
      <c r="B25" t="s">
        <v>11</v>
      </c>
      <c r="C25">
        <v>4784</v>
      </c>
      <c r="D25">
        <v>1616</v>
      </c>
      <c r="E25">
        <v>0.27559909346287398</v>
      </c>
      <c r="F25">
        <v>7.3469853833288495E-2</v>
      </c>
      <c r="G25">
        <v>8.6732360837628197E-2</v>
      </c>
      <c r="H25">
        <v>0.56133038195083396</v>
      </c>
      <c r="I25">
        <v>0.20558744738179399</v>
      </c>
      <c r="J25">
        <v>-1.38982847506897</v>
      </c>
      <c r="K25">
        <v>35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s">
        <v>11</v>
      </c>
      <c r="R25">
        <f>SUM(M25+P25)</f>
        <v>0</v>
      </c>
    </row>
    <row r="26" spans="1:18" x14ac:dyDescent="0.2">
      <c r="A26">
        <v>38750</v>
      </c>
      <c r="B26" t="s">
        <v>11</v>
      </c>
      <c r="C26">
        <v>53747</v>
      </c>
      <c r="D26">
        <v>1711</v>
      </c>
      <c r="E26">
        <v>0.86790357401278695</v>
      </c>
      <c r="F26">
        <v>0.120955453628822</v>
      </c>
      <c r="G26">
        <v>8.3077459576768695E-2</v>
      </c>
      <c r="H26">
        <v>1.80438822795452</v>
      </c>
      <c r="I26">
        <v>0.43369504086442801</v>
      </c>
      <c r="J26">
        <v>-2.1593160301652499</v>
      </c>
      <c r="K26">
        <v>35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s">
        <v>11</v>
      </c>
      <c r="R26">
        <f>SUM(M26+P26)</f>
        <v>0</v>
      </c>
    </row>
    <row r="27" spans="1:18" x14ac:dyDescent="0.2">
      <c r="A27">
        <v>38862</v>
      </c>
      <c r="B27" t="s">
        <v>11</v>
      </c>
      <c r="C27">
        <v>8952</v>
      </c>
      <c r="D27">
        <v>2284</v>
      </c>
      <c r="E27">
        <v>0.34309504809105801</v>
      </c>
      <c r="F27">
        <v>6.3453005967351706E-2</v>
      </c>
      <c r="G27">
        <v>4.5604444141025297E-2</v>
      </c>
      <c r="H27">
        <v>0.53786675556862296</v>
      </c>
      <c r="I27">
        <v>0.142043795028618</v>
      </c>
      <c r="J27">
        <v>-1.3712088404729199</v>
      </c>
      <c r="K27">
        <v>35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s">
        <v>11</v>
      </c>
      <c r="R27">
        <f>SUM(M27+P27)</f>
        <v>0</v>
      </c>
    </row>
    <row r="28" spans="1:18" x14ac:dyDescent="0.2">
      <c r="A28">
        <v>40867</v>
      </c>
      <c r="B28" t="s">
        <v>10</v>
      </c>
      <c r="C28">
        <v>2336</v>
      </c>
      <c r="D28">
        <v>509</v>
      </c>
      <c r="E28">
        <v>1.7871933202005701</v>
      </c>
      <c r="F28">
        <v>0.24737215871753299</v>
      </c>
      <c r="G28">
        <v>0.168020874231083</v>
      </c>
      <c r="H28">
        <v>10.080851279595</v>
      </c>
      <c r="I28">
        <v>1.6225626195340099</v>
      </c>
      <c r="J28">
        <v>-5.11145632196083</v>
      </c>
      <c r="K28">
        <v>30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s">
        <v>10</v>
      </c>
      <c r="R28">
        <f>SUM(M28+P28)</f>
        <v>0</v>
      </c>
    </row>
    <row r="29" spans="1:18" x14ac:dyDescent="0.2">
      <c r="A29">
        <v>44453</v>
      </c>
      <c r="B29" t="s">
        <v>11</v>
      </c>
      <c r="C29">
        <v>103</v>
      </c>
      <c r="D29">
        <v>1998</v>
      </c>
      <c r="E29">
        <v>0.42272167043327502</v>
      </c>
      <c r="F29">
        <v>7.1928541376675606E-2</v>
      </c>
      <c r="G29">
        <v>0.136164963047263</v>
      </c>
      <c r="H29">
        <v>1.24693098900724</v>
      </c>
      <c r="I29">
        <v>0.41847824968534902</v>
      </c>
      <c r="J29">
        <v>-1.9695392035157999</v>
      </c>
      <c r="K29">
        <v>26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s">
        <v>11</v>
      </c>
      <c r="R29">
        <f>SUM(M29+P29)</f>
        <v>0</v>
      </c>
    </row>
    <row r="30" spans="1:18" x14ac:dyDescent="0.2">
      <c r="A30">
        <v>44540</v>
      </c>
      <c r="B30" t="s">
        <v>11</v>
      </c>
      <c r="C30">
        <v>18537</v>
      </c>
      <c r="D30">
        <v>654</v>
      </c>
      <c r="E30">
        <v>2.6699391902021898</v>
      </c>
      <c r="F30">
        <v>0.16106165672498499</v>
      </c>
      <c r="G30">
        <v>0.209674977259699</v>
      </c>
      <c r="H30">
        <v>8.9225981981832394</v>
      </c>
      <c r="I30">
        <v>1.4318754622264001</v>
      </c>
      <c r="J30">
        <v>-4.3667617561229104</v>
      </c>
      <c r="K30">
        <v>9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s">
        <v>11</v>
      </c>
      <c r="R30">
        <f>SUM(M30+P30)</f>
        <v>0</v>
      </c>
    </row>
    <row r="31" spans="1:18" x14ac:dyDescent="0.2">
      <c r="A31">
        <v>44582</v>
      </c>
      <c r="B31" t="s">
        <v>11</v>
      </c>
      <c r="C31">
        <v>2340</v>
      </c>
      <c r="D31">
        <v>564</v>
      </c>
      <c r="E31">
        <v>0.237713437102545</v>
      </c>
      <c r="F31">
        <v>0.154427814604645</v>
      </c>
      <c r="G31">
        <v>5.7407027062076899E-2</v>
      </c>
      <c r="H31">
        <v>2.1967627978684501</v>
      </c>
      <c r="I31">
        <v>0.37658521758777702</v>
      </c>
      <c r="J31">
        <v>-5.2021408947346197</v>
      </c>
      <c r="K31">
        <v>9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s">
        <v>11</v>
      </c>
      <c r="R31">
        <f>SUM(M31+P31)</f>
        <v>0</v>
      </c>
    </row>
    <row r="32" spans="1:18" x14ac:dyDescent="0.2">
      <c r="A32">
        <v>44733</v>
      </c>
      <c r="B32" t="s">
        <v>11</v>
      </c>
      <c r="C32">
        <v>66</v>
      </c>
      <c r="D32">
        <v>604</v>
      </c>
      <c r="E32">
        <v>2.3221114750458098</v>
      </c>
      <c r="F32">
        <v>0.21509741899896501</v>
      </c>
      <c r="G32">
        <v>0.22178427900463901</v>
      </c>
      <c r="H32">
        <v>11.0857233568833</v>
      </c>
      <c r="I32">
        <v>1.7730592715021101</v>
      </c>
      <c r="J32">
        <v>-4.9426502670793502</v>
      </c>
      <c r="K32">
        <v>28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s">
        <v>11</v>
      </c>
      <c r="R32">
        <f>SUM(M32+P32)</f>
        <v>0</v>
      </c>
    </row>
    <row r="33" spans="1:18" x14ac:dyDescent="0.2">
      <c r="A33">
        <v>45280</v>
      </c>
      <c r="B33" t="s">
        <v>11</v>
      </c>
      <c r="C33">
        <v>9975</v>
      </c>
      <c r="D33">
        <v>1205</v>
      </c>
      <c r="E33">
        <v>0.28705980212159299</v>
      </c>
      <c r="F33">
        <v>6.0905145535935998E-2</v>
      </c>
      <c r="G33">
        <v>7.4070233097180097E-2</v>
      </c>
      <c r="H33">
        <v>0.92333332759021503</v>
      </c>
      <c r="I33">
        <v>0.18444173955034601</v>
      </c>
      <c r="J33">
        <v>-3.4497263310344199</v>
      </c>
      <c r="K33">
        <v>12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s">
        <v>11</v>
      </c>
      <c r="R33">
        <f>SUM(M33+P33)</f>
        <v>0</v>
      </c>
    </row>
    <row r="34" spans="1:18" x14ac:dyDescent="0.2">
      <c r="A34">
        <v>45714</v>
      </c>
      <c r="B34" t="s">
        <v>11</v>
      </c>
      <c r="C34">
        <v>38292.5</v>
      </c>
      <c r="D34">
        <v>1942</v>
      </c>
      <c r="E34">
        <v>4.0345069949886598</v>
      </c>
      <c r="F34">
        <v>0.22008745619572101</v>
      </c>
      <c r="G34">
        <v>0.20842153591562801</v>
      </c>
      <c r="H34">
        <v>11.407272581303699</v>
      </c>
      <c r="I34">
        <v>1.86167342427797</v>
      </c>
      <c r="J34">
        <v>-3.96028943109315</v>
      </c>
      <c r="K34">
        <v>20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s">
        <v>11</v>
      </c>
      <c r="R34">
        <f>SUM(M34+P34)</f>
        <v>0</v>
      </c>
    </row>
    <row r="35" spans="1:18" x14ac:dyDescent="0.2">
      <c r="A35">
        <v>46130</v>
      </c>
      <c r="B35" t="s">
        <v>11</v>
      </c>
      <c r="C35">
        <v>20469.5</v>
      </c>
      <c r="D35">
        <v>1430</v>
      </c>
      <c r="E35">
        <v>1.21462022762364</v>
      </c>
      <c r="F35">
        <v>0.11493779429393</v>
      </c>
      <c r="G35">
        <v>0.23268161701005199</v>
      </c>
      <c r="H35">
        <v>1.42836886236431</v>
      </c>
      <c r="I35">
        <v>0.464912644489756</v>
      </c>
      <c r="J35">
        <v>-0.45976085459079702</v>
      </c>
      <c r="K35">
        <v>21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s">
        <v>11</v>
      </c>
      <c r="R35">
        <f>SUM(M35+P35)</f>
        <v>0</v>
      </c>
    </row>
    <row r="36" spans="1:18" x14ac:dyDescent="0.2">
      <c r="A36">
        <v>46150</v>
      </c>
      <c r="B36" t="s">
        <v>11</v>
      </c>
      <c r="C36">
        <v>61870</v>
      </c>
      <c r="D36">
        <v>799</v>
      </c>
      <c r="E36">
        <v>3.6228332883599399</v>
      </c>
      <c r="F36">
        <v>0.210872807449413</v>
      </c>
      <c r="G36">
        <v>0.19021563761488899</v>
      </c>
      <c r="H36">
        <v>10.476152100760499</v>
      </c>
      <c r="I36">
        <v>1.60603680557309</v>
      </c>
      <c r="J36">
        <v>-4.2672240067095304</v>
      </c>
      <c r="K36">
        <v>13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s">
        <v>11</v>
      </c>
      <c r="R36">
        <f>SUM(M36+P36)</f>
        <v>0</v>
      </c>
    </row>
    <row r="37" spans="1:18" x14ac:dyDescent="0.2">
      <c r="A37">
        <v>46264</v>
      </c>
      <c r="B37" t="s">
        <v>11</v>
      </c>
      <c r="C37">
        <v>7.5</v>
      </c>
      <c r="D37">
        <v>1003</v>
      </c>
      <c r="E37">
        <v>0.477159661215874</v>
      </c>
      <c r="F37">
        <v>0.250208862029001</v>
      </c>
      <c r="G37">
        <v>0.239760803651211</v>
      </c>
      <c r="H37">
        <v>9.3823168427987103</v>
      </c>
      <c r="I37">
        <v>1.9867150952938999</v>
      </c>
      <c r="J37">
        <v>-4.4823524030583197</v>
      </c>
      <c r="K37">
        <v>12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s">
        <v>11</v>
      </c>
      <c r="R37">
        <f>SUM(M37+P37)</f>
        <v>0</v>
      </c>
    </row>
    <row r="38" spans="1:18" x14ac:dyDescent="0.2">
      <c r="A38">
        <v>46363</v>
      </c>
      <c r="B38" t="s">
        <v>11</v>
      </c>
      <c r="C38">
        <v>2973.5</v>
      </c>
      <c r="D38">
        <v>2364</v>
      </c>
      <c r="E38">
        <v>0.41587189216499598</v>
      </c>
      <c r="F38">
        <v>8.3463326483839098E-2</v>
      </c>
      <c r="G38">
        <v>8.9652166185572799E-2</v>
      </c>
      <c r="H38">
        <v>0.84551763823315595</v>
      </c>
      <c r="I38">
        <v>0.27077263557348702</v>
      </c>
      <c r="J38">
        <v>-1.5867399050800901</v>
      </c>
      <c r="K38">
        <v>19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s">
        <v>11</v>
      </c>
      <c r="R38">
        <f>SUM(M38+P38)</f>
        <v>0</v>
      </c>
    </row>
    <row r="39" spans="1:18" x14ac:dyDescent="0.2">
      <c r="A39">
        <v>48243</v>
      </c>
      <c r="B39" t="s">
        <v>11</v>
      </c>
      <c r="C39">
        <v>102996</v>
      </c>
      <c r="D39">
        <v>686</v>
      </c>
      <c r="E39">
        <v>1.8345331582331299</v>
      </c>
      <c r="F39">
        <v>0.20279754956250801</v>
      </c>
      <c r="G39">
        <v>0.23029697678105099</v>
      </c>
      <c r="H39">
        <v>10.8306369715466</v>
      </c>
      <c r="I39">
        <v>2.0966743133697601</v>
      </c>
      <c r="J39">
        <v>-4.2906538969588404</v>
      </c>
      <c r="K39">
        <v>9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s">
        <v>11</v>
      </c>
      <c r="R39">
        <f>SUM(M39+P39)</f>
        <v>0</v>
      </c>
    </row>
    <row r="40" spans="1:18" x14ac:dyDescent="0.2">
      <c r="A40">
        <v>48245</v>
      </c>
      <c r="B40" t="s">
        <v>11</v>
      </c>
      <c r="C40">
        <v>316</v>
      </c>
      <c r="D40">
        <v>1556</v>
      </c>
      <c r="E40">
        <v>0.70505530577070297</v>
      </c>
      <c r="F40">
        <v>9.7376343891434E-2</v>
      </c>
      <c r="G40">
        <v>0.104585401590433</v>
      </c>
      <c r="H40">
        <v>1.9834509235584601</v>
      </c>
      <c r="I40">
        <v>0.40117456444831501</v>
      </c>
      <c r="J40">
        <v>-3.1866317834625799</v>
      </c>
      <c r="K40">
        <v>9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s">
        <v>11</v>
      </c>
      <c r="R40">
        <f>SUM(M40+P40)</f>
        <v>0</v>
      </c>
    </row>
    <row r="41" spans="1:18" x14ac:dyDescent="0.2">
      <c r="A41">
        <v>48398</v>
      </c>
      <c r="B41" t="s">
        <v>11</v>
      </c>
      <c r="C41">
        <v>70778.5</v>
      </c>
      <c r="D41">
        <v>682</v>
      </c>
      <c r="E41">
        <v>3.1423872636021999</v>
      </c>
      <c r="F41">
        <v>0.23742982019654399</v>
      </c>
      <c r="G41">
        <v>0.19589060677405101</v>
      </c>
      <c r="H41">
        <v>12.0902793707493</v>
      </c>
      <c r="I41">
        <v>1.74257993306922</v>
      </c>
      <c r="J41">
        <v>-5.1348531779469901</v>
      </c>
      <c r="K41" s="5">
        <v>13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s">
        <v>11</v>
      </c>
      <c r="R41">
        <f>SUM(M41+P41)</f>
        <v>0</v>
      </c>
    </row>
    <row r="42" spans="1:18" x14ac:dyDescent="0.2">
      <c r="A42">
        <v>48587</v>
      </c>
      <c r="B42" t="s">
        <v>11</v>
      </c>
      <c r="C42">
        <v>9296</v>
      </c>
      <c r="D42">
        <v>513</v>
      </c>
      <c r="E42">
        <v>2.2637184012160598</v>
      </c>
      <c r="F42">
        <v>0.225384775058177</v>
      </c>
      <c r="G42">
        <v>0.17674355614595999</v>
      </c>
      <c r="H42">
        <v>10.843622051279</v>
      </c>
      <c r="I42">
        <v>1.56986111072499</v>
      </c>
      <c r="J42">
        <v>-5.4653902765325801</v>
      </c>
      <c r="K42">
        <v>11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s">
        <v>11</v>
      </c>
      <c r="R42">
        <f>SUM(M42+P42)</f>
        <v>0</v>
      </c>
    </row>
    <row r="43" spans="1:18" x14ac:dyDescent="0.2">
      <c r="A43">
        <v>49326</v>
      </c>
      <c r="B43" t="s">
        <v>11</v>
      </c>
      <c r="C43">
        <v>129</v>
      </c>
      <c r="D43">
        <v>1957</v>
      </c>
      <c r="E43">
        <v>0.32515123113473099</v>
      </c>
      <c r="F43">
        <v>8.37992871021805E-2</v>
      </c>
      <c r="G43">
        <v>5.2186984880992E-2</v>
      </c>
      <c r="H43">
        <v>0.67814090415962902</v>
      </c>
      <c r="I43">
        <v>0.22365541196157199</v>
      </c>
      <c r="J43">
        <v>-1.5782746767851401</v>
      </c>
      <c r="K43">
        <v>23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s">
        <v>11</v>
      </c>
      <c r="R43">
        <f>SUM(M43+P43)</f>
        <v>0</v>
      </c>
    </row>
    <row r="44" spans="1:18" x14ac:dyDescent="0.2">
      <c r="A44">
        <v>50501</v>
      </c>
      <c r="B44" t="s">
        <v>11</v>
      </c>
      <c r="C44">
        <v>4464</v>
      </c>
      <c r="D44">
        <v>2562</v>
      </c>
      <c r="E44">
        <v>0.46628002992030998</v>
      </c>
      <c r="F44">
        <v>6.7694325014200196E-2</v>
      </c>
      <c r="G44">
        <v>7.2646655315805594E-2</v>
      </c>
      <c r="H44">
        <v>0.67194143468018996</v>
      </c>
      <c r="I44">
        <v>0.20279199672180101</v>
      </c>
      <c r="J44">
        <v>-1.0141495132178</v>
      </c>
      <c r="K44">
        <v>15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s">
        <v>11</v>
      </c>
      <c r="R44">
        <f>SUM(M44+P44)</f>
        <v>0</v>
      </c>
    </row>
    <row r="45" spans="1:18" x14ac:dyDescent="0.2">
      <c r="A45">
        <v>53252</v>
      </c>
      <c r="B45" t="s">
        <v>11</v>
      </c>
      <c r="C45">
        <v>15803</v>
      </c>
      <c r="D45">
        <v>2442</v>
      </c>
      <c r="E45">
        <v>1.39958742054952</v>
      </c>
      <c r="F45">
        <v>9.6797525932869596E-2</v>
      </c>
      <c r="G45">
        <v>8.5005689084116001E-2</v>
      </c>
      <c r="H45">
        <v>1.4226274765714899</v>
      </c>
      <c r="I45">
        <v>0.38994302270380699</v>
      </c>
      <c r="J45">
        <v>-5.9085698885479897E-2</v>
      </c>
      <c r="K45">
        <v>16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s">
        <v>11</v>
      </c>
      <c r="R45">
        <f>SUM(M45+P45)</f>
        <v>0</v>
      </c>
    </row>
    <row r="46" spans="1:18" x14ac:dyDescent="0.2">
      <c r="A46">
        <v>28796</v>
      </c>
      <c r="B46" t="s">
        <v>10</v>
      </c>
      <c r="C46">
        <v>73.5</v>
      </c>
      <c r="D46">
        <v>335</v>
      </c>
      <c r="E46">
        <v>0.54432146829810901</v>
      </c>
      <c r="F46">
        <v>0.29657407563307098</v>
      </c>
      <c r="G46">
        <v>0.30456936387245098</v>
      </c>
      <c r="H46">
        <v>24.841247748887699</v>
      </c>
      <c r="I46">
        <v>3.6333517574144101</v>
      </c>
      <c r="J46">
        <v>-6.6871935069341797</v>
      </c>
      <c r="K46" s="5">
        <v>15</v>
      </c>
      <c r="L46" t="b">
        <v>1</v>
      </c>
      <c r="M46" t="b">
        <v>0</v>
      </c>
      <c r="N46" t="b">
        <v>1</v>
      </c>
      <c r="O46" t="b">
        <v>1</v>
      </c>
      <c r="P46" t="b">
        <v>1</v>
      </c>
      <c r="Q46" t="s">
        <v>10</v>
      </c>
      <c r="R46">
        <f>SUM(M46+P46)</f>
        <v>1</v>
      </c>
    </row>
    <row r="47" spans="1:18" x14ac:dyDescent="0.2">
      <c r="A47">
        <v>29027</v>
      </c>
      <c r="B47" t="s">
        <v>10</v>
      </c>
      <c r="C47">
        <v>0</v>
      </c>
      <c r="D47">
        <v>2498</v>
      </c>
      <c r="E47">
        <v>0</v>
      </c>
      <c r="F47">
        <v>1.3511905831924301E-3</v>
      </c>
      <c r="G47">
        <v>9.2815765137050396E-4</v>
      </c>
      <c r="H47" s="1">
        <v>9.9631550935660207E-5</v>
      </c>
      <c r="I47" s="1">
        <v>6.5561267087270003E-5</v>
      </c>
      <c r="J47">
        <v>-1.5196709179375401</v>
      </c>
      <c r="K47">
        <v>25</v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s">
        <v>10</v>
      </c>
      <c r="R47">
        <f>SUM(M47+P47)</f>
        <v>1</v>
      </c>
    </row>
    <row r="48" spans="1:18" x14ac:dyDescent="0.2">
      <c r="A48">
        <v>29104</v>
      </c>
      <c r="B48" t="s">
        <v>10</v>
      </c>
      <c r="C48">
        <v>301.5</v>
      </c>
      <c r="D48">
        <v>906</v>
      </c>
      <c r="E48">
        <v>0.102013781723513</v>
      </c>
      <c r="F48">
        <v>0.14355141228257801</v>
      </c>
      <c r="G48">
        <v>0.16485512766014501</v>
      </c>
      <c r="H48">
        <v>5.7672621965897104</v>
      </c>
      <c r="I48">
        <v>0.91945972045304802</v>
      </c>
      <c r="J48">
        <v>-6.1614971149304303</v>
      </c>
      <c r="K48">
        <v>13</v>
      </c>
      <c r="L48" t="b">
        <v>1</v>
      </c>
      <c r="M48" t="b">
        <v>1</v>
      </c>
      <c r="N48" t="b">
        <v>1</v>
      </c>
      <c r="O48" t="b">
        <v>1</v>
      </c>
      <c r="P48" t="b">
        <v>0</v>
      </c>
      <c r="Q48" t="s">
        <v>10</v>
      </c>
      <c r="R48">
        <f>SUM(M48+P48)</f>
        <v>1</v>
      </c>
    </row>
    <row r="49" spans="1:18" x14ac:dyDescent="0.2">
      <c r="A49">
        <v>29216</v>
      </c>
      <c r="B49" t="s">
        <v>10</v>
      </c>
      <c r="C49">
        <v>30.5</v>
      </c>
      <c r="D49">
        <v>327</v>
      </c>
      <c r="E49">
        <v>0.28552707770103902</v>
      </c>
      <c r="F49">
        <v>0.163049037246526</v>
      </c>
      <c r="G49">
        <v>0.190955405688647</v>
      </c>
      <c r="H49">
        <v>7.9675098145938898</v>
      </c>
      <c r="I49">
        <v>1.1845038766547999</v>
      </c>
      <c r="J49">
        <v>-6.4854010934838104</v>
      </c>
      <c r="K49">
        <v>13</v>
      </c>
      <c r="L49" t="b">
        <v>1</v>
      </c>
      <c r="M49" t="b">
        <v>0</v>
      </c>
      <c r="N49" t="b">
        <v>1</v>
      </c>
      <c r="O49" t="b">
        <v>1</v>
      </c>
      <c r="P49" t="b">
        <v>1</v>
      </c>
      <c r="Q49" t="s">
        <v>10</v>
      </c>
      <c r="R49">
        <f>SUM(M49+P49)</f>
        <v>1</v>
      </c>
    </row>
    <row r="50" spans="1:18" x14ac:dyDescent="0.2">
      <c r="A50">
        <v>29403</v>
      </c>
      <c r="B50" t="s">
        <v>10</v>
      </c>
      <c r="C50">
        <v>302</v>
      </c>
      <c r="D50">
        <v>378</v>
      </c>
      <c r="E50">
        <v>0.26621601497853298</v>
      </c>
      <c r="F50">
        <v>0.27622672486597399</v>
      </c>
      <c r="G50">
        <v>0.225749808658295</v>
      </c>
      <c r="H50">
        <v>16.3389810878984</v>
      </c>
      <c r="I50">
        <v>2.5267218816432102</v>
      </c>
      <c r="J50">
        <v>-6.3611136586458299</v>
      </c>
      <c r="K50">
        <v>14</v>
      </c>
      <c r="L50" t="b">
        <v>1</v>
      </c>
      <c r="M50" t="b">
        <v>0</v>
      </c>
      <c r="N50" t="b">
        <v>1</v>
      </c>
      <c r="O50" t="b">
        <v>1</v>
      </c>
      <c r="P50" t="b">
        <v>1</v>
      </c>
      <c r="Q50" t="s">
        <v>10</v>
      </c>
      <c r="R50">
        <f>SUM(M50+P50)</f>
        <v>1</v>
      </c>
    </row>
    <row r="51" spans="1:18" x14ac:dyDescent="0.2">
      <c r="A51">
        <v>29408</v>
      </c>
      <c r="B51" t="s">
        <v>10</v>
      </c>
      <c r="C51">
        <v>147.5</v>
      </c>
      <c r="D51">
        <v>589</v>
      </c>
      <c r="E51">
        <v>6.3014021006738002E-2</v>
      </c>
      <c r="F51">
        <v>0.193545293379353</v>
      </c>
      <c r="G51">
        <v>0.19278330838013</v>
      </c>
      <c r="H51">
        <v>1.13009926595246</v>
      </c>
      <c r="I51">
        <v>0.21450763658921099</v>
      </c>
      <c r="J51">
        <v>-4.9745792826444699</v>
      </c>
      <c r="K51">
        <v>10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s">
        <v>10</v>
      </c>
      <c r="R51">
        <f>SUM(M51+P51)</f>
        <v>1</v>
      </c>
    </row>
    <row r="52" spans="1:18" x14ac:dyDescent="0.2">
      <c r="A52">
        <v>29426</v>
      </c>
      <c r="B52" t="s">
        <v>10</v>
      </c>
      <c r="C52">
        <v>4.5</v>
      </c>
      <c r="D52">
        <v>751</v>
      </c>
      <c r="E52">
        <v>3.5798436564220902E-2</v>
      </c>
      <c r="F52">
        <v>9.24689716314092E-2</v>
      </c>
      <c r="G52">
        <v>0.17247841678617201</v>
      </c>
      <c r="H52">
        <v>3.1582453937376398</v>
      </c>
      <c r="I52">
        <v>0.65097295547455203</v>
      </c>
      <c r="J52">
        <v>-4.7965847596498001</v>
      </c>
      <c r="K52">
        <v>19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s">
        <v>10</v>
      </c>
      <c r="R52">
        <f>SUM(M52+P52)</f>
        <v>1</v>
      </c>
    </row>
    <row r="53" spans="1:18" x14ac:dyDescent="0.2">
      <c r="A53">
        <v>29489</v>
      </c>
      <c r="B53" t="s">
        <v>10</v>
      </c>
      <c r="C53">
        <v>1697.44873046875</v>
      </c>
      <c r="D53">
        <v>415</v>
      </c>
      <c r="E53">
        <v>0.43458472376356799</v>
      </c>
      <c r="F53">
        <v>0.33242347787903898</v>
      </c>
      <c r="G53">
        <v>0.191506460771555</v>
      </c>
      <c r="H53">
        <v>17.385084480242401</v>
      </c>
      <c r="I53">
        <v>2.5935512829651102</v>
      </c>
      <c r="J53">
        <v>-6.5356331559019498</v>
      </c>
      <c r="K53">
        <v>9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s">
        <v>10</v>
      </c>
      <c r="R53">
        <f>SUM(M53+P53)</f>
        <v>1</v>
      </c>
    </row>
    <row r="54" spans="1:18" x14ac:dyDescent="0.2">
      <c r="A54">
        <v>29530</v>
      </c>
      <c r="B54" t="s">
        <v>10</v>
      </c>
      <c r="C54">
        <v>48</v>
      </c>
      <c r="D54">
        <v>218</v>
      </c>
      <c r="E54">
        <v>0.43360487225670502</v>
      </c>
      <c r="F54">
        <v>0.19311781326084501</v>
      </c>
      <c r="G54">
        <v>0.243952254179023</v>
      </c>
      <c r="H54">
        <v>9.9400387223326696</v>
      </c>
      <c r="I54">
        <v>1.89196554595753</v>
      </c>
      <c r="J54">
        <v>-5.0246337045554998</v>
      </c>
      <c r="K54">
        <v>18</v>
      </c>
      <c r="L54" t="b">
        <v>1</v>
      </c>
      <c r="M54" t="b">
        <v>0</v>
      </c>
      <c r="N54" t="b">
        <v>1</v>
      </c>
      <c r="O54" t="b">
        <v>1</v>
      </c>
      <c r="P54" t="b">
        <v>1</v>
      </c>
      <c r="Q54" t="s">
        <v>10</v>
      </c>
      <c r="R54">
        <f>SUM(M54+P54)</f>
        <v>1</v>
      </c>
    </row>
    <row r="55" spans="1:18" x14ac:dyDescent="0.2">
      <c r="A55">
        <v>29535</v>
      </c>
      <c r="B55" t="s">
        <v>10</v>
      </c>
      <c r="C55">
        <v>6.5</v>
      </c>
      <c r="D55">
        <v>377</v>
      </c>
      <c r="E55">
        <v>0.29985560111077902</v>
      </c>
      <c r="F55">
        <v>0.229971249490345</v>
      </c>
      <c r="G55">
        <v>0.24501028628518701</v>
      </c>
      <c r="H55">
        <v>11.4144789105159</v>
      </c>
      <c r="I55">
        <v>2.0898987141807801</v>
      </c>
      <c r="J55">
        <v>-5.3182593175392201</v>
      </c>
      <c r="K55" s="5">
        <v>9</v>
      </c>
      <c r="L55" t="b">
        <v>1</v>
      </c>
      <c r="M55" t="b">
        <v>0</v>
      </c>
      <c r="N55" t="b">
        <v>1</v>
      </c>
      <c r="O55" t="b">
        <v>1</v>
      </c>
      <c r="P55" t="b">
        <v>1</v>
      </c>
      <c r="Q55" t="s">
        <v>10</v>
      </c>
      <c r="R55">
        <f>SUM(M55+P55)</f>
        <v>1</v>
      </c>
    </row>
    <row r="56" spans="1:18" x14ac:dyDescent="0.2">
      <c r="A56">
        <v>29544</v>
      </c>
      <c r="B56" t="s">
        <v>10</v>
      </c>
      <c r="C56">
        <v>1.5</v>
      </c>
      <c r="D56">
        <v>432</v>
      </c>
      <c r="E56">
        <v>0.83291152244858802</v>
      </c>
      <c r="F56">
        <v>0.187667273394308</v>
      </c>
      <c r="G56">
        <v>0.22088553563263499</v>
      </c>
      <c r="H56">
        <v>11.1253099747588</v>
      </c>
      <c r="I56">
        <v>1.6810501369334101</v>
      </c>
      <c r="J56">
        <v>-6.1226005258152298</v>
      </c>
      <c r="K56">
        <v>9</v>
      </c>
      <c r="L56" t="b">
        <v>1</v>
      </c>
      <c r="M56" t="b">
        <v>0</v>
      </c>
      <c r="N56" t="b">
        <v>1</v>
      </c>
      <c r="O56" t="b">
        <v>1</v>
      </c>
      <c r="P56" t="b">
        <v>1</v>
      </c>
      <c r="Q56" t="s">
        <v>10</v>
      </c>
      <c r="R56">
        <f>SUM(M56+P56)</f>
        <v>1</v>
      </c>
    </row>
    <row r="57" spans="1:18" x14ac:dyDescent="0.2">
      <c r="A57">
        <v>29571</v>
      </c>
      <c r="B57" t="s">
        <v>10</v>
      </c>
      <c r="C57">
        <v>336</v>
      </c>
      <c r="D57">
        <v>471</v>
      </c>
      <c r="E57">
        <v>0.76347725651869303</v>
      </c>
      <c r="F57">
        <v>0.21095638862483099</v>
      </c>
      <c r="G57">
        <v>0.24483018377137</v>
      </c>
      <c r="H57">
        <v>11.7999355129561</v>
      </c>
      <c r="I57">
        <v>2.22228764612733</v>
      </c>
      <c r="J57">
        <v>-4.9662600049413301</v>
      </c>
      <c r="K57">
        <v>9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s">
        <v>10</v>
      </c>
      <c r="R57">
        <f>SUM(M57+P57)</f>
        <v>1</v>
      </c>
    </row>
    <row r="58" spans="1:18" x14ac:dyDescent="0.2">
      <c r="A58">
        <v>29599</v>
      </c>
      <c r="B58" t="s">
        <v>10</v>
      </c>
      <c r="C58">
        <v>19179</v>
      </c>
      <c r="D58">
        <v>397</v>
      </c>
      <c r="E58">
        <v>0.25270526217435002</v>
      </c>
      <c r="F58">
        <v>0.29027129151111802</v>
      </c>
      <c r="G58">
        <v>0.12199081244656999</v>
      </c>
      <c r="H58">
        <v>6.6223897944085</v>
      </c>
      <c r="I58">
        <v>1.0369761305710199</v>
      </c>
      <c r="J58">
        <v>-6.1425565588733697</v>
      </c>
      <c r="K58" s="5">
        <v>19</v>
      </c>
      <c r="L58" t="b">
        <v>1</v>
      </c>
      <c r="M58" t="b">
        <v>0</v>
      </c>
      <c r="N58" t="b">
        <v>1</v>
      </c>
      <c r="O58" t="b">
        <v>1</v>
      </c>
      <c r="P58" t="b">
        <v>1</v>
      </c>
      <c r="Q58" t="s">
        <v>10</v>
      </c>
      <c r="R58">
        <f>SUM(M58+P58)</f>
        <v>1</v>
      </c>
    </row>
    <row r="59" spans="1:18" x14ac:dyDescent="0.2">
      <c r="A59">
        <v>29696</v>
      </c>
      <c r="B59" t="s">
        <v>10</v>
      </c>
      <c r="C59">
        <v>6.5</v>
      </c>
      <c r="D59">
        <v>676</v>
      </c>
      <c r="E59">
        <v>1.26695946914064E-2</v>
      </c>
      <c r="F59">
        <v>6.0609455615239199E-2</v>
      </c>
      <c r="G59">
        <v>7.0132747459296901E-2</v>
      </c>
      <c r="H59">
        <v>1.0628171216693401</v>
      </c>
      <c r="I59">
        <v>0.17330179053823899</v>
      </c>
      <c r="J59">
        <v>-6.0596461451228798</v>
      </c>
      <c r="K59" s="5">
        <v>18</v>
      </c>
      <c r="L59" t="b">
        <v>1</v>
      </c>
      <c r="M59" t="b">
        <v>1</v>
      </c>
      <c r="N59" t="b">
        <v>0</v>
      </c>
      <c r="O59" t="b">
        <v>1</v>
      </c>
      <c r="P59" t="b">
        <v>0</v>
      </c>
      <c r="Q59" t="s">
        <v>10</v>
      </c>
      <c r="R59">
        <f>SUM(M59+P59)</f>
        <v>1</v>
      </c>
    </row>
    <row r="60" spans="1:18" x14ac:dyDescent="0.2">
      <c r="A60">
        <v>29863</v>
      </c>
      <c r="B60" t="s">
        <v>10</v>
      </c>
      <c r="C60">
        <v>282</v>
      </c>
      <c r="D60">
        <v>378</v>
      </c>
      <c r="E60">
        <v>0.47189168269024001</v>
      </c>
      <c r="F60">
        <v>0.274283458796445</v>
      </c>
      <c r="G60">
        <v>0.25925504393404802</v>
      </c>
      <c r="H60">
        <v>19.122571414439001</v>
      </c>
      <c r="I60">
        <v>2.9924482526495102</v>
      </c>
      <c r="J60">
        <v>-6.2325822059698002</v>
      </c>
      <c r="K60">
        <v>14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s">
        <v>10</v>
      </c>
      <c r="R60">
        <f>SUM(M60+P60)</f>
        <v>1</v>
      </c>
    </row>
    <row r="61" spans="1:18" x14ac:dyDescent="0.2">
      <c r="A61">
        <v>30648</v>
      </c>
      <c r="B61" t="s">
        <v>10</v>
      </c>
      <c r="C61">
        <v>577.5</v>
      </c>
      <c r="D61">
        <v>345</v>
      </c>
      <c r="E61">
        <v>0.321197329936111</v>
      </c>
      <c r="F61">
        <v>0.24971803373700799</v>
      </c>
      <c r="G61">
        <v>0.19253512049223001</v>
      </c>
      <c r="H61">
        <v>12.713044621641499</v>
      </c>
      <c r="I61">
        <v>1.9322941298840499</v>
      </c>
      <c r="J61">
        <v>-6.4130233074035399</v>
      </c>
      <c r="K61">
        <v>9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s">
        <v>10</v>
      </c>
      <c r="R61">
        <f>SUM(M61+P61)</f>
        <v>1</v>
      </c>
    </row>
    <row r="62" spans="1:18" x14ac:dyDescent="0.2">
      <c r="A62">
        <v>30650</v>
      </c>
      <c r="B62" t="s">
        <v>10</v>
      </c>
      <c r="C62">
        <v>5</v>
      </c>
      <c r="D62">
        <v>352</v>
      </c>
      <c r="E62">
        <v>0.212549289045082</v>
      </c>
      <c r="F62">
        <v>0.25847301191323802</v>
      </c>
      <c r="G62">
        <v>0.36017976544172697</v>
      </c>
      <c r="H62">
        <v>21.406120815873201</v>
      </c>
      <c r="I62">
        <v>3.68254133553619</v>
      </c>
      <c r="J62">
        <v>-5.755148305414</v>
      </c>
      <c r="K62">
        <v>9</v>
      </c>
      <c r="L62" t="b">
        <v>1</v>
      </c>
      <c r="M62" t="b">
        <v>0</v>
      </c>
      <c r="N62" t="b">
        <v>1</v>
      </c>
      <c r="O62" t="b">
        <v>1</v>
      </c>
      <c r="P62" t="b">
        <v>1</v>
      </c>
      <c r="Q62" t="s">
        <v>10</v>
      </c>
      <c r="R62">
        <f>SUM(M62+P62)</f>
        <v>1</v>
      </c>
    </row>
    <row r="63" spans="1:18" x14ac:dyDescent="0.2">
      <c r="A63">
        <v>30658</v>
      </c>
      <c r="B63" t="s">
        <v>10</v>
      </c>
      <c r="C63">
        <v>275</v>
      </c>
      <c r="D63">
        <v>379</v>
      </c>
      <c r="E63">
        <v>0.40285947323299698</v>
      </c>
      <c r="F63">
        <v>0.263255508961725</v>
      </c>
      <c r="G63">
        <v>0.210433973967631</v>
      </c>
      <c r="H63">
        <v>9.0567699919032201</v>
      </c>
      <c r="I63">
        <v>1.6904774853109501</v>
      </c>
      <c r="J63">
        <v>-5.1192107519127399</v>
      </c>
      <c r="K63">
        <v>10</v>
      </c>
      <c r="L63" t="b">
        <v>1</v>
      </c>
      <c r="M63" t="b">
        <v>0</v>
      </c>
      <c r="N63" t="b">
        <v>1</v>
      </c>
      <c r="O63" t="b">
        <v>1</v>
      </c>
      <c r="P63" t="b">
        <v>1</v>
      </c>
      <c r="Q63" t="s">
        <v>10</v>
      </c>
      <c r="R63">
        <f>SUM(M63+P63)</f>
        <v>1</v>
      </c>
    </row>
    <row r="64" spans="1:18" x14ac:dyDescent="0.2">
      <c r="A64">
        <v>30725</v>
      </c>
      <c r="B64" t="s">
        <v>10</v>
      </c>
      <c r="C64">
        <v>21</v>
      </c>
      <c r="D64">
        <v>1823</v>
      </c>
      <c r="E64">
        <v>1.1676195192221099E-3</v>
      </c>
      <c r="F64">
        <v>6.4464151250851398E-3</v>
      </c>
      <c r="G64">
        <v>3.69616310290252E-3</v>
      </c>
      <c r="H64">
        <v>3.5446630878425002E-3</v>
      </c>
      <c r="I64">
        <v>9.1805130107087095E-4</v>
      </c>
      <c r="J64">
        <v>-2.58922738396826</v>
      </c>
      <c r="K64">
        <v>27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s">
        <v>10</v>
      </c>
      <c r="R64">
        <f>SUM(M64+P64)</f>
        <v>1</v>
      </c>
    </row>
    <row r="65" spans="1:18" x14ac:dyDescent="0.2">
      <c r="A65">
        <v>30756</v>
      </c>
      <c r="B65" t="s">
        <v>10</v>
      </c>
      <c r="C65">
        <v>1015</v>
      </c>
      <c r="D65">
        <v>312</v>
      </c>
      <c r="E65">
        <v>0.426498803369119</v>
      </c>
      <c r="F65">
        <v>0.185557962573556</v>
      </c>
      <c r="G65">
        <v>0.22139417613693799</v>
      </c>
      <c r="H65">
        <v>10.7744824784019</v>
      </c>
      <c r="I65">
        <v>1.7047082298919201</v>
      </c>
      <c r="J65">
        <v>-6.0702374128203997</v>
      </c>
      <c r="K65" s="5">
        <v>9</v>
      </c>
      <c r="L65" t="b">
        <v>1</v>
      </c>
      <c r="M65" t="b">
        <v>0</v>
      </c>
      <c r="N65" t="b">
        <v>1</v>
      </c>
      <c r="O65" t="b">
        <v>1</v>
      </c>
      <c r="P65" t="b">
        <v>1</v>
      </c>
      <c r="Q65" t="s">
        <v>10</v>
      </c>
      <c r="R65">
        <f>SUM(M65+P65)</f>
        <v>1</v>
      </c>
    </row>
    <row r="66" spans="1:18" x14ac:dyDescent="0.2">
      <c r="A66">
        <v>30799</v>
      </c>
      <c r="B66" t="s">
        <v>10</v>
      </c>
      <c r="C66">
        <v>108.5</v>
      </c>
      <c r="D66">
        <v>318</v>
      </c>
      <c r="E66">
        <v>0.20427349803726999</v>
      </c>
      <c r="F66">
        <v>5.24786636965466E-2</v>
      </c>
      <c r="G66">
        <v>0.34229757258861698</v>
      </c>
      <c r="H66">
        <v>3.35963980255957</v>
      </c>
      <c r="I66">
        <v>0.70409084387733001</v>
      </c>
      <c r="J66">
        <v>-4.48147612195344</v>
      </c>
      <c r="K66">
        <v>9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s">
        <v>10</v>
      </c>
      <c r="R66">
        <f>SUM(M66+P66)</f>
        <v>1</v>
      </c>
    </row>
    <row r="67" spans="1:18" x14ac:dyDescent="0.2">
      <c r="A67">
        <v>30889</v>
      </c>
      <c r="B67" t="s">
        <v>10</v>
      </c>
      <c r="C67">
        <v>1</v>
      </c>
      <c r="D67">
        <v>728</v>
      </c>
      <c r="E67">
        <v>4.9916234710048697E-2</v>
      </c>
      <c r="F67">
        <v>0.19238503234475299</v>
      </c>
      <c r="G67">
        <v>0.20245705678457801</v>
      </c>
      <c r="H67">
        <v>9.8716033205158702</v>
      </c>
      <c r="I67">
        <v>1.5063022653568201</v>
      </c>
      <c r="J67">
        <v>-6.5203958804902999</v>
      </c>
      <c r="K67">
        <v>11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s">
        <v>10</v>
      </c>
      <c r="R67">
        <f>SUM(M67+P67)</f>
        <v>1</v>
      </c>
    </row>
    <row r="68" spans="1:18" x14ac:dyDescent="0.2">
      <c r="A68">
        <v>30892</v>
      </c>
      <c r="B68" t="s">
        <v>10</v>
      </c>
      <c r="C68">
        <v>110</v>
      </c>
      <c r="D68">
        <v>409</v>
      </c>
      <c r="E68">
        <v>0.27257188875376298</v>
      </c>
      <c r="F68">
        <v>0.28516070470534699</v>
      </c>
      <c r="G68">
        <v>0.31561528901773001</v>
      </c>
      <c r="H68">
        <v>21.900917175753499</v>
      </c>
      <c r="I68">
        <v>3.6345678821554399</v>
      </c>
      <c r="J68">
        <v>-5.9507336190329303</v>
      </c>
      <c r="K68">
        <v>10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s">
        <v>10</v>
      </c>
      <c r="R68">
        <f>SUM(M68+P68)</f>
        <v>1</v>
      </c>
    </row>
    <row r="69" spans="1:18" x14ac:dyDescent="0.2">
      <c r="A69">
        <v>30937</v>
      </c>
      <c r="B69" t="s">
        <v>10</v>
      </c>
      <c r="C69">
        <v>4.5</v>
      </c>
      <c r="D69">
        <v>254</v>
      </c>
      <c r="E69">
        <v>0.23131181078242599</v>
      </c>
      <c r="F69">
        <v>0.29310856590718198</v>
      </c>
      <c r="G69">
        <v>0.15616998000878701</v>
      </c>
      <c r="H69">
        <v>10.0721214074382</v>
      </c>
      <c r="I69">
        <v>1.98645664331358</v>
      </c>
      <c r="J69">
        <v>-4.9539513634893497</v>
      </c>
      <c r="K69" s="5">
        <v>17</v>
      </c>
      <c r="L69" t="b">
        <v>1</v>
      </c>
      <c r="M69" t="b">
        <v>0</v>
      </c>
      <c r="N69" t="b">
        <v>1</v>
      </c>
      <c r="O69" t="b">
        <v>1</v>
      </c>
      <c r="P69" t="b">
        <v>1</v>
      </c>
      <c r="Q69" t="s">
        <v>10</v>
      </c>
      <c r="R69">
        <f>SUM(M69+P69)</f>
        <v>1</v>
      </c>
    </row>
    <row r="70" spans="1:18" x14ac:dyDescent="0.2">
      <c r="A70">
        <v>31065</v>
      </c>
      <c r="B70" t="s">
        <v>10</v>
      </c>
      <c r="C70">
        <v>241</v>
      </c>
      <c r="D70">
        <v>312</v>
      </c>
      <c r="E70">
        <v>0.35195123134324702</v>
      </c>
      <c r="F70">
        <v>0.320538264544242</v>
      </c>
      <c r="G70">
        <v>0.234951949495707</v>
      </c>
      <c r="H70">
        <v>14.1363033983826</v>
      </c>
      <c r="I70">
        <v>2.3854921170218901</v>
      </c>
      <c r="J70">
        <v>-5.7784102779799298</v>
      </c>
      <c r="K70" s="5">
        <v>13</v>
      </c>
      <c r="L70" t="b">
        <v>1</v>
      </c>
      <c r="M70" t="b">
        <v>0</v>
      </c>
      <c r="N70" t="b">
        <v>1</v>
      </c>
      <c r="O70" t="b">
        <v>1</v>
      </c>
      <c r="P70" t="b">
        <v>1</v>
      </c>
      <c r="Q70" t="s">
        <v>10</v>
      </c>
      <c r="R70">
        <f>SUM(M70+P70)</f>
        <v>1</v>
      </c>
    </row>
    <row r="71" spans="1:18" x14ac:dyDescent="0.2">
      <c r="A71">
        <v>31561</v>
      </c>
      <c r="B71" t="s">
        <v>10</v>
      </c>
      <c r="C71">
        <v>1</v>
      </c>
      <c r="D71">
        <v>1909</v>
      </c>
      <c r="E71">
        <v>3.1298591420470098E-4</v>
      </c>
      <c r="F71">
        <v>2.2933822646858098E-3</v>
      </c>
      <c r="G71">
        <v>2.09559926834156E-3</v>
      </c>
      <c r="H71">
        <v>7.1427673099789602E-4</v>
      </c>
      <c r="I71">
        <v>1.86308817737597E-4</v>
      </c>
      <c r="J71">
        <v>-2.15390136476731</v>
      </c>
      <c r="K71">
        <v>16</v>
      </c>
      <c r="L71" t="b">
        <v>1</v>
      </c>
      <c r="M71" t="b">
        <v>1</v>
      </c>
      <c r="N71" t="b">
        <v>0</v>
      </c>
      <c r="O71" t="b">
        <v>1</v>
      </c>
      <c r="P71" t="b">
        <v>0</v>
      </c>
      <c r="Q71" t="s">
        <v>10</v>
      </c>
      <c r="R71">
        <f>SUM(M71+P71)</f>
        <v>1</v>
      </c>
    </row>
    <row r="72" spans="1:18" x14ac:dyDescent="0.2">
      <c r="A72">
        <v>31887</v>
      </c>
      <c r="B72" t="s">
        <v>10</v>
      </c>
      <c r="C72">
        <v>48</v>
      </c>
      <c r="D72">
        <v>1914</v>
      </c>
      <c r="E72">
        <v>2.2246993478202901E-2</v>
      </c>
      <c r="F72">
        <v>6.1768001634170497E-2</v>
      </c>
      <c r="G72">
        <v>7.7810786469059201E-2</v>
      </c>
      <c r="H72">
        <v>0.404174327226341</v>
      </c>
      <c r="I72">
        <v>0.22574395600688699</v>
      </c>
      <c r="J72">
        <v>-1.6918607279855</v>
      </c>
      <c r="K72">
        <v>16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s">
        <v>10</v>
      </c>
      <c r="R72">
        <f>SUM(M72+P72)</f>
        <v>1</v>
      </c>
    </row>
    <row r="73" spans="1:18" x14ac:dyDescent="0.2">
      <c r="A73">
        <v>33160</v>
      </c>
      <c r="B73" t="s">
        <v>10</v>
      </c>
      <c r="C73">
        <v>1385</v>
      </c>
      <c r="D73">
        <v>206</v>
      </c>
      <c r="E73">
        <v>0.31806129667940097</v>
      </c>
      <c r="F73">
        <v>0.11599885383279</v>
      </c>
      <c r="G73">
        <v>0.24879372067699701</v>
      </c>
      <c r="H73">
        <v>7.3431354024541804</v>
      </c>
      <c r="I73">
        <v>1.21647475605922</v>
      </c>
      <c r="J73">
        <v>-5.7749444209862597</v>
      </c>
      <c r="K73" s="5">
        <v>9</v>
      </c>
      <c r="L73" t="b">
        <v>1</v>
      </c>
      <c r="M73" t="b">
        <v>0</v>
      </c>
      <c r="N73" t="b">
        <v>1</v>
      </c>
      <c r="O73" t="b">
        <v>1</v>
      </c>
      <c r="P73" t="b">
        <v>1</v>
      </c>
      <c r="Q73" t="s">
        <v>10</v>
      </c>
      <c r="R73">
        <f>SUM(M73+P73)</f>
        <v>1</v>
      </c>
    </row>
    <row r="74" spans="1:18" x14ac:dyDescent="0.2">
      <c r="A74">
        <v>33168</v>
      </c>
      <c r="B74" t="s">
        <v>10</v>
      </c>
      <c r="C74">
        <v>0</v>
      </c>
      <c r="D74">
        <v>2346</v>
      </c>
      <c r="E74">
        <v>0</v>
      </c>
      <c r="F74">
        <v>0.72115679988607895</v>
      </c>
      <c r="G74">
        <v>0.60684692215824498</v>
      </c>
      <c r="H74">
        <v>14.9249860241587</v>
      </c>
      <c r="I74">
        <v>9.3453971674524308</v>
      </c>
      <c r="J74">
        <v>-1.59704138376681</v>
      </c>
      <c r="K74">
        <v>13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s">
        <v>10</v>
      </c>
      <c r="R74">
        <f>SUM(M74+P74)</f>
        <v>1</v>
      </c>
    </row>
    <row r="75" spans="1:18" x14ac:dyDescent="0.2">
      <c r="A75">
        <v>33344</v>
      </c>
      <c r="B75" t="s">
        <v>10</v>
      </c>
      <c r="C75">
        <v>1</v>
      </c>
      <c r="D75">
        <v>684</v>
      </c>
      <c r="E75">
        <v>0.14572313986361299</v>
      </c>
      <c r="F75">
        <v>0.16406399222111501</v>
      </c>
      <c r="G75">
        <v>0.19906255835287301</v>
      </c>
      <c r="H75">
        <v>8.1333551317299904</v>
      </c>
      <c r="I75">
        <v>1.28485462883555</v>
      </c>
      <c r="J75">
        <v>-6.2167593224966602</v>
      </c>
      <c r="K75">
        <v>9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s">
        <v>10</v>
      </c>
      <c r="R75">
        <f>SUM(M75+P75)</f>
        <v>1</v>
      </c>
    </row>
    <row r="76" spans="1:18" x14ac:dyDescent="0.2">
      <c r="A76">
        <v>33361</v>
      </c>
      <c r="B76" t="s">
        <v>11</v>
      </c>
      <c r="C76">
        <v>74</v>
      </c>
      <c r="D76">
        <v>2610</v>
      </c>
      <c r="E76">
        <v>2.9465599713030698E-4</v>
      </c>
      <c r="F76">
        <v>4.5734558727781198E-2</v>
      </c>
      <c r="G76">
        <v>7.0345732020353505E-2</v>
      </c>
      <c r="H76">
        <v>0.1550687157002</v>
      </c>
      <c r="I76">
        <v>0.15649807435663701</v>
      </c>
      <c r="J76">
        <v>-0.98898379637797995</v>
      </c>
      <c r="K76">
        <v>9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s">
        <v>11</v>
      </c>
      <c r="R76">
        <f>SUM(M76+P76)</f>
        <v>1</v>
      </c>
    </row>
    <row r="77" spans="1:18" x14ac:dyDescent="0.2">
      <c r="A77">
        <v>33653</v>
      </c>
      <c r="B77" t="s">
        <v>10</v>
      </c>
      <c r="C77">
        <v>0</v>
      </c>
      <c r="D77">
        <v>2532</v>
      </c>
      <c r="E77">
        <v>1.15357811631191E-2</v>
      </c>
      <c r="F77">
        <v>3.3027239548208E-2</v>
      </c>
      <c r="G77">
        <v>9.4271923281294603E-3</v>
      </c>
      <c r="H77">
        <v>1.8715761895581499E-2</v>
      </c>
      <c r="I77">
        <v>1.16535450740187E-2</v>
      </c>
      <c r="J77">
        <v>-0.616119874841353</v>
      </c>
      <c r="K77">
        <v>11</v>
      </c>
      <c r="L77" t="b">
        <v>1</v>
      </c>
      <c r="M77" t="b">
        <v>1</v>
      </c>
      <c r="N77" t="b">
        <v>0</v>
      </c>
      <c r="O77" t="b">
        <v>0</v>
      </c>
      <c r="P77" t="b">
        <v>0</v>
      </c>
      <c r="Q77" t="s">
        <v>10</v>
      </c>
      <c r="R77">
        <f>SUM(M77+P77)</f>
        <v>1</v>
      </c>
    </row>
    <row r="78" spans="1:18" x14ac:dyDescent="0.2">
      <c r="A78">
        <v>34457</v>
      </c>
      <c r="B78" t="s">
        <v>11</v>
      </c>
      <c r="C78">
        <v>0</v>
      </c>
      <c r="D78">
        <v>2504</v>
      </c>
      <c r="E78">
        <v>3.4878521068582098E-3</v>
      </c>
      <c r="F78">
        <v>4.4326763691448001E-2</v>
      </c>
      <c r="G78">
        <v>2.1345991363200999E-2</v>
      </c>
      <c r="H78">
        <v>5.0636023396912798E-3</v>
      </c>
      <c r="I78">
        <v>3.0642102764931898E-3</v>
      </c>
      <c r="J78">
        <v>-0.51424350506272098</v>
      </c>
      <c r="K78">
        <v>23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s">
        <v>11</v>
      </c>
      <c r="R78">
        <f>SUM(M78+P78)</f>
        <v>1</v>
      </c>
    </row>
    <row r="79" spans="1:18" x14ac:dyDescent="0.2">
      <c r="A79">
        <v>34771</v>
      </c>
      <c r="B79" t="s">
        <v>11</v>
      </c>
      <c r="C79">
        <v>0</v>
      </c>
      <c r="D79">
        <v>2542</v>
      </c>
      <c r="E79">
        <v>0</v>
      </c>
      <c r="F79">
        <v>2.44546789368188E-3</v>
      </c>
      <c r="G79">
        <v>7.0105863095147297E-2</v>
      </c>
      <c r="H79">
        <v>1.0720790303724999E-2</v>
      </c>
      <c r="I79">
        <v>7.8124882325798003E-3</v>
      </c>
      <c r="J79">
        <v>-1.3722632258205401</v>
      </c>
      <c r="K79">
        <v>12</v>
      </c>
      <c r="L79" t="b">
        <v>1</v>
      </c>
      <c r="M79" t="b">
        <v>1</v>
      </c>
      <c r="N79" t="b">
        <v>0</v>
      </c>
      <c r="O79" t="b">
        <v>0</v>
      </c>
      <c r="P79" t="b">
        <v>0</v>
      </c>
      <c r="Q79" t="s">
        <v>11</v>
      </c>
      <c r="R79">
        <f>SUM(M79+P79)</f>
        <v>1</v>
      </c>
    </row>
    <row r="80" spans="1:18" x14ac:dyDescent="0.2">
      <c r="A80">
        <v>35994</v>
      </c>
      <c r="B80" t="s">
        <v>11</v>
      </c>
      <c r="C80">
        <v>0</v>
      </c>
      <c r="D80">
        <v>2439</v>
      </c>
      <c r="E80">
        <v>2.97255295092398E-3</v>
      </c>
      <c r="F80">
        <v>9.2848155029153501E-3</v>
      </c>
      <c r="G80">
        <v>1.3465091456239701E-2</v>
      </c>
      <c r="H80">
        <v>6.0856455732707102E-3</v>
      </c>
      <c r="I80">
        <v>1.9879721935380699E-3</v>
      </c>
      <c r="J80">
        <v>-1.5659638663286499</v>
      </c>
      <c r="K80">
        <v>35</v>
      </c>
      <c r="L80" t="b">
        <v>1</v>
      </c>
      <c r="M80" t="b">
        <v>1</v>
      </c>
      <c r="N80" t="b">
        <v>0</v>
      </c>
      <c r="O80" t="b">
        <v>0</v>
      </c>
      <c r="P80" t="b">
        <v>0</v>
      </c>
      <c r="Q80" t="s">
        <v>11</v>
      </c>
      <c r="R80">
        <f>SUM(M80+P80)</f>
        <v>1</v>
      </c>
    </row>
    <row r="81" spans="1:18" x14ac:dyDescent="0.2">
      <c r="A81">
        <v>36344</v>
      </c>
      <c r="B81" t="s">
        <v>11</v>
      </c>
      <c r="C81">
        <v>14</v>
      </c>
      <c r="D81">
        <v>967</v>
      </c>
      <c r="E81">
        <v>0.135145664652775</v>
      </c>
      <c r="F81">
        <v>2.9786058685444799E-2</v>
      </c>
      <c r="G81">
        <v>5.2767417271564997E-2</v>
      </c>
      <c r="H81">
        <v>0.23453334138205001</v>
      </c>
      <c r="I81">
        <v>7.4200463978941394E-2</v>
      </c>
      <c r="J81">
        <v>-1.3394481840097701</v>
      </c>
      <c r="K81">
        <v>30</v>
      </c>
      <c r="L81" t="b">
        <v>1</v>
      </c>
      <c r="M81" t="b">
        <v>1</v>
      </c>
      <c r="N81" t="b">
        <v>0</v>
      </c>
      <c r="O81" t="b">
        <v>0</v>
      </c>
      <c r="P81" t="b">
        <v>0</v>
      </c>
      <c r="Q81" t="s">
        <v>11</v>
      </c>
      <c r="R81">
        <f>SUM(M81+P81)</f>
        <v>1</v>
      </c>
    </row>
    <row r="82" spans="1:18" x14ac:dyDescent="0.2">
      <c r="A82">
        <v>38637</v>
      </c>
      <c r="B82" t="s">
        <v>11</v>
      </c>
      <c r="C82">
        <v>326.5</v>
      </c>
      <c r="D82">
        <v>350</v>
      </c>
      <c r="E82">
        <v>0.33257893615247602</v>
      </c>
      <c r="F82">
        <v>0.23787713950347</v>
      </c>
      <c r="G82">
        <v>0.23760734923079399</v>
      </c>
      <c r="H82">
        <v>13.326353200095999</v>
      </c>
      <c r="I82">
        <v>2.12703164445605</v>
      </c>
      <c r="J82">
        <v>-6.1088767991820303</v>
      </c>
      <c r="K82">
        <v>24</v>
      </c>
      <c r="L82" t="b">
        <v>1</v>
      </c>
      <c r="M82" t="b">
        <v>0</v>
      </c>
      <c r="N82" t="b">
        <v>1</v>
      </c>
      <c r="O82" t="b">
        <v>1</v>
      </c>
      <c r="P82" t="b">
        <v>1</v>
      </c>
      <c r="Q82" t="s">
        <v>11</v>
      </c>
      <c r="R82">
        <f>SUM(M82+P82)</f>
        <v>1</v>
      </c>
    </row>
    <row r="83" spans="1:18" x14ac:dyDescent="0.2">
      <c r="A83">
        <v>38791</v>
      </c>
      <c r="B83" t="s">
        <v>10</v>
      </c>
      <c r="C83">
        <v>5</v>
      </c>
      <c r="D83">
        <v>2260</v>
      </c>
      <c r="E83">
        <v>9.9039733427576104E-2</v>
      </c>
      <c r="F83">
        <v>0.15596602346803101</v>
      </c>
      <c r="G83">
        <v>2.321311835881E-2</v>
      </c>
      <c r="H83">
        <v>0.19301083051446499</v>
      </c>
      <c r="I83">
        <v>0.107530057394219</v>
      </c>
      <c r="J83">
        <v>-0.87390539319046701</v>
      </c>
      <c r="K83">
        <v>22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s">
        <v>10</v>
      </c>
      <c r="R83">
        <f>SUM(M83+P83)</f>
        <v>1</v>
      </c>
    </row>
    <row r="84" spans="1:18" x14ac:dyDescent="0.2">
      <c r="A84">
        <v>38820</v>
      </c>
      <c r="B84" t="s">
        <v>10</v>
      </c>
      <c r="C84">
        <v>0</v>
      </c>
      <c r="D84">
        <v>2670</v>
      </c>
      <c r="E84">
        <v>4.7859981142241402E-3</v>
      </c>
      <c r="F84">
        <v>2.2344606643291399E-2</v>
      </c>
      <c r="G84">
        <v>1.0114840439576099E-2</v>
      </c>
      <c r="H84">
        <v>1.36647254680765E-2</v>
      </c>
      <c r="I84">
        <v>7.9956179103662494E-3</v>
      </c>
      <c r="J84">
        <v>-1.11044918021172</v>
      </c>
      <c r="K84">
        <v>31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s">
        <v>10</v>
      </c>
      <c r="R84">
        <f>SUM(M84+P84)</f>
        <v>1</v>
      </c>
    </row>
    <row r="85" spans="1:18" x14ac:dyDescent="0.2">
      <c r="A85">
        <v>38822</v>
      </c>
      <c r="B85" t="s">
        <v>11</v>
      </c>
      <c r="C85">
        <v>163.5</v>
      </c>
      <c r="D85">
        <v>2558</v>
      </c>
      <c r="E85">
        <v>1.74548080400262E-2</v>
      </c>
      <c r="F85">
        <v>2.8150751345668398E-2</v>
      </c>
      <c r="G85">
        <v>0.10920387334185</v>
      </c>
      <c r="H85">
        <v>2.9238685988546901E-2</v>
      </c>
      <c r="I85">
        <v>1.2553262294944601E-2</v>
      </c>
      <c r="J85">
        <v>-0.93871040623968804</v>
      </c>
      <c r="K85">
        <v>11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s">
        <v>11</v>
      </c>
      <c r="R85">
        <f>SUM(M85+P85)</f>
        <v>1</v>
      </c>
    </row>
    <row r="86" spans="1:18" x14ac:dyDescent="0.2">
      <c r="A86">
        <v>39032</v>
      </c>
      <c r="B86" t="s">
        <v>11</v>
      </c>
      <c r="C86">
        <v>0</v>
      </c>
      <c r="D86">
        <v>2670</v>
      </c>
      <c r="E86">
        <v>0</v>
      </c>
      <c r="F86">
        <v>4.1879395892101398E-4</v>
      </c>
      <c r="G86">
        <v>2.1328498703669699E-3</v>
      </c>
      <c r="H86">
        <v>0</v>
      </c>
      <c r="I86">
        <v>0</v>
      </c>
      <c r="J86" t="s">
        <v>18</v>
      </c>
      <c r="K86" s="5">
        <v>11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s">
        <v>11</v>
      </c>
      <c r="R86">
        <f>SUM(M86+P86)</f>
        <v>1</v>
      </c>
    </row>
    <row r="87" spans="1:18" x14ac:dyDescent="0.2">
      <c r="A87">
        <v>39188</v>
      </c>
      <c r="B87" t="s">
        <v>10</v>
      </c>
      <c r="C87">
        <v>250</v>
      </c>
      <c r="D87">
        <v>422</v>
      </c>
      <c r="E87">
        <v>0.26700142013016698</v>
      </c>
      <c r="F87">
        <v>0.17797316884960099</v>
      </c>
      <c r="G87">
        <v>0.17225625733734001</v>
      </c>
      <c r="H87">
        <v>7.7209422278202799</v>
      </c>
      <c r="I87">
        <v>1.3630105357837901</v>
      </c>
      <c r="J87">
        <v>-5.4687330816586499</v>
      </c>
      <c r="K87" s="5">
        <v>12</v>
      </c>
      <c r="L87" t="b">
        <v>1</v>
      </c>
      <c r="M87" t="b">
        <v>0</v>
      </c>
      <c r="N87" t="b">
        <v>1</v>
      </c>
      <c r="O87" t="b">
        <v>1</v>
      </c>
      <c r="P87" t="b">
        <v>1</v>
      </c>
      <c r="Q87" t="s">
        <v>10</v>
      </c>
      <c r="R87">
        <f>SUM(M87+P87)</f>
        <v>1</v>
      </c>
    </row>
    <row r="88" spans="1:18" x14ac:dyDescent="0.2">
      <c r="A88">
        <v>39237</v>
      </c>
      <c r="B88" t="s">
        <v>10</v>
      </c>
      <c r="C88">
        <v>406</v>
      </c>
      <c r="D88">
        <v>349</v>
      </c>
      <c r="E88">
        <v>0.237431763165695</v>
      </c>
      <c r="F88">
        <v>0.23827634473437101</v>
      </c>
      <c r="G88">
        <v>0.26544908783195298</v>
      </c>
      <c r="H88">
        <v>16.003178227046501</v>
      </c>
      <c r="I88">
        <v>2.5626357159455302</v>
      </c>
      <c r="J88">
        <v>-6.1521605922298299</v>
      </c>
      <c r="K88">
        <v>19</v>
      </c>
      <c r="L88" t="b">
        <v>1</v>
      </c>
      <c r="M88" t="b">
        <v>0</v>
      </c>
      <c r="N88" t="b">
        <v>1</v>
      </c>
      <c r="O88" t="b">
        <v>1</v>
      </c>
      <c r="P88" t="b">
        <v>1</v>
      </c>
      <c r="Q88" t="s">
        <v>10</v>
      </c>
      <c r="R88">
        <f>SUM(M88+P88)</f>
        <v>1</v>
      </c>
    </row>
    <row r="89" spans="1:18" x14ac:dyDescent="0.2">
      <c r="A89">
        <v>39285</v>
      </c>
      <c r="B89" t="s">
        <v>10</v>
      </c>
      <c r="C89">
        <v>497.10456115439598</v>
      </c>
      <c r="D89">
        <v>397</v>
      </c>
      <c r="E89">
        <v>0.320690684144389</v>
      </c>
      <c r="F89">
        <v>0.142476145108552</v>
      </c>
      <c r="G89">
        <v>0.244578703427272</v>
      </c>
      <c r="H89">
        <v>7.9193811040916398</v>
      </c>
      <c r="I89">
        <v>1.3098315783127501</v>
      </c>
      <c r="J89">
        <v>-5.8012728855838596</v>
      </c>
      <c r="K89">
        <v>45</v>
      </c>
      <c r="L89" t="b">
        <v>1</v>
      </c>
      <c r="M89" t="b">
        <v>0</v>
      </c>
      <c r="N89" t="b">
        <v>1</v>
      </c>
      <c r="O89" t="b">
        <v>1</v>
      </c>
      <c r="P89" t="b">
        <v>1</v>
      </c>
      <c r="Q89" t="s">
        <v>10</v>
      </c>
      <c r="R89">
        <f>SUM(M89+P89)</f>
        <v>1</v>
      </c>
    </row>
    <row r="90" spans="1:18" x14ac:dyDescent="0.2">
      <c r="A90">
        <v>44347</v>
      </c>
      <c r="B90" t="s">
        <v>11</v>
      </c>
      <c r="C90">
        <v>5218</v>
      </c>
      <c r="D90">
        <v>298</v>
      </c>
      <c r="E90">
        <v>0.75415091083701002</v>
      </c>
      <c r="F90">
        <v>0.236953126807676</v>
      </c>
      <c r="G90">
        <v>0.30906097493449902</v>
      </c>
      <c r="H90">
        <v>10.199045918865</v>
      </c>
      <c r="I90">
        <v>1.9593980867204901</v>
      </c>
      <c r="J90">
        <v>-4.8203042924453499</v>
      </c>
      <c r="K90" s="5">
        <v>13</v>
      </c>
      <c r="L90" t="b">
        <v>1</v>
      </c>
      <c r="M90" t="b">
        <v>0</v>
      </c>
      <c r="N90" t="b">
        <v>1</v>
      </c>
      <c r="O90" t="b">
        <v>1</v>
      </c>
      <c r="P90" t="b">
        <v>1</v>
      </c>
      <c r="Q90" t="s">
        <v>11</v>
      </c>
      <c r="R90">
        <f>SUM(M90+P90)</f>
        <v>1</v>
      </c>
    </row>
    <row r="91" spans="1:18" x14ac:dyDescent="0.2">
      <c r="A91">
        <v>44569</v>
      </c>
      <c r="B91" t="s">
        <v>11</v>
      </c>
      <c r="C91">
        <v>312</v>
      </c>
      <c r="D91">
        <v>2402</v>
      </c>
      <c r="E91">
        <v>1.794422322253E-2</v>
      </c>
      <c r="F91">
        <v>4.7990327126953497E-3</v>
      </c>
      <c r="G91">
        <v>4.2084057352266203E-2</v>
      </c>
      <c r="H91">
        <v>2.9147153761999701E-2</v>
      </c>
      <c r="I91">
        <v>9.8822330182282894E-3</v>
      </c>
      <c r="J91">
        <v>-1.13364363285153</v>
      </c>
      <c r="K91">
        <v>37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s">
        <v>11</v>
      </c>
      <c r="R91">
        <f>SUM(M91+P91)</f>
        <v>1</v>
      </c>
    </row>
    <row r="92" spans="1:18" x14ac:dyDescent="0.2">
      <c r="A92">
        <v>45047</v>
      </c>
      <c r="B92" t="s">
        <v>11</v>
      </c>
      <c r="C92">
        <v>7909.5</v>
      </c>
      <c r="D92">
        <v>314</v>
      </c>
      <c r="E92">
        <v>0.31809463147764</v>
      </c>
      <c r="F92">
        <v>0.208503658721197</v>
      </c>
      <c r="G92">
        <v>0.14848620835089299</v>
      </c>
      <c r="H92">
        <v>7.92503764056538</v>
      </c>
      <c r="I92">
        <v>1.316199398343</v>
      </c>
      <c r="J92">
        <v>-5.7794761330725004</v>
      </c>
      <c r="K92">
        <v>28</v>
      </c>
      <c r="L92" t="b">
        <v>1</v>
      </c>
      <c r="M92" t="b">
        <v>0</v>
      </c>
      <c r="N92" t="b">
        <v>1</v>
      </c>
      <c r="O92" t="b">
        <v>1</v>
      </c>
      <c r="P92" t="b">
        <v>1</v>
      </c>
      <c r="Q92" t="s">
        <v>11</v>
      </c>
      <c r="R92">
        <f>SUM(M92+P92)</f>
        <v>1</v>
      </c>
    </row>
    <row r="93" spans="1:18" x14ac:dyDescent="0.2">
      <c r="A93">
        <v>45776</v>
      </c>
      <c r="B93" t="s">
        <v>10</v>
      </c>
      <c r="C93">
        <v>767</v>
      </c>
      <c r="D93">
        <v>294</v>
      </c>
      <c r="E93">
        <v>0.36672253395534998</v>
      </c>
      <c r="F93">
        <v>0.31653127516116902</v>
      </c>
      <c r="G93">
        <v>0.210389238575377</v>
      </c>
      <c r="H93">
        <v>15.6622123701187</v>
      </c>
      <c r="I93">
        <v>2.4925055973111299</v>
      </c>
      <c r="J93">
        <v>-6.1365919710125896</v>
      </c>
      <c r="K93">
        <v>36</v>
      </c>
      <c r="L93" t="b">
        <v>1</v>
      </c>
      <c r="M93" t="b">
        <v>0</v>
      </c>
      <c r="N93" t="b">
        <v>1</v>
      </c>
      <c r="O93" t="b">
        <v>1</v>
      </c>
      <c r="P93" t="b">
        <v>1</v>
      </c>
      <c r="Q93" t="s">
        <v>10</v>
      </c>
      <c r="R93">
        <f>SUM(M93+P93)</f>
        <v>1</v>
      </c>
    </row>
    <row r="94" spans="1:18" x14ac:dyDescent="0.2">
      <c r="A94">
        <v>45920</v>
      </c>
      <c r="B94" t="s">
        <v>10</v>
      </c>
      <c r="C94">
        <v>787.5</v>
      </c>
      <c r="D94">
        <v>335</v>
      </c>
      <c r="E94">
        <v>0.32627393543820998</v>
      </c>
      <c r="F94">
        <v>0.23900132594781201</v>
      </c>
      <c r="G94">
        <v>0.24413829593800601</v>
      </c>
      <c r="H94">
        <v>13.8574210517585</v>
      </c>
      <c r="I94">
        <v>2.5217394342322601</v>
      </c>
      <c r="J94">
        <v>-5.3657990721154203</v>
      </c>
      <c r="K94">
        <v>41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s">
        <v>10</v>
      </c>
      <c r="R94">
        <f>SUM(M94+P94)</f>
        <v>1</v>
      </c>
    </row>
    <row r="95" spans="1:18" x14ac:dyDescent="0.2">
      <c r="A95">
        <v>46125</v>
      </c>
      <c r="B95" t="s">
        <v>10</v>
      </c>
      <c r="C95">
        <v>270</v>
      </c>
      <c r="D95">
        <v>502</v>
      </c>
      <c r="E95">
        <v>0.11438448515147499</v>
      </c>
      <c r="F95">
        <v>0.233867856565069</v>
      </c>
      <c r="G95">
        <v>4.69819383813131E-2</v>
      </c>
      <c r="H95">
        <v>2.5374861804017601</v>
      </c>
      <c r="I95">
        <v>0.46130178096540098</v>
      </c>
      <c r="J95">
        <v>-5.2527473234100199</v>
      </c>
      <c r="K95">
        <v>44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s">
        <v>10</v>
      </c>
      <c r="R95">
        <f>SUM(M95+P95)</f>
        <v>1</v>
      </c>
    </row>
    <row r="96" spans="1:18" x14ac:dyDescent="0.2">
      <c r="A96">
        <v>46419</v>
      </c>
      <c r="B96" t="s">
        <v>11</v>
      </c>
      <c r="C96">
        <v>3851.5</v>
      </c>
      <c r="D96">
        <v>423</v>
      </c>
      <c r="E96">
        <v>0.92839089511113104</v>
      </c>
      <c r="F96">
        <v>0.23824500931673001</v>
      </c>
      <c r="G96">
        <v>0.15276307196685199</v>
      </c>
      <c r="H96">
        <v>10.0142243567711</v>
      </c>
      <c r="I96">
        <v>1.42271391737231</v>
      </c>
      <c r="J96">
        <v>-6.3862687717577398</v>
      </c>
      <c r="K96">
        <v>36</v>
      </c>
      <c r="L96" t="b">
        <v>1</v>
      </c>
      <c r="M96" t="b">
        <v>0</v>
      </c>
      <c r="N96" t="b">
        <v>1</v>
      </c>
      <c r="O96" t="b">
        <v>1</v>
      </c>
      <c r="P96" t="b">
        <v>1</v>
      </c>
      <c r="Q96" t="s">
        <v>11</v>
      </c>
      <c r="R96">
        <f>SUM(M96+P96)</f>
        <v>1</v>
      </c>
    </row>
    <row r="97" spans="1:18" x14ac:dyDescent="0.2">
      <c r="A97">
        <v>48114</v>
      </c>
      <c r="B97" t="s">
        <v>10</v>
      </c>
      <c r="C97">
        <v>2184</v>
      </c>
      <c r="D97">
        <v>495</v>
      </c>
      <c r="E97">
        <v>1.38327606062897</v>
      </c>
      <c r="F97">
        <v>0.15502127407633301</v>
      </c>
      <c r="G97">
        <v>0.26821112908445599</v>
      </c>
      <c r="H97">
        <v>9.4488903463934903</v>
      </c>
      <c r="I97">
        <v>1.4667646626631099</v>
      </c>
      <c r="J97">
        <v>-5.4989150550711603</v>
      </c>
      <c r="K97">
        <v>33</v>
      </c>
      <c r="L97" t="b">
        <v>1</v>
      </c>
      <c r="M97" t="b">
        <v>0</v>
      </c>
      <c r="N97" t="b">
        <v>1</v>
      </c>
      <c r="O97" t="b">
        <v>1</v>
      </c>
      <c r="P97" t="b">
        <v>1</v>
      </c>
      <c r="Q97" t="s">
        <v>10</v>
      </c>
      <c r="R97">
        <f>SUM(M97+P97)</f>
        <v>1</v>
      </c>
    </row>
    <row r="98" spans="1:18" x14ac:dyDescent="0.2">
      <c r="A98">
        <v>49393</v>
      </c>
      <c r="B98" t="s">
        <v>11</v>
      </c>
      <c r="C98">
        <v>69</v>
      </c>
      <c r="D98">
        <v>266</v>
      </c>
      <c r="E98">
        <v>0.26078644767620202</v>
      </c>
      <c r="F98">
        <v>0.26141684829867801</v>
      </c>
      <c r="G98">
        <v>0.33266425796989502</v>
      </c>
      <c r="H98">
        <v>22.652556402690202</v>
      </c>
      <c r="I98">
        <v>3.72806050928043</v>
      </c>
      <c r="J98">
        <v>-6.0062785728056696</v>
      </c>
      <c r="K98">
        <v>26</v>
      </c>
      <c r="L98" t="b">
        <v>1</v>
      </c>
      <c r="M98" t="b">
        <v>0</v>
      </c>
      <c r="N98" t="b">
        <v>1</v>
      </c>
      <c r="O98" t="b">
        <v>1</v>
      </c>
      <c r="P98" t="b">
        <v>1</v>
      </c>
      <c r="Q98" t="s">
        <v>11</v>
      </c>
      <c r="R98">
        <f>SUM(M98+P98)</f>
        <v>1</v>
      </c>
    </row>
    <row r="99" spans="1:18" x14ac:dyDescent="0.2">
      <c r="A99">
        <v>53347</v>
      </c>
      <c r="B99" t="s">
        <v>10</v>
      </c>
      <c r="C99">
        <v>10164</v>
      </c>
      <c r="D99">
        <v>434</v>
      </c>
      <c r="E99">
        <v>0.87106734607660696</v>
      </c>
      <c r="F99">
        <v>0.306948452149502</v>
      </c>
      <c r="G99">
        <v>0.22699772277702299</v>
      </c>
      <c r="H99">
        <v>18.781836731531001</v>
      </c>
      <c r="I99">
        <v>2.81241315609509</v>
      </c>
      <c r="J99">
        <v>-6.3684702038311896</v>
      </c>
      <c r="K99">
        <v>33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s">
        <v>10</v>
      </c>
      <c r="R99">
        <f>SUM(M99+P99)</f>
        <v>1</v>
      </c>
    </row>
    <row r="100" spans="1:18" x14ac:dyDescent="0.2">
      <c r="A100">
        <v>53381</v>
      </c>
      <c r="B100" t="s">
        <v>10</v>
      </c>
      <c r="C100">
        <v>427</v>
      </c>
      <c r="D100">
        <v>369</v>
      </c>
      <c r="E100">
        <v>0.23776038774170699</v>
      </c>
      <c r="F100">
        <v>0.190519692873755</v>
      </c>
      <c r="G100">
        <v>0.28273575003248402</v>
      </c>
      <c r="H100">
        <v>11.5484306275559</v>
      </c>
      <c r="I100">
        <v>2.2507326780428198</v>
      </c>
      <c r="J100">
        <v>-5.0253281298824204</v>
      </c>
      <c r="K100">
        <v>44</v>
      </c>
      <c r="L100" t="b">
        <v>1</v>
      </c>
      <c r="M100" t="b">
        <v>0</v>
      </c>
      <c r="N100" t="b">
        <v>1</v>
      </c>
      <c r="O100" t="b">
        <v>1</v>
      </c>
      <c r="P100" t="b">
        <v>1</v>
      </c>
      <c r="Q100" t="s">
        <v>10</v>
      </c>
      <c r="R100">
        <f>SUM(M100+P100)</f>
        <v>1</v>
      </c>
    </row>
    <row r="101" spans="1:18" x14ac:dyDescent="0.2">
      <c r="A101">
        <v>53417</v>
      </c>
      <c r="B101" t="s">
        <v>10</v>
      </c>
      <c r="C101">
        <v>824.5</v>
      </c>
      <c r="D101">
        <v>495</v>
      </c>
      <c r="E101">
        <v>0.86617489980338802</v>
      </c>
      <c r="F101">
        <v>0.26726730267626297</v>
      </c>
      <c r="G101">
        <v>0.13090073120182</v>
      </c>
      <c r="H101">
        <v>9.4169216481397502</v>
      </c>
      <c r="I101">
        <v>1.41902069288306</v>
      </c>
      <c r="J101">
        <v>-6.0258083558764604</v>
      </c>
      <c r="K101">
        <v>26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s">
        <v>10</v>
      </c>
      <c r="R101">
        <f>SUM(M101+P101)</f>
        <v>1</v>
      </c>
    </row>
    <row r="102" spans="1:18" x14ac:dyDescent="0.2">
      <c r="A102">
        <v>53745</v>
      </c>
      <c r="B102" t="s">
        <v>10</v>
      </c>
      <c r="C102">
        <v>0</v>
      </c>
      <c r="D102">
        <v>2329</v>
      </c>
      <c r="E102" s="1">
        <v>3.3435232777762399E-5</v>
      </c>
      <c r="F102">
        <v>9.8669536979094797E-3</v>
      </c>
      <c r="G102">
        <v>2.8731220867165802E-3</v>
      </c>
      <c r="H102">
        <v>2.3486579264739201E-4</v>
      </c>
      <c r="I102">
        <v>2.9354397047413899E-4</v>
      </c>
      <c r="J102">
        <v>-0.68620234149001402</v>
      </c>
      <c r="K102">
        <v>16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s">
        <v>10</v>
      </c>
      <c r="R102">
        <f>SUM(M102+P102)</f>
        <v>1</v>
      </c>
    </row>
    <row r="103" spans="1:18" x14ac:dyDescent="0.2">
      <c r="A103">
        <v>55774</v>
      </c>
      <c r="B103" t="s">
        <v>10</v>
      </c>
      <c r="C103">
        <v>2.5</v>
      </c>
      <c r="D103">
        <v>303</v>
      </c>
      <c r="E103">
        <v>0.47366668417372199</v>
      </c>
      <c r="F103">
        <v>0.148548231227107</v>
      </c>
      <c r="G103">
        <v>0.222177113804644</v>
      </c>
      <c r="H103">
        <v>9.3827454371204801</v>
      </c>
      <c r="I103">
        <v>1.3276524295019201</v>
      </c>
      <c r="J103">
        <v>-6.7103999171598296</v>
      </c>
      <c r="K103">
        <v>18</v>
      </c>
      <c r="L103" t="b">
        <v>1</v>
      </c>
      <c r="M103" t="b">
        <v>0</v>
      </c>
      <c r="N103" t="b">
        <v>1</v>
      </c>
      <c r="O103" t="b">
        <v>1</v>
      </c>
      <c r="P103" t="b">
        <v>1</v>
      </c>
      <c r="Q103" t="s">
        <v>10</v>
      </c>
      <c r="R103">
        <f>SUM(M103+P103)</f>
        <v>1</v>
      </c>
    </row>
    <row r="104" spans="1:18" x14ac:dyDescent="0.2">
      <c r="A104">
        <v>59774</v>
      </c>
      <c r="B104" t="s">
        <v>10</v>
      </c>
      <c r="C104">
        <v>5643.5</v>
      </c>
      <c r="D104">
        <v>352</v>
      </c>
      <c r="E104">
        <v>0.571230909860447</v>
      </c>
      <c r="F104">
        <v>0.23351471995098799</v>
      </c>
      <c r="G104">
        <v>0.221782197882784</v>
      </c>
      <c r="H104">
        <v>13.7101179062276</v>
      </c>
      <c r="I104">
        <v>2.39929280023278</v>
      </c>
      <c r="J104">
        <v>-5.4761498867884901</v>
      </c>
      <c r="K104">
        <v>22</v>
      </c>
      <c r="L104" t="b">
        <v>1</v>
      </c>
      <c r="M104" t="b">
        <v>0</v>
      </c>
      <c r="N104" t="b">
        <v>1</v>
      </c>
      <c r="O104" t="b">
        <v>1</v>
      </c>
      <c r="P104" t="b">
        <v>1</v>
      </c>
      <c r="Q104" t="s">
        <v>10</v>
      </c>
      <c r="R104">
        <f>SUM(M104+P104)</f>
        <v>1</v>
      </c>
    </row>
    <row r="105" spans="1:18" x14ac:dyDescent="0.2">
      <c r="A105">
        <v>59803</v>
      </c>
      <c r="B105" t="s">
        <v>10</v>
      </c>
      <c r="C105">
        <v>39</v>
      </c>
      <c r="D105">
        <v>397</v>
      </c>
      <c r="E105">
        <v>1.3438946190191801</v>
      </c>
      <c r="F105">
        <v>0.31805901321250801</v>
      </c>
      <c r="G105">
        <v>0.233001172773561</v>
      </c>
      <c r="H105">
        <v>19.460607764083701</v>
      </c>
      <c r="I105">
        <v>3.2111698384110099</v>
      </c>
      <c r="J105">
        <v>-5.6417798050909997</v>
      </c>
      <c r="K105">
        <v>9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s">
        <v>10</v>
      </c>
      <c r="R105">
        <f>SUM(M105+P105)</f>
        <v>1</v>
      </c>
    </row>
    <row r="106" spans="1:18" x14ac:dyDescent="0.2">
      <c r="A106">
        <v>59817</v>
      </c>
      <c r="B106" t="s">
        <v>10</v>
      </c>
      <c r="C106">
        <v>0</v>
      </c>
      <c r="D106">
        <v>2670</v>
      </c>
      <c r="E106">
        <v>0</v>
      </c>
      <c r="F106">
        <v>5.2643833102281698E-2</v>
      </c>
      <c r="G106">
        <v>5.4469248343639802E-2</v>
      </c>
      <c r="H106" s="1">
        <v>8.2674427309613002E-5</v>
      </c>
      <c r="I106">
        <v>5.7901056886425803E-4</v>
      </c>
      <c r="J106">
        <v>-0.14278569641963601</v>
      </c>
      <c r="K106">
        <v>34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s">
        <v>10</v>
      </c>
      <c r="R106">
        <f>SUM(M106+P106)</f>
        <v>1</v>
      </c>
    </row>
    <row r="107" spans="1:18" x14ac:dyDescent="0.2">
      <c r="A107">
        <v>59830</v>
      </c>
      <c r="B107" t="s">
        <v>10</v>
      </c>
      <c r="C107">
        <v>48</v>
      </c>
      <c r="D107">
        <v>326</v>
      </c>
      <c r="E107">
        <v>0.21416145930554001</v>
      </c>
      <c r="F107">
        <v>0.18948920804094799</v>
      </c>
      <c r="G107">
        <v>0.29755756672922701</v>
      </c>
      <c r="H107">
        <v>14.0324666054953</v>
      </c>
      <c r="I107">
        <v>2.2517645132390598</v>
      </c>
      <c r="J107">
        <v>-6.1366564154227499</v>
      </c>
      <c r="K107">
        <v>36</v>
      </c>
      <c r="L107" t="b">
        <v>1</v>
      </c>
      <c r="M107" t="b">
        <v>0</v>
      </c>
      <c r="N107" t="b">
        <v>1</v>
      </c>
      <c r="O107" t="b">
        <v>1</v>
      </c>
      <c r="P107" t="b">
        <v>1</v>
      </c>
      <c r="Q107" t="s">
        <v>10</v>
      </c>
      <c r="R107">
        <f>SUM(M107+P107)</f>
        <v>1</v>
      </c>
    </row>
    <row r="108" spans="1:18" x14ac:dyDescent="0.2">
      <c r="A108">
        <v>62811</v>
      </c>
      <c r="B108" t="s">
        <v>10</v>
      </c>
      <c r="C108">
        <v>806</v>
      </c>
      <c r="D108">
        <v>318</v>
      </c>
      <c r="E108">
        <v>0.274099379458977</v>
      </c>
      <c r="F108">
        <v>0.131320422639917</v>
      </c>
      <c r="G108">
        <v>0.246065999100225</v>
      </c>
      <c r="H108">
        <v>8.6501516248828096</v>
      </c>
      <c r="I108">
        <v>1.35681262517065</v>
      </c>
      <c r="J108">
        <v>-6.1733301194557599</v>
      </c>
      <c r="K108">
        <v>39</v>
      </c>
      <c r="L108" t="b">
        <v>1</v>
      </c>
      <c r="M108" t="b">
        <v>0</v>
      </c>
      <c r="N108" t="b">
        <v>1</v>
      </c>
      <c r="O108" t="b">
        <v>1</v>
      </c>
      <c r="P108" t="b">
        <v>1</v>
      </c>
      <c r="Q108" t="s">
        <v>10</v>
      </c>
      <c r="R108">
        <f>SUM(M108+P108)</f>
        <v>1</v>
      </c>
    </row>
    <row r="109" spans="1:18" x14ac:dyDescent="0.2">
      <c r="A109">
        <v>62868</v>
      </c>
      <c r="B109" t="s">
        <v>10</v>
      </c>
      <c r="C109">
        <v>30</v>
      </c>
      <c r="D109">
        <v>285</v>
      </c>
      <c r="E109">
        <v>0.30744941013826599</v>
      </c>
      <c r="F109">
        <v>0.25209049541480399</v>
      </c>
      <c r="G109">
        <v>0.26260370311308701</v>
      </c>
      <c r="H109">
        <v>17.528310754996301</v>
      </c>
      <c r="I109">
        <v>2.5443018892153</v>
      </c>
      <c r="J109">
        <v>-6.7684033163883903</v>
      </c>
      <c r="K109">
        <v>28</v>
      </c>
      <c r="L109" t="b">
        <v>1</v>
      </c>
      <c r="M109" t="b">
        <v>0</v>
      </c>
      <c r="N109" t="b">
        <v>1</v>
      </c>
      <c r="O109" t="b">
        <v>1</v>
      </c>
      <c r="P109" t="b">
        <v>1</v>
      </c>
      <c r="Q109" t="s">
        <v>10</v>
      </c>
      <c r="R109">
        <f>SUM(M109+P109)</f>
        <v>1</v>
      </c>
    </row>
    <row r="110" spans="1:18" x14ac:dyDescent="0.2">
      <c r="A110">
        <v>63127</v>
      </c>
      <c r="B110" t="s">
        <v>10</v>
      </c>
      <c r="C110">
        <v>484</v>
      </c>
      <c r="D110">
        <v>451</v>
      </c>
      <c r="E110">
        <v>4.2336147710945697</v>
      </c>
      <c r="F110">
        <v>0.22038631533284</v>
      </c>
      <c r="G110">
        <v>0.320711517062998</v>
      </c>
      <c r="H110">
        <v>18.7062145651695</v>
      </c>
      <c r="I110">
        <v>2.8617847424250602</v>
      </c>
      <c r="J110">
        <v>-5.0571937083607796</v>
      </c>
      <c r="K110">
        <v>44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s">
        <v>10</v>
      </c>
      <c r="R110">
        <f>SUM(M110+P110)</f>
        <v>1</v>
      </c>
    </row>
    <row r="111" spans="1:18" x14ac:dyDescent="0.2">
      <c r="A111">
        <v>63695</v>
      </c>
      <c r="B111" t="s">
        <v>10</v>
      </c>
      <c r="C111">
        <v>231</v>
      </c>
      <c r="D111">
        <v>273</v>
      </c>
      <c r="E111">
        <v>0.67649136687516298</v>
      </c>
      <c r="F111">
        <v>0.25235458602007299</v>
      </c>
      <c r="G111">
        <v>0.25758610613143201</v>
      </c>
      <c r="H111">
        <v>16.1795427059111</v>
      </c>
      <c r="I111">
        <v>2.82211929670573</v>
      </c>
      <c r="J111">
        <v>-5.4934075101405799</v>
      </c>
      <c r="K111">
        <v>24</v>
      </c>
      <c r="L111" t="b">
        <v>1</v>
      </c>
      <c r="M111" t="b">
        <v>0</v>
      </c>
      <c r="N111" t="b">
        <v>1</v>
      </c>
      <c r="O111" t="b">
        <v>1</v>
      </c>
      <c r="P111" t="b">
        <v>1</v>
      </c>
      <c r="Q111" t="s">
        <v>10</v>
      </c>
      <c r="R111">
        <f>SUM(M111+P111)</f>
        <v>1</v>
      </c>
    </row>
    <row r="112" spans="1:18" x14ac:dyDescent="0.2">
      <c r="A112">
        <v>29134</v>
      </c>
      <c r="B112" t="s">
        <v>10</v>
      </c>
      <c r="C112">
        <v>56</v>
      </c>
      <c r="D112">
        <v>497</v>
      </c>
      <c r="E112">
        <v>0.58907882681268497</v>
      </c>
      <c r="F112">
        <v>0.13811701371969801</v>
      </c>
      <c r="G112">
        <v>0.20040829301779201</v>
      </c>
      <c r="H112">
        <v>6.5612764086678501</v>
      </c>
      <c r="I112">
        <v>1.0962626011163501</v>
      </c>
      <c r="J112">
        <v>-5.4477800991966099</v>
      </c>
      <c r="K112">
        <v>18</v>
      </c>
      <c r="L112" t="b">
        <v>0</v>
      </c>
      <c r="M112" t="b">
        <v>0</v>
      </c>
      <c r="N112" t="b">
        <v>1</v>
      </c>
      <c r="O112" t="b">
        <v>1</v>
      </c>
      <c r="P112" t="b">
        <v>1</v>
      </c>
      <c r="Q112" t="s">
        <v>10</v>
      </c>
      <c r="R112">
        <f>SUM(M112+P112)</f>
        <v>1</v>
      </c>
    </row>
    <row r="113" spans="1:18" x14ac:dyDescent="0.2">
      <c r="A113">
        <v>29395</v>
      </c>
      <c r="B113" t="s">
        <v>10</v>
      </c>
      <c r="C113">
        <v>3659.5</v>
      </c>
      <c r="D113">
        <v>329</v>
      </c>
      <c r="E113">
        <v>0.61109344576345703</v>
      </c>
      <c r="F113">
        <v>0.23435009032370699</v>
      </c>
      <c r="G113">
        <v>0.21705139096117099</v>
      </c>
      <c r="H113">
        <v>11.657732983853901</v>
      </c>
      <c r="I113">
        <v>1.9091555528308199</v>
      </c>
      <c r="J113">
        <v>-5.7861390716491803</v>
      </c>
      <c r="K113">
        <v>30</v>
      </c>
      <c r="L113" t="b">
        <v>0</v>
      </c>
      <c r="M113" t="b">
        <v>0</v>
      </c>
      <c r="N113" t="b">
        <v>1</v>
      </c>
      <c r="O113" t="b">
        <v>1</v>
      </c>
      <c r="P113" t="b">
        <v>1</v>
      </c>
      <c r="Q113" t="s">
        <v>10</v>
      </c>
      <c r="R113">
        <f>SUM(M113+P113)</f>
        <v>1</v>
      </c>
    </row>
    <row r="114" spans="1:18" x14ac:dyDescent="0.2">
      <c r="A114">
        <v>30103</v>
      </c>
      <c r="B114" t="s">
        <v>10</v>
      </c>
      <c r="C114">
        <v>489</v>
      </c>
      <c r="D114">
        <v>339</v>
      </c>
      <c r="E114">
        <v>0.97704314786072299</v>
      </c>
      <c r="F114">
        <v>0.28876147364773003</v>
      </c>
      <c r="G114">
        <v>0.25853382682814402</v>
      </c>
      <c r="H114">
        <v>19.983125485030701</v>
      </c>
      <c r="I114">
        <v>2.7615576555706198</v>
      </c>
      <c r="J114">
        <v>-6.8823775230007804</v>
      </c>
      <c r="K114">
        <v>21</v>
      </c>
      <c r="L114" t="b">
        <v>0</v>
      </c>
      <c r="M114" t="b">
        <v>0</v>
      </c>
      <c r="N114" t="b">
        <v>1</v>
      </c>
      <c r="O114" t="b">
        <v>1</v>
      </c>
      <c r="P114" t="b">
        <v>1</v>
      </c>
      <c r="Q114" t="s">
        <v>10</v>
      </c>
      <c r="R114">
        <f>SUM(M114+P114)</f>
        <v>1</v>
      </c>
    </row>
    <row r="115" spans="1:18" x14ac:dyDescent="0.2">
      <c r="A115">
        <v>30321</v>
      </c>
      <c r="B115" t="s">
        <v>10</v>
      </c>
      <c r="C115">
        <v>158.5</v>
      </c>
      <c r="D115">
        <v>430</v>
      </c>
      <c r="E115">
        <v>0.25754298208481102</v>
      </c>
      <c r="F115">
        <v>0.30338228611613899</v>
      </c>
      <c r="G115">
        <v>0.24542031071321099</v>
      </c>
      <c r="H115">
        <v>15.035861325250201</v>
      </c>
      <c r="I115">
        <v>3.68564457065809</v>
      </c>
      <c r="J115">
        <v>-4.0096970990685197</v>
      </c>
      <c r="K115">
        <v>30</v>
      </c>
      <c r="L115" t="b">
        <v>0</v>
      </c>
      <c r="M115" t="b">
        <v>0</v>
      </c>
      <c r="N115" t="b">
        <v>1</v>
      </c>
      <c r="O115" t="b">
        <v>1</v>
      </c>
      <c r="P115" t="b">
        <v>1</v>
      </c>
      <c r="Q115" t="s">
        <v>10</v>
      </c>
      <c r="R115">
        <f>SUM(M115+P115)</f>
        <v>1</v>
      </c>
    </row>
    <row r="116" spans="1:18" x14ac:dyDescent="0.2">
      <c r="A116">
        <v>30654</v>
      </c>
      <c r="B116" t="s">
        <v>10</v>
      </c>
      <c r="C116" s="1">
        <v>2.91038304567337E-11</v>
      </c>
      <c r="D116">
        <v>2582</v>
      </c>
      <c r="E116">
        <v>3.1190595802209099E-2</v>
      </c>
      <c r="F116">
        <v>6.0542238337057602E-2</v>
      </c>
      <c r="G116">
        <v>1.69353988116627E-2</v>
      </c>
      <c r="H116">
        <v>6.01272578727522E-2</v>
      </c>
      <c r="I116">
        <v>4.7002816780974101E-2</v>
      </c>
      <c r="J116">
        <v>-0.61563676503439202</v>
      </c>
      <c r="K116">
        <v>33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s">
        <v>10</v>
      </c>
      <c r="R116">
        <f>SUM(M116+P116)</f>
        <v>1</v>
      </c>
    </row>
    <row r="117" spans="1:18" x14ac:dyDescent="0.2">
      <c r="A117">
        <v>31795</v>
      </c>
      <c r="B117" t="s">
        <v>10</v>
      </c>
      <c r="C117">
        <v>3</v>
      </c>
      <c r="D117">
        <v>620</v>
      </c>
      <c r="E117">
        <v>0.13275297457964999</v>
      </c>
      <c r="F117">
        <v>0.238865285229139</v>
      </c>
      <c r="G117">
        <v>0.19993110233178399</v>
      </c>
      <c r="H117">
        <v>10.690697558996</v>
      </c>
      <c r="I117">
        <v>2.0151283778272102</v>
      </c>
      <c r="J117">
        <v>-5.2393409276486702</v>
      </c>
      <c r="K117">
        <v>43</v>
      </c>
      <c r="L117" t="b">
        <v>0</v>
      </c>
      <c r="M117" t="b">
        <v>1</v>
      </c>
      <c r="N117" t="b">
        <v>1</v>
      </c>
      <c r="O117" t="b">
        <v>1</v>
      </c>
      <c r="P117" t="b">
        <v>0</v>
      </c>
      <c r="Q117" t="s">
        <v>10</v>
      </c>
      <c r="R117">
        <f>SUM(M117+P117)</f>
        <v>1</v>
      </c>
    </row>
    <row r="118" spans="1:18" x14ac:dyDescent="0.2">
      <c r="A118">
        <v>32190</v>
      </c>
      <c r="B118" t="s">
        <v>11</v>
      </c>
      <c r="C118">
        <v>0</v>
      </c>
      <c r="D118">
        <v>2193</v>
      </c>
      <c r="E118">
        <v>6.76220664995274E-2</v>
      </c>
      <c r="F118">
        <v>6.6653926542626502E-2</v>
      </c>
      <c r="G118">
        <v>3.2974189018665098E-2</v>
      </c>
      <c r="H118">
        <v>0.245308736796679</v>
      </c>
      <c r="I118">
        <v>0.10571986349338899</v>
      </c>
      <c r="J118">
        <v>-1.6807311741209701</v>
      </c>
      <c r="K118">
        <v>13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s">
        <v>11</v>
      </c>
      <c r="R118">
        <f>SUM(M118+P118)</f>
        <v>1</v>
      </c>
    </row>
    <row r="119" spans="1:18" x14ac:dyDescent="0.2">
      <c r="A119">
        <v>32513</v>
      </c>
      <c r="B119" t="s">
        <v>11</v>
      </c>
      <c r="C119">
        <v>0</v>
      </c>
      <c r="D119">
        <v>2610</v>
      </c>
      <c r="E119">
        <v>0</v>
      </c>
      <c r="F119">
        <v>6.3017680025537606E-2</v>
      </c>
      <c r="G119">
        <v>3.4804875425485798E-2</v>
      </c>
      <c r="H119">
        <v>2.36969125603534E-2</v>
      </c>
      <c r="I119">
        <v>3.5733580083237501E-2</v>
      </c>
      <c r="J119">
        <v>-0.66315528713199101</v>
      </c>
      <c r="K119">
        <v>27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s">
        <v>11</v>
      </c>
      <c r="R119">
        <f>SUM(M119+P119)</f>
        <v>1</v>
      </c>
    </row>
    <row r="120" spans="1:18" x14ac:dyDescent="0.2">
      <c r="A120">
        <v>32633</v>
      </c>
      <c r="B120" t="s">
        <v>11</v>
      </c>
      <c r="C120">
        <v>0</v>
      </c>
      <c r="D120">
        <v>2071</v>
      </c>
      <c r="E120">
        <v>6.8672920378716397E-4</v>
      </c>
      <c r="F120">
        <v>1.03611694376015E-2</v>
      </c>
      <c r="G120">
        <v>1.8554352271416399E-2</v>
      </c>
      <c r="H120">
        <v>2.05942085473221E-2</v>
      </c>
      <c r="I120">
        <v>8.5677460184888608E-3</v>
      </c>
      <c r="J120">
        <v>-2.3235375209040199</v>
      </c>
      <c r="K120">
        <v>35</v>
      </c>
      <c r="L120" t="b">
        <v>0</v>
      </c>
      <c r="M120" t="b">
        <v>1</v>
      </c>
      <c r="N120" t="b">
        <v>0</v>
      </c>
      <c r="O120" t="b">
        <v>1</v>
      </c>
      <c r="P120" t="b">
        <v>0</v>
      </c>
      <c r="Q120" t="s">
        <v>11</v>
      </c>
      <c r="R120">
        <f>SUM(M120+P120)</f>
        <v>1</v>
      </c>
    </row>
    <row r="121" spans="1:18" x14ac:dyDescent="0.2">
      <c r="A121">
        <v>32846</v>
      </c>
      <c r="B121" t="s">
        <v>11</v>
      </c>
      <c r="C121">
        <v>0</v>
      </c>
      <c r="D121">
        <v>2459</v>
      </c>
      <c r="E121">
        <v>3.2298022799299901E-3</v>
      </c>
      <c r="F121">
        <v>8.7250624371142799E-4</v>
      </c>
      <c r="G121">
        <v>2.7158330341243899E-2</v>
      </c>
      <c r="H121">
        <v>4.3933810486731896E-3</v>
      </c>
      <c r="I121">
        <v>1.17476503832577E-3</v>
      </c>
      <c r="J121">
        <v>-0.99047786645190905</v>
      </c>
      <c r="K121">
        <v>27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s">
        <v>11</v>
      </c>
      <c r="R121">
        <f>SUM(M121+P121)</f>
        <v>1</v>
      </c>
    </row>
    <row r="122" spans="1:18" x14ac:dyDescent="0.2">
      <c r="A122">
        <v>32959</v>
      </c>
      <c r="B122" t="s">
        <v>11</v>
      </c>
      <c r="C122">
        <v>0</v>
      </c>
      <c r="D122">
        <v>2574</v>
      </c>
      <c r="E122">
        <v>1.9968775404860702E-2</v>
      </c>
      <c r="F122">
        <v>1.32989024103211E-2</v>
      </c>
      <c r="G122">
        <v>3.1488542423038203E-2</v>
      </c>
      <c r="H122">
        <v>3.4524268815608702E-2</v>
      </c>
      <c r="I122">
        <v>1.52370785399567E-2</v>
      </c>
      <c r="J122">
        <v>-0.95526799133958895</v>
      </c>
      <c r="K122">
        <v>18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s">
        <v>11</v>
      </c>
      <c r="R122">
        <f>SUM(M122+P122)</f>
        <v>1</v>
      </c>
    </row>
    <row r="123" spans="1:18" x14ac:dyDescent="0.2">
      <c r="A123">
        <v>33327</v>
      </c>
      <c r="B123" t="s">
        <v>11</v>
      </c>
      <c r="C123">
        <v>0</v>
      </c>
      <c r="D123">
        <v>2406</v>
      </c>
      <c r="E123">
        <v>1.5559973246135599E-2</v>
      </c>
      <c r="F123">
        <v>6.2117547284378698E-3</v>
      </c>
      <c r="G123">
        <v>4.61024801977859E-2</v>
      </c>
      <c r="H123">
        <v>2.7077158173648599E-2</v>
      </c>
      <c r="I123">
        <v>1.3375698862290199E-2</v>
      </c>
      <c r="J123">
        <v>-0.86105294729557602</v>
      </c>
      <c r="K123">
        <v>44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s">
        <v>11</v>
      </c>
      <c r="R123">
        <f>SUM(M123+P123)</f>
        <v>1</v>
      </c>
    </row>
    <row r="124" spans="1:18" x14ac:dyDescent="0.2">
      <c r="A124">
        <v>33342</v>
      </c>
      <c r="B124" t="s">
        <v>11</v>
      </c>
      <c r="C124">
        <v>0</v>
      </c>
      <c r="D124">
        <v>2339</v>
      </c>
      <c r="E124">
        <v>6.2529445115549295E-2</v>
      </c>
      <c r="F124">
        <v>4.00785123796926E-2</v>
      </c>
      <c r="G124">
        <v>4.5811389720025103E-2</v>
      </c>
      <c r="H124">
        <v>0.11265638507023</v>
      </c>
      <c r="I124">
        <v>7.1129127181148694E-2</v>
      </c>
      <c r="J124">
        <v>-0.70473154868073995</v>
      </c>
      <c r="K124">
        <v>28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s">
        <v>11</v>
      </c>
      <c r="R124">
        <f>SUM(M124+P124)</f>
        <v>1</v>
      </c>
    </row>
    <row r="125" spans="1:18" x14ac:dyDescent="0.2">
      <c r="A125">
        <v>33531</v>
      </c>
      <c r="B125" t="s">
        <v>10</v>
      </c>
      <c r="C125">
        <v>287</v>
      </c>
      <c r="D125">
        <v>697</v>
      </c>
      <c r="E125">
        <v>6.8908762243297506E-2</v>
      </c>
      <c r="F125">
        <v>0.105934849145548</v>
      </c>
      <c r="G125">
        <v>0.19592849208010901</v>
      </c>
      <c r="H125">
        <v>3.9992533971053099</v>
      </c>
      <c r="I125">
        <v>0.94425091776687797</v>
      </c>
      <c r="J125">
        <v>-4.1623942968010503</v>
      </c>
      <c r="K125">
        <v>27</v>
      </c>
      <c r="L125" t="b">
        <v>0</v>
      </c>
      <c r="M125" t="b">
        <v>1</v>
      </c>
      <c r="N125" t="b">
        <v>1</v>
      </c>
      <c r="O125" t="b">
        <v>1</v>
      </c>
      <c r="P125" t="b">
        <v>0</v>
      </c>
      <c r="Q125" t="s">
        <v>10</v>
      </c>
      <c r="R125">
        <f>SUM(M125+P125)</f>
        <v>1</v>
      </c>
    </row>
    <row r="126" spans="1:18" x14ac:dyDescent="0.2">
      <c r="A126">
        <v>34364</v>
      </c>
      <c r="B126" t="s">
        <v>11</v>
      </c>
      <c r="C126">
        <v>0</v>
      </c>
      <c r="D126">
        <v>2380</v>
      </c>
      <c r="E126">
        <v>0</v>
      </c>
      <c r="F126">
        <v>5.4270040480774596E-3</v>
      </c>
      <c r="G126">
        <v>3.3262838294834E-2</v>
      </c>
      <c r="H126">
        <v>9.0780651340996205E-4</v>
      </c>
      <c r="I126">
        <v>8.6553549207092899E-4</v>
      </c>
      <c r="J126">
        <v>-1.04883799881839</v>
      </c>
      <c r="K126">
        <v>34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s">
        <v>11</v>
      </c>
      <c r="R126">
        <f>SUM(M126+P126)</f>
        <v>1</v>
      </c>
    </row>
    <row r="127" spans="1:18" x14ac:dyDescent="0.2">
      <c r="A127">
        <v>34405</v>
      </c>
      <c r="B127" t="s">
        <v>11</v>
      </c>
      <c r="C127">
        <v>0</v>
      </c>
      <c r="D127">
        <v>2598</v>
      </c>
      <c r="E127">
        <v>0</v>
      </c>
      <c r="F127">
        <v>4.03661370872693E-4</v>
      </c>
      <c r="G127">
        <v>3.4723558784747799E-4</v>
      </c>
      <c r="H127">
        <v>0</v>
      </c>
      <c r="I127">
        <v>0</v>
      </c>
      <c r="J127" t="s">
        <v>18</v>
      </c>
      <c r="K127">
        <v>38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s">
        <v>11</v>
      </c>
      <c r="R127">
        <f>SUM(M127+P127)</f>
        <v>1</v>
      </c>
    </row>
    <row r="128" spans="1:18" x14ac:dyDescent="0.2">
      <c r="A128">
        <v>34416</v>
      </c>
      <c r="B128" t="s">
        <v>11</v>
      </c>
      <c r="C128">
        <v>0</v>
      </c>
      <c r="D128">
        <v>2620</v>
      </c>
      <c r="E128">
        <v>0</v>
      </c>
      <c r="F128">
        <v>6.7630310114129601E-3</v>
      </c>
      <c r="G128">
        <v>1.6327165260883399E-2</v>
      </c>
      <c r="H128" s="1">
        <v>3.6202455717156099E-5</v>
      </c>
      <c r="I128" s="1">
        <v>9.5830621973231296E-5</v>
      </c>
      <c r="J128">
        <v>-0.37777544350352499</v>
      </c>
      <c r="K128">
        <v>27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s">
        <v>11</v>
      </c>
      <c r="R128">
        <f>SUM(M128+P128)</f>
        <v>1</v>
      </c>
    </row>
    <row r="129" spans="1:18" x14ac:dyDescent="0.2">
      <c r="A129">
        <v>34469</v>
      </c>
      <c r="B129" t="s">
        <v>11</v>
      </c>
      <c r="C129">
        <v>4900.5</v>
      </c>
      <c r="D129">
        <v>419</v>
      </c>
      <c r="E129">
        <v>0.71205889642779696</v>
      </c>
      <c r="F129">
        <v>0.12004088744562599</v>
      </c>
      <c r="G129">
        <v>0.23223887561702899</v>
      </c>
      <c r="H129">
        <v>7.7734303475578601</v>
      </c>
      <c r="I129">
        <v>1.12602478936132</v>
      </c>
      <c r="J129">
        <v>-6.2710621629700301</v>
      </c>
      <c r="K129">
        <v>23</v>
      </c>
      <c r="L129" t="b">
        <v>0</v>
      </c>
      <c r="M129" t="b">
        <v>0</v>
      </c>
      <c r="N129" t="b">
        <v>1</v>
      </c>
      <c r="O129" t="b">
        <v>1</v>
      </c>
      <c r="P129" t="b">
        <v>1</v>
      </c>
      <c r="Q129" t="s">
        <v>11</v>
      </c>
      <c r="R129">
        <f>SUM(M129+P129)</f>
        <v>1</v>
      </c>
    </row>
    <row r="130" spans="1:18" x14ac:dyDescent="0.2">
      <c r="A130">
        <v>34720</v>
      </c>
      <c r="B130" t="s">
        <v>11</v>
      </c>
      <c r="C130">
        <v>0</v>
      </c>
      <c r="D130">
        <v>2670</v>
      </c>
      <c r="E130">
        <v>0</v>
      </c>
      <c r="F130">
        <v>6.8986899072769501E-3</v>
      </c>
      <c r="G130">
        <v>1.0714647936807001E-2</v>
      </c>
      <c r="H130">
        <v>1.05553857865843E-4</v>
      </c>
      <c r="I130">
        <v>7.5883799866436903E-4</v>
      </c>
      <c r="J130">
        <v>-0.139099330886999</v>
      </c>
      <c r="K130">
        <v>23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s">
        <v>11</v>
      </c>
      <c r="R130">
        <f>SUM(M130+P130)</f>
        <v>1</v>
      </c>
    </row>
    <row r="131" spans="1:18" x14ac:dyDescent="0.2">
      <c r="A131">
        <v>34732</v>
      </c>
      <c r="B131" t="s">
        <v>11</v>
      </c>
      <c r="C131">
        <v>3165.5</v>
      </c>
      <c r="D131">
        <v>272</v>
      </c>
      <c r="E131">
        <v>0.212117136008692</v>
      </c>
      <c r="F131">
        <v>0.25931227457476203</v>
      </c>
      <c r="G131">
        <v>0.121479172665708</v>
      </c>
      <c r="H131">
        <v>6.7085595437273096</v>
      </c>
      <c r="I131">
        <v>1.3018918628801599</v>
      </c>
      <c r="J131">
        <v>-4.9900015454022597</v>
      </c>
      <c r="K131">
        <v>34</v>
      </c>
      <c r="L131" t="b">
        <v>0</v>
      </c>
      <c r="M131" t="b">
        <v>0</v>
      </c>
      <c r="N131" t="b">
        <v>1</v>
      </c>
      <c r="O131" t="b">
        <v>1</v>
      </c>
      <c r="P131" t="b">
        <v>1</v>
      </c>
      <c r="Q131" t="s">
        <v>11</v>
      </c>
      <c r="R131">
        <f>SUM(M131+P131)</f>
        <v>1</v>
      </c>
    </row>
    <row r="132" spans="1:18" x14ac:dyDescent="0.2">
      <c r="A132">
        <v>34753</v>
      </c>
      <c r="B132" t="s">
        <v>11</v>
      </c>
      <c r="C132">
        <v>0</v>
      </c>
      <c r="D132">
        <v>2670</v>
      </c>
      <c r="E132">
        <v>3.00158008884677E-3</v>
      </c>
      <c r="F132">
        <v>1.22847850938071E-2</v>
      </c>
      <c r="G132">
        <v>1.0287202448656999E-2</v>
      </c>
      <c r="H132">
        <v>4.0701426004762196E-3</v>
      </c>
      <c r="I132">
        <v>4.4838176588322103E-3</v>
      </c>
      <c r="J132">
        <v>-0.23831533593356599</v>
      </c>
      <c r="K132">
        <v>42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s">
        <v>11</v>
      </c>
      <c r="R132">
        <f>SUM(M132+P132)</f>
        <v>1</v>
      </c>
    </row>
    <row r="133" spans="1:18" x14ac:dyDescent="0.2">
      <c r="A133">
        <v>35070</v>
      </c>
      <c r="B133" t="s">
        <v>11</v>
      </c>
      <c r="C133">
        <v>0</v>
      </c>
      <c r="D133">
        <v>2223</v>
      </c>
      <c r="E133">
        <v>3.8068824194460102E-3</v>
      </c>
      <c r="F133">
        <v>3.0818105888267399E-2</v>
      </c>
      <c r="G133">
        <v>1.2129395758155999E-2</v>
      </c>
      <c r="H133">
        <v>2.1032612439937801E-2</v>
      </c>
      <c r="I133">
        <v>1.00148811660789E-2</v>
      </c>
      <c r="J133">
        <v>-1.72001342151084</v>
      </c>
      <c r="K133">
        <v>44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s">
        <v>11</v>
      </c>
      <c r="R133">
        <f>SUM(M133+P133)</f>
        <v>1</v>
      </c>
    </row>
    <row r="134" spans="1:18" x14ac:dyDescent="0.2">
      <c r="A134">
        <v>35415</v>
      </c>
      <c r="B134" t="s">
        <v>11</v>
      </c>
      <c r="C134">
        <v>0</v>
      </c>
      <c r="D134">
        <v>2548</v>
      </c>
      <c r="E134">
        <v>0</v>
      </c>
      <c r="F134">
        <v>1.68736364362344E-2</v>
      </c>
      <c r="G134">
        <v>6.2786242806772202E-3</v>
      </c>
      <c r="H134">
        <v>4.6297370587709804E-3</v>
      </c>
      <c r="I134">
        <v>5.6227085621078903E-3</v>
      </c>
      <c r="J134">
        <v>-0.82339979168960298</v>
      </c>
      <c r="K134">
        <v>35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s">
        <v>11</v>
      </c>
      <c r="R134">
        <f>SUM(M134+P134)</f>
        <v>1</v>
      </c>
    </row>
    <row r="135" spans="1:18" x14ac:dyDescent="0.2">
      <c r="A135">
        <v>35554</v>
      </c>
      <c r="B135" t="s">
        <v>11</v>
      </c>
      <c r="C135">
        <v>24</v>
      </c>
      <c r="D135">
        <v>2285</v>
      </c>
      <c r="E135">
        <v>2.2763669142565699E-3</v>
      </c>
      <c r="F135">
        <v>1.21386261736672E-2</v>
      </c>
      <c r="G135">
        <v>4.0379325854686697E-2</v>
      </c>
      <c r="H135">
        <v>3.5320886843511902E-2</v>
      </c>
      <c r="I135">
        <v>1.39198341059447E-2</v>
      </c>
      <c r="J135">
        <v>-2.3739162175174902</v>
      </c>
      <c r="K135">
        <v>21</v>
      </c>
      <c r="L135" t="b">
        <v>0</v>
      </c>
      <c r="M135" t="b">
        <v>1</v>
      </c>
      <c r="N135" t="b">
        <v>0</v>
      </c>
      <c r="O135" t="b">
        <v>1</v>
      </c>
      <c r="P135" t="b">
        <v>0</v>
      </c>
      <c r="Q135" t="s">
        <v>11</v>
      </c>
      <c r="R135">
        <f>SUM(M135+P135)</f>
        <v>1</v>
      </c>
    </row>
    <row r="136" spans="1:18" x14ac:dyDescent="0.2">
      <c r="A136">
        <v>35666</v>
      </c>
      <c r="B136" t="s">
        <v>11</v>
      </c>
      <c r="C136">
        <v>0</v>
      </c>
      <c r="D136">
        <v>2567</v>
      </c>
      <c r="E136">
        <v>0</v>
      </c>
      <c r="F136">
        <v>2.4680654046010101E-4</v>
      </c>
      <c r="G136">
        <v>7.3580885723887896E-4</v>
      </c>
      <c r="H136" s="1">
        <v>1.12401315771374E-5</v>
      </c>
      <c r="I136" s="1">
        <v>1.07226958896529E-5</v>
      </c>
      <c r="J136">
        <v>-1.0482561188724799</v>
      </c>
      <c r="K136">
        <v>20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s">
        <v>11</v>
      </c>
      <c r="R136">
        <f>SUM(M136+P136)</f>
        <v>1</v>
      </c>
    </row>
    <row r="137" spans="1:18" x14ac:dyDescent="0.2">
      <c r="A137">
        <v>35733</v>
      </c>
      <c r="B137" t="s">
        <v>11</v>
      </c>
      <c r="C137">
        <v>0</v>
      </c>
      <c r="D137">
        <v>2393</v>
      </c>
      <c r="E137">
        <v>4.1419016165677404E-3</v>
      </c>
      <c r="F137">
        <v>1.6239483437088701E-2</v>
      </c>
      <c r="G137">
        <v>4.9054752747209997E-3</v>
      </c>
      <c r="H137">
        <v>5.9891595046984401E-3</v>
      </c>
      <c r="I137">
        <v>1.94803802143949E-3</v>
      </c>
      <c r="J137">
        <v>-0.94826582838751605</v>
      </c>
      <c r="K137">
        <v>21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s">
        <v>11</v>
      </c>
      <c r="R137">
        <f>SUM(M137+P137)</f>
        <v>1</v>
      </c>
    </row>
    <row r="138" spans="1:18" x14ac:dyDescent="0.2">
      <c r="A138">
        <v>35736</v>
      </c>
      <c r="B138" t="s">
        <v>11</v>
      </c>
      <c r="C138">
        <v>2</v>
      </c>
      <c r="D138">
        <v>2487</v>
      </c>
      <c r="E138" s="1">
        <v>4.2248502877357797E-5</v>
      </c>
      <c r="F138">
        <v>1.2693402134305301E-3</v>
      </c>
      <c r="G138">
        <v>1.11037546198003E-3</v>
      </c>
      <c r="H138">
        <v>1.11529006179078E-4</v>
      </c>
      <c r="I138" s="1">
        <v>4.1335901858027301E-5</v>
      </c>
      <c r="J138">
        <v>-1.6760370570762499</v>
      </c>
      <c r="K138">
        <v>26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s">
        <v>11</v>
      </c>
      <c r="R138">
        <f>SUM(M138+P138)</f>
        <v>1</v>
      </c>
    </row>
    <row r="139" spans="1:18" x14ac:dyDescent="0.2">
      <c r="A139">
        <v>35992</v>
      </c>
      <c r="B139" t="s">
        <v>11</v>
      </c>
      <c r="C139">
        <v>650</v>
      </c>
      <c r="D139">
        <v>1600</v>
      </c>
      <c r="E139">
        <v>0.105193468797077</v>
      </c>
      <c r="F139">
        <v>3.8887997913481E-2</v>
      </c>
      <c r="G139">
        <v>5.08524012692598E-2</v>
      </c>
      <c r="H139">
        <v>0.28450564203675999</v>
      </c>
      <c r="I139">
        <v>7.4034350652705999E-2</v>
      </c>
      <c r="J139">
        <v>-2.4220131825135298</v>
      </c>
      <c r="K139">
        <v>45</v>
      </c>
      <c r="L139" t="b">
        <v>0</v>
      </c>
      <c r="M139" t="b">
        <v>1</v>
      </c>
      <c r="N139" t="b">
        <v>0</v>
      </c>
      <c r="O139" t="b">
        <v>1</v>
      </c>
      <c r="P139" t="b">
        <v>0</v>
      </c>
      <c r="Q139" t="s">
        <v>11</v>
      </c>
      <c r="R139">
        <f>SUM(M139+P139)</f>
        <v>1</v>
      </c>
    </row>
    <row r="140" spans="1:18" x14ac:dyDescent="0.2">
      <c r="A140">
        <v>36050</v>
      </c>
      <c r="B140" t="s">
        <v>11</v>
      </c>
      <c r="C140">
        <v>0</v>
      </c>
      <c r="D140">
        <v>2452</v>
      </c>
      <c r="E140">
        <v>4.01835351077382E-2</v>
      </c>
      <c r="F140">
        <v>4.5799515409728202E-2</v>
      </c>
      <c r="G140">
        <v>4.0997660351334599E-2</v>
      </c>
      <c r="H140">
        <v>0.10807597208676401</v>
      </c>
      <c r="I140">
        <v>3.9289541735124403E-2</v>
      </c>
      <c r="J140">
        <v>-1.7280027707304899</v>
      </c>
      <c r="K140">
        <v>34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s">
        <v>11</v>
      </c>
      <c r="R140">
        <f>SUM(M140+P140)</f>
        <v>1</v>
      </c>
    </row>
    <row r="141" spans="1:18" x14ac:dyDescent="0.2">
      <c r="A141">
        <v>36059</v>
      </c>
      <c r="B141" t="s">
        <v>11</v>
      </c>
      <c r="C141">
        <v>0</v>
      </c>
      <c r="D141">
        <v>2460</v>
      </c>
      <c r="E141" s="1">
        <v>5.1042789608038002E-5</v>
      </c>
      <c r="F141">
        <v>2.2126345975063701E-3</v>
      </c>
      <c r="G141">
        <v>2.5501849106643899E-3</v>
      </c>
      <c r="H141">
        <v>1.21518298402565E-4</v>
      </c>
      <c r="I141" s="1">
        <v>5.4890596574576501E-5</v>
      </c>
      <c r="J141">
        <v>-1.2839268142909701</v>
      </c>
      <c r="K141">
        <v>25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s">
        <v>11</v>
      </c>
      <c r="R141">
        <f>SUM(M141+P141)</f>
        <v>1</v>
      </c>
    </row>
    <row r="142" spans="1:18" x14ac:dyDescent="0.2">
      <c r="A142">
        <v>36196</v>
      </c>
      <c r="B142" t="s">
        <v>11</v>
      </c>
      <c r="C142">
        <v>1</v>
      </c>
      <c r="D142">
        <v>2172</v>
      </c>
      <c r="E142">
        <v>3.5169262627172103E-4</v>
      </c>
      <c r="F142">
        <v>2.6946236008184802E-3</v>
      </c>
      <c r="G142">
        <v>4.0757128155947502E-3</v>
      </c>
      <c r="H142">
        <v>1.47676671618499E-3</v>
      </c>
      <c r="I142">
        <v>4.42587379122349E-4</v>
      </c>
      <c r="J142">
        <v>-2.5420383476462698</v>
      </c>
      <c r="K142">
        <v>11</v>
      </c>
      <c r="L142" t="b">
        <v>0</v>
      </c>
      <c r="M142" t="b">
        <v>1</v>
      </c>
      <c r="N142" t="b">
        <v>0</v>
      </c>
      <c r="O142" t="b">
        <v>1</v>
      </c>
      <c r="P142" t="b">
        <v>0</v>
      </c>
      <c r="Q142" t="s">
        <v>11</v>
      </c>
      <c r="R142">
        <f>SUM(M142+P142)</f>
        <v>1</v>
      </c>
    </row>
    <row r="143" spans="1:18" x14ac:dyDescent="0.2">
      <c r="A143">
        <v>36403</v>
      </c>
      <c r="B143" t="s">
        <v>11</v>
      </c>
      <c r="C143">
        <v>1545</v>
      </c>
      <c r="D143">
        <v>2232</v>
      </c>
      <c r="E143">
        <v>0.105640536717205</v>
      </c>
      <c r="F143">
        <v>1.6530660564732399E-2</v>
      </c>
      <c r="G143">
        <v>5.3165326173780898E-2</v>
      </c>
      <c r="H143">
        <v>0.15318118945392101</v>
      </c>
      <c r="I143">
        <v>4.6667902741225897E-2</v>
      </c>
      <c r="J143">
        <v>-1.01870129027072</v>
      </c>
      <c r="K143">
        <v>29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s">
        <v>11</v>
      </c>
      <c r="R143">
        <f>SUM(M143+P143)</f>
        <v>1</v>
      </c>
    </row>
    <row r="144" spans="1:18" x14ac:dyDescent="0.2">
      <c r="A144">
        <v>36525</v>
      </c>
      <c r="B144" t="s">
        <v>11</v>
      </c>
      <c r="C144">
        <v>5312.5</v>
      </c>
      <c r="D144">
        <v>1789</v>
      </c>
      <c r="E144">
        <v>0.18831795273211699</v>
      </c>
      <c r="F144">
        <v>3.5428797921062301E-2</v>
      </c>
      <c r="G144">
        <v>5.3925883353617199E-2</v>
      </c>
      <c r="H144">
        <v>0.31388306966588397</v>
      </c>
      <c r="I144">
        <v>7.4734544840793296E-2</v>
      </c>
      <c r="J144">
        <v>-1.68014827950392</v>
      </c>
      <c r="K144">
        <v>9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s">
        <v>11</v>
      </c>
      <c r="R144">
        <f>SUM(M144+P144)</f>
        <v>1</v>
      </c>
    </row>
    <row r="145" spans="1:18" x14ac:dyDescent="0.2">
      <c r="A145">
        <v>36540</v>
      </c>
      <c r="B145" t="s">
        <v>11</v>
      </c>
      <c r="C145">
        <v>0</v>
      </c>
      <c r="D145">
        <v>2670</v>
      </c>
      <c r="E145">
        <v>0</v>
      </c>
      <c r="F145">
        <v>5.59533222867641E-3</v>
      </c>
      <c r="G145">
        <v>4.13411003150821E-4</v>
      </c>
      <c r="H145" s="1">
        <v>7.2437893360517694E-5</v>
      </c>
      <c r="I145" s="1">
        <v>8.0610547646413504E-5</v>
      </c>
      <c r="J145">
        <v>-0.89861557172711504</v>
      </c>
      <c r="K145">
        <v>22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s">
        <v>11</v>
      </c>
      <c r="R145">
        <f>SUM(M145+P145)</f>
        <v>1</v>
      </c>
    </row>
    <row r="146" spans="1:18" x14ac:dyDescent="0.2">
      <c r="A146">
        <v>36660</v>
      </c>
      <c r="B146" t="s">
        <v>11</v>
      </c>
      <c r="C146">
        <v>41.5</v>
      </c>
      <c r="D146">
        <v>2429</v>
      </c>
      <c r="E146">
        <v>2.7308603145563401E-3</v>
      </c>
      <c r="F146">
        <v>2.62245310142411E-2</v>
      </c>
      <c r="G146">
        <v>8.1155968369292494E-2</v>
      </c>
      <c r="H146">
        <v>1.0922044220888501E-2</v>
      </c>
      <c r="I146">
        <v>9.8590042207760391E-3</v>
      </c>
      <c r="J146">
        <v>-0.83083278218613099</v>
      </c>
      <c r="K146">
        <v>9</v>
      </c>
      <c r="L146" t="b">
        <v>0</v>
      </c>
      <c r="M146" t="b">
        <v>1</v>
      </c>
      <c r="N146" t="b">
        <v>1</v>
      </c>
      <c r="O146" t="b">
        <v>0</v>
      </c>
      <c r="P146" t="b">
        <v>0</v>
      </c>
      <c r="Q146" t="s">
        <v>11</v>
      </c>
      <c r="R146">
        <f>SUM(M146+P146)</f>
        <v>1</v>
      </c>
    </row>
    <row r="147" spans="1:18" x14ac:dyDescent="0.2">
      <c r="A147">
        <v>36737</v>
      </c>
      <c r="B147" t="s">
        <v>11</v>
      </c>
      <c r="C147">
        <v>102</v>
      </c>
      <c r="D147">
        <v>2456</v>
      </c>
      <c r="E147">
        <v>9.8308678749936904E-3</v>
      </c>
      <c r="F147">
        <v>4.3007959861900199E-3</v>
      </c>
      <c r="G147">
        <v>2.8729534514762199E-2</v>
      </c>
      <c r="H147">
        <v>1.29011844297471E-2</v>
      </c>
      <c r="I147">
        <v>4.1778829056818203E-3</v>
      </c>
      <c r="J147">
        <v>-0.734897703949007</v>
      </c>
      <c r="K147">
        <v>9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s">
        <v>11</v>
      </c>
      <c r="R147">
        <f>SUM(M147+P147)</f>
        <v>1</v>
      </c>
    </row>
    <row r="148" spans="1:18" x14ac:dyDescent="0.2">
      <c r="A148">
        <v>36795</v>
      </c>
      <c r="B148" t="s">
        <v>11</v>
      </c>
      <c r="C148">
        <v>0</v>
      </c>
      <c r="D148">
        <v>2670</v>
      </c>
      <c r="E148">
        <v>0</v>
      </c>
      <c r="F148">
        <v>3.2014471526406402E-3</v>
      </c>
      <c r="G148">
        <v>1.8020892790208999E-2</v>
      </c>
      <c r="H148">
        <v>0</v>
      </c>
      <c r="I148">
        <v>0</v>
      </c>
      <c r="J148" t="s">
        <v>18</v>
      </c>
      <c r="K148">
        <v>10</v>
      </c>
      <c r="L148" t="b">
        <v>0</v>
      </c>
      <c r="M148" t="b">
        <v>1</v>
      </c>
      <c r="N148" t="b">
        <v>0</v>
      </c>
      <c r="O148" t="b">
        <v>1</v>
      </c>
      <c r="P148" t="b">
        <v>0</v>
      </c>
      <c r="Q148" t="s">
        <v>11</v>
      </c>
      <c r="R148">
        <f>SUM(M148+P148)</f>
        <v>1</v>
      </c>
    </row>
    <row r="149" spans="1:18" x14ac:dyDescent="0.2">
      <c r="A149">
        <v>36796</v>
      </c>
      <c r="B149" t="s">
        <v>11</v>
      </c>
      <c r="C149">
        <v>658.5</v>
      </c>
      <c r="D149">
        <v>1901</v>
      </c>
      <c r="E149">
        <v>3.7594308342925799E-2</v>
      </c>
      <c r="F149">
        <v>6.3543310361500599E-2</v>
      </c>
      <c r="G149">
        <v>1.71293793160474E-2</v>
      </c>
      <c r="H149">
        <v>0.10345363055840499</v>
      </c>
      <c r="I149">
        <v>5.2428620007021198E-2</v>
      </c>
      <c r="J149">
        <v>-1.2561711944098499</v>
      </c>
      <c r="K149">
        <v>15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s">
        <v>11</v>
      </c>
      <c r="R149">
        <f>SUM(M149+P149)</f>
        <v>1</v>
      </c>
    </row>
    <row r="150" spans="1:18" x14ac:dyDescent="0.2">
      <c r="A150">
        <v>36820</v>
      </c>
      <c r="B150" t="s">
        <v>11</v>
      </c>
      <c r="C150">
        <v>1111</v>
      </c>
      <c r="D150">
        <v>1987</v>
      </c>
      <c r="E150">
        <v>0.127668781687514</v>
      </c>
      <c r="F150">
        <v>7.8044649559042098E-2</v>
      </c>
      <c r="G150">
        <v>6.0344890841587402E-2</v>
      </c>
      <c r="H150">
        <v>0.15231283459431799</v>
      </c>
      <c r="I150">
        <v>4.81817278464561E-2</v>
      </c>
      <c r="J150">
        <v>-0.51148130231731603</v>
      </c>
      <c r="K150">
        <v>9</v>
      </c>
      <c r="L150" t="b">
        <v>0</v>
      </c>
      <c r="M150" t="b">
        <v>1</v>
      </c>
      <c r="N150" t="b">
        <v>1</v>
      </c>
      <c r="O150" t="b">
        <v>0</v>
      </c>
      <c r="P150" t="b">
        <v>0</v>
      </c>
      <c r="Q150" t="s">
        <v>11</v>
      </c>
      <c r="R150">
        <f>SUM(M150+P150)</f>
        <v>1</v>
      </c>
    </row>
    <row r="151" spans="1:18" x14ac:dyDescent="0.2">
      <c r="A151">
        <v>36911</v>
      </c>
      <c r="B151" t="s">
        <v>11</v>
      </c>
      <c r="C151">
        <v>0</v>
      </c>
      <c r="D151">
        <v>2650</v>
      </c>
      <c r="E151">
        <v>4.6556524582166699E-2</v>
      </c>
      <c r="F151">
        <v>0.104014713000341</v>
      </c>
      <c r="G151">
        <v>4.0799962833486303E-2</v>
      </c>
      <c r="H151">
        <v>0.20866634317727101</v>
      </c>
      <c r="I151">
        <v>0.133007011011464</v>
      </c>
      <c r="J151">
        <v>-1.2188065678818401</v>
      </c>
      <c r="K151" s="5">
        <v>15</v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s">
        <v>11</v>
      </c>
      <c r="R151">
        <f>SUM(M151+P151)</f>
        <v>1</v>
      </c>
    </row>
    <row r="152" spans="1:18" x14ac:dyDescent="0.2">
      <c r="A152">
        <v>36918</v>
      </c>
      <c r="B152" t="s">
        <v>11</v>
      </c>
      <c r="C152">
        <v>0</v>
      </c>
      <c r="D152">
        <v>2494</v>
      </c>
      <c r="E152">
        <v>2.3261495686644298E-3</v>
      </c>
      <c r="F152">
        <v>1.0729559749624E-2</v>
      </c>
      <c r="G152">
        <v>0.113247666600075</v>
      </c>
      <c r="H152">
        <v>3.0263205888324202E-3</v>
      </c>
      <c r="I152">
        <v>1.1543662726800801E-3</v>
      </c>
      <c r="J152">
        <v>-0.60654147365412103</v>
      </c>
      <c r="K152">
        <v>21</v>
      </c>
      <c r="L152" t="b">
        <v>0</v>
      </c>
      <c r="M152" t="b">
        <v>1</v>
      </c>
      <c r="N152" t="b">
        <v>1</v>
      </c>
      <c r="O152" t="b">
        <v>0</v>
      </c>
      <c r="P152" t="b">
        <v>0</v>
      </c>
      <c r="Q152" t="s">
        <v>11</v>
      </c>
      <c r="R152">
        <f>SUM(M152+P152)</f>
        <v>1</v>
      </c>
    </row>
    <row r="153" spans="1:18" x14ac:dyDescent="0.2">
      <c r="A153">
        <v>37055</v>
      </c>
      <c r="B153" t="s">
        <v>11</v>
      </c>
      <c r="C153">
        <v>0</v>
      </c>
      <c r="D153">
        <v>2256</v>
      </c>
      <c r="E153">
        <v>1.9930592920975099E-2</v>
      </c>
      <c r="F153">
        <v>2.2069082328652401E-2</v>
      </c>
      <c r="G153">
        <v>3.4000618882428897E-2</v>
      </c>
      <c r="H153">
        <v>8.8156888948673601E-2</v>
      </c>
      <c r="I153">
        <v>3.3087005575405802E-2</v>
      </c>
      <c r="J153">
        <v>-2.0620269148324599</v>
      </c>
      <c r="K153">
        <v>28</v>
      </c>
      <c r="L153" t="b">
        <v>0</v>
      </c>
      <c r="M153" t="b">
        <v>1</v>
      </c>
      <c r="N153" t="b">
        <v>0</v>
      </c>
      <c r="O153" t="b">
        <v>1</v>
      </c>
      <c r="P153" t="b">
        <v>0</v>
      </c>
      <c r="Q153" t="s">
        <v>11</v>
      </c>
      <c r="R153">
        <f>SUM(M153+P153)</f>
        <v>1</v>
      </c>
    </row>
    <row r="154" spans="1:18" x14ac:dyDescent="0.2">
      <c r="A154">
        <v>37078</v>
      </c>
      <c r="B154" t="s">
        <v>11</v>
      </c>
      <c r="C154">
        <v>2</v>
      </c>
      <c r="D154">
        <v>2061</v>
      </c>
      <c r="E154">
        <v>4.6350405327849203E-3</v>
      </c>
      <c r="F154">
        <v>5.6370322430947598E-3</v>
      </c>
      <c r="G154">
        <v>2.3306136035479302E-2</v>
      </c>
      <c r="H154">
        <v>1.6088640432947499E-2</v>
      </c>
      <c r="I154">
        <v>5.9325089356001299E-3</v>
      </c>
      <c r="J154">
        <v>-1.9306502568299899</v>
      </c>
      <c r="K154">
        <v>14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s">
        <v>11</v>
      </c>
      <c r="R154">
        <f>SUM(M154+P154)</f>
        <v>1</v>
      </c>
    </row>
    <row r="155" spans="1:18" x14ac:dyDescent="0.2">
      <c r="A155">
        <v>37637</v>
      </c>
      <c r="B155" t="s">
        <v>11</v>
      </c>
      <c r="C155">
        <v>12</v>
      </c>
      <c r="D155">
        <v>1349</v>
      </c>
      <c r="E155">
        <v>1.9501149826623002E-2</v>
      </c>
      <c r="F155">
        <v>1.23498995704713E-2</v>
      </c>
      <c r="G155">
        <v>3.5983067736260602E-2</v>
      </c>
      <c r="H155">
        <v>3.7913802133500298E-2</v>
      </c>
      <c r="I155">
        <v>1.27323226111784E-2</v>
      </c>
      <c r="J155">
        <v>-1.4461346031800799</v>
      </c>
      <c r="K155">
        <v>32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s">
        <v>11</v>
      </c>
      <c r="R155">
        <f>SUM(M155+P155)</f>
        <v>1</v>
      </c>
    </row>
    <row r="156" spans="1:18" x14ac:dyDescent="0.2">
      <c r="A156">
        <v>37643</v>
      </c>
      <c r="B156" t="s">
        <v>11</v>
      </c>
      <c r="C156">
        <v>0</v>
      </c>
      <c r="D156">
        <v>2670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18</v>
      </c>
      <c r="K156">
        <v>36</v>
      </c>
      <c r="L156" t="b">
        <v>0</v>
      </c>
      <c r="M156" t="b">
        <v>1</v>
      </c>
      <c r="N156" t="b">
        <v>0</v>
      </c>
      <c r="O156" t="b">
        <v>1</v>
      </c>
      <c r="P156" t="b">
        <v>0</v>
      </c>
      <c r="Q156" t="s">
        <v>11</v>
      </c>
      <c r="R156">
        <f>SUM(M156+P156)</f>
        <v>1</v>
      </c>
    </row>
    <row r="157" spans="1:18" x14ac:dyDescent="0.2">
      <c r="A157">
        <v>37662</v>
      </c>
      <c r="B157" t="s">
        <v>11</v>
      </c>
      <c r="C157">
        <v>170</v>
      </c>
      <c r="D157">
        <v>1471</v>
      </c>
      <c r="E157">
        <v>2.3234377404604999E-2</v>
      </c>
      <c r="F157">
        <v>2.41320528826896E-2</v>
      </c>
      <c r="G157">
        <v>3.7892192122680197E-2</v>
      </c>
      <c r="H157">
        <v>6.9047461999256696E-2</v>
      </c>
      <c r="I157">
        <v>4.2471911177639099E-2</v>
      </c>
      <c r="J157">
        <v>-1.07866783773958</v>
      </c>
      <c r="K157">
        <v>15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s">
        <v>11</v>
      </c>
      <c r="R157">
        <f>SUM(M157+P157)</f>
        <v>1</v>
      </c>
    </row>
    <row r="158" spans="1:18" x14ac:dyDescent="0.2">
      <c r="A158">
        <v>37904</v>
      </c>
      <c r="B158" t="s">
        <v>11</v>
      </c>
      <c r="C158">
        <v>21</v>
      </c>
      <c r="D158">
        <v>2374</v>
      </c>
      <c r="E158">
        <v>9.1190251119970401E-4</v>
      </c>
      <c r="F158">
        <v>1.64521394258931E-2</v>
      </c>
      <c r="G158">
        <v>5.4796844091752799E-3</v>
      </c>
      <c r="H158">
        <v>1.3842123559793401E-3</v>
      </c>
      <c r="I158">
        <v>4.1852844823711202E-4</v>
      </c>
      <c r="J158">
        <v>-1.1285011730243399</v>
      </c>
      <c r="K158" s="5">
        <v>9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s">
        <v>11</v>
      </c>
      <c r="R158">
        <f>SUM(M158+P158)</f>
        <v>1</v>
      </c>
    </row>
    <row r="159" spans="1:18" x14ac:dyDescent="0.2">
      <c r="A159">
        <v>37928</v>
      </c>
      <c r="B159" t="s">
        <v>11</v>
      </c>
      <c r="C159">
        <v>0</v>
      </c>
      <c r="D159">
        <v>2670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18</v>
      </c>
      <c r="K159">
        <v>17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Q159" t="s">
        <v>11</v>
      </c>
      <c r="R159">
        <f>SUM(M159+P159)</f>
        <v>1</v>
      </c>
    </row>
    <row r="160" spans="1:18" x14ac:dyDescent="0.2">
      <c r="A160">
        <v>38140</v>
      </c>
      <c r="B160" t="s">
        <v>11</v>
      </c>
      <c r="C160">
        <v>0</v>
      </c>
      <c r="D160">
        <v>2574</v>
      </c>
      <c r="E160" s="1">
        <v>5.3866084297343901E-5</v>
      </c>
      <c r="F160">
        <v>2.7167454569045099E-3</v>
      </c>
      <c r="G160">
        <v>2.4222471180833402E-3</v>
      </c>
      <c r="H160" s="1">
        <v>8.4406230305212893E-5</v>
      </c>
      <c r="I160" s="1">
        <v>5.77461129478521E-5</v>
      </c>
      <c r="J160">
        <v>-0.52886929437914698</v>
      </c>
      <c r="K160">
        <v>29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s">
        <v>11</v>
      </c>
      <c r="R160">
        <f>SUM(M160+P160)</f>
        <v>1</v>
      </c>
    </row>
    <row r="161" spans="1:18" x14ac:dyDescent="0.2">
      <c r="A161">
        <v>38176</v>
      </c>
      <c r="B161" t="s">
        <v>11</v>
      </c>
      <c r="C161">
        <v>1164</v>
      </c>
      <c r="D161">
        <v>2135</v>
      </c>
      <c r="E161">
        <v>0.17191056639868299</v>
      </c>
      <c r="F161">
        <v>0.11125794381734</v>
      </c>
      <c r="G161">
        <v>6.0382924407793297E-2</v>
      </c>
      <c r="H161">
        <v>0.46269295338834299</v>
      </c>
      <c r="I161">
        <v>0.14076849836174499</v>
      </c>
      <c r="J161">
        <v>-2.0656779774862102</v>
      </c>
      <c r="K161">
        <v>40</v>
      </c>
      <c r="L161" t="b">
        <v>0</v>
      </c>
      <c r="M161" t="b">
        <v>1</v>
      </c>
      <c r="N161" t="b">
        <v>1</v>
      </c>
      <c r="O161" t="b">
        <v>1</v>
      </c>
      <c r="P161" t="b">
        <v>0</v>
      </c>
      <c r="Q161" t="s">
        <v>11</v>
      </c>
      <c r="R161">
        <f>SUM(M161+P161)</f>
        <v>1</v>
      </c>
    </row>
    <row r="162" spans="1:18" x14ac:dyDescent="0.2">
      <c r="A162">
        <v>38181</v>
      </c>
      <c r="B162" t="s">
        <v>11</v>
      </c>
      <c r="C162">
        <v>0</v>
      </c>
      <c r="D162">
        <v>2670</v>
      </c>
      <c r="E162">
        <v>0</v>
      </c>
      <c r="F162">
        <v>7.4452259363735798E-4</v>
      </c>
      <c r="G162">
        <v>3.8891627624103802E-4</v>
      </c>
      <c r="H162">
        <v>0</v>
      </c>
      <c r="I162">
        <v>0</v>
      </c>
      <c r="J162" t="s">
        <v>18</v>
      </c>
      <c r="K162">
        <v>14</v>
      </c>
      <c r="L162" t="b">
        <v>0</v>
      </c>
      <c r="M162" t="b">
        <v>1</v>
      </c>
      <c r="N162" t="b">
        <v>0</v>
      </c>
      <c r="O162" t="b">
        <v>1</v>
      </c>
      <c r="P162" t="b">
        <v>0</v>
      </c>
      <c r="Q162" t="s">
        <v>11</v>
      </c>
      <c r="R162">
        <f>SUM(M162+P162)</f>
        <v>1</v>
      </c>
    </row>
    <row r="163" spans="1:18" x14ac:dyDescent="0.2">
      <c r="A163">
        <v>38226</v>
      </c>
      <c r="B163" t="s">
        <v>11</v>
      </c>
      <c r="C163">
        <v>108</v>
      </c>
      <c r="D163">
        <v>1999</v>
      </c>
      <c r="E163">
        <v>2.2519216397993E-3</v>
      </c>
      <c r="F163">
        <v>1.45522460061067E-2</v>
      </c>
      <c r="G163">
        <v>1.8543808687355199E-2</v>
      </c>
      <c r="H163">
        <v>1.7001285541439801E-2</v>
      </c>
      <c r="I163">
        <v>8.3631216390736406E-3</v>
      </c>
      <c r="J163">
        <v>-1.7636194399863201</v>
      </c>
      <c r="K163">
        <v>18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s">
        <v>11</v>
      </c>
      <c r="R163">
        <f>SUM(M163+P163)</f>
        <v>1</v>
      </c>
    </row>
    <row r="164" spans="1:18" x14ac:dyDescent="0.2">
      <c r="A164">
        <v>38379</v>
      </c>
      <c r="B164" t="s">
        <v>11</v>
      </c>
      <c r="C164">
        <v>278</v>
      </c>
      <c r="D164">
        <v>2182</v>
      </c>
      <c r="E164">
        <v>7.4585616391326399E-3</v>
      </c>
      <c r="F164">
        <v>3.9786502542314304E-3</v>
      </c>
      <c r="G164">
        <v>4.2979922950857702E-2</v>
      </c>
      <c r="H164">
        <v>1.5666189456048599E-2</v>
      </c>
      <c r="I164">
        <v>5.0356163581619304E-3</v>
      </c>
      <c r="J164">
        <v>-1.6299152344305701</v>
      </c>
      <c r="K164">
        <v>20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s">
        <v>11</v>
      </c>
      <c r="R164">
        <f>SUM(M164+P164)</f>
        <v>1</v>
      </c>
    </row>
    <row r="165" spans="1:18" x14ac:dyDescent="0.2">
      <c r="A165">
        <v>38444</v>
      </c>
      <c r="B165" t="s">
        <v>11</v>
      </c>
      <c r="C165">
        <v>45.5</v>
      </c>
      <c r="D165">
        <v>1630</v>
      </c>
      <c r="E165">
        <v>4.2063123002813903E-2</v>
      </c>
      <c r="F165">
        <v>2.9311486516044701E-2</v>
      </c>
      <c r="G165">
        <v>5.5022979925252201E-2</v>
      </c>
      <c r="H165">
        <v>0.121300011625411</v>
      </c>
      <c r="I165">
        <v>3.72974330137315E-2</v>
      </c>
      <c r="J165">
        <v>-2.1244595732211802</v>
      </c>
      <c r="K165">
        <v>32</v>
      </c>
      <c r="L165" t="b">
        <v>0</v>
      </c>
      <c r="M165" t="b">
        <v>1</v>
      </c>
      <c r="N165" t="b">
        <v>0</v>
      </c>
      <c r="O165" t="b">
        <v>1</v>
      </c>
      <c r="P165" t="b">
        <v>0</v>
      </c>
      <c r="Q165" t="s">
        <v>11</v>
      </c>
      <c r="R165">
        <f>SUM(M165+P165)</f>
        <v>1</v>
      </c>
    </row>
    <row r="166" spans="1:18" x14ac:dyDescent="0.2">
      <c r="A166">
        <v>38704</v>
      </c>
      <c r="B166" t="s">
        <v>11</v>
      </c>
      <c r="C166">
        <v>0</v>
      </c>
      <c r="D166">
        <v>2548</v>
      </c>
      <c r="E166">
        <v>0</v>
      </c>
      <c r="F166">
        <v>2.6003886296775002E-3</v>
      </c>
      <c r="G166">
        <v>5.0487270536603897E-4</v>
      </c>
      <c r="H166" s="1">
        <v>4.9475792705844403E-5</v>
      </c>
      <c r="I166" s="1">
        <v>6.0846362371920902E-5</v>
      </c>
      <c r="J166">
        <v>-0.813126549840821</v>
      </c>
      <c r="K166">
        <v>18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s">
        <v>11</v>
      </c>
      <c r="R166">
        <f>SUM(M166+P166)</f>
        <v>1</v>
      </c>
    </row>
    <row r="167" spans="1:18" x14ac:dyDescent="0.2">
      <c r="A167">
        <v>38813</v>
      </c>
      <c r="B167" t="s">
        <v>10</v>
      </c>
      <c r="C167">
        <v>0</v>
      </c>
      <c r="D167">
        <v>2360</v>
      </c>
      <c r="E167">
        <v>9.6903404651526204E-4</v>
      </c>
      <c r="F167">
        <v>4.8111259014171001E-3</v>
      </c>
      <c r="G167">
        <v>4.5249198372452996E-3</v>
      </c>
      <c r="H167">
        <v>3.4407575821700201E-3</v>
      </c>
      <c r="I167">
        <v>1.1644848375871801E-3</v>
      </c>
      <c r="J167">
        <v>-2.1225897116670001</v>
      </c>
      <c r="K167">
        <v>25</v>
      </c>
      <c r="L167" t="b">
        <v>0</v>
      </c>
      <c r="M167" t="b">
        <v>1</v>
      </c>
      <c r="N167" t="b">
        <v>0</v>
      </c>
      <c r="O167" t="b">
        <v>1</v>
      </c>
      <c r="P167" t="b">
        <v>0</v>
      </c>
      <c r="Q167" t="s">
        <v>10</v>
      </c>
      <c r="R167">
        <f>SUM(M167+P167)</f>
        <v>1</v>
      </c>
    </row>
    <row r="168" spans="1:18" x14ac:dyDescent="0.2">
      <c r="A168">
        <v>38837</v>
      </c>
      <c r="B168" t="s">
        <v>10</v>
      </c>
      <c r="C168">
        <v>0</v>
      </c>
      <c r="D168">
        <v>2386</v>
      </c>
      <c r="E168" s="1">
        <v>1.6871026535830301E-5</v>
      </c>
      <c r="F168">
        <v>1.7958355205224801E-2</v>
      </c>
      <c r="G168">
        <v>1.89499559805658E-2</v>
      </c>
      <c r="H168">
        <v>1.94793547223758E-3</v>
      </c>
      <c r="I168">
        <v>2.75200119039284E-3</v>
      </c>
      <c r="J168">
        <v>-0.70169462587554199</v>
      </c>
      <c r="K168">
        <v>12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s">
        <v>10</v>
      </c>
      <c r="R168">
        <f>SUM(M168+P168)</f>
        <v>1</v>
      </c>
    </row>
    <row r="169" spans="1:18" x14ac:dyDescent="0.2">
      <c r="A169">
        <v>38908</v>
      </c>
      <c r="B169" t="s">
        <v>10</v>
      </c>
      <c r="C169">
        <v>4233</v>
      </c>
      <c r="D169">
        <v>304</v>
      </c>
      <c r="E169">
        <v>0.56971208023439301</v>
      </c>
      <c r="F169">
        <v>0.18554145193563701</v>
      </c>
      <c r="G169">
        <v>0.14926879869559201</v>
      </c>
      <c r="H169">
        <v>5.3143424862761197</v>
      </c>
      <c r="I169">
        <v>1.1447350480846199</v>
      </c>
      <c r="J169">
        <v>-4.1447411031753303</v>
      </c>
      <c r="K169">
        <v>36</v>
      </c>
      <c r="L169" t="b">
        <v>0</v>
      </c>
      <c r="M169" t="b">
        <v>0</v>
      </c>
      <c r="N169" t="b">
        <v>1</v>
      </c>
      <c r="O169" t="b">
        <v>1</v>
      </c>
      <c r="P169" t="b">
        <v>1</v>
      </c>
      <c r="Q169" t="s">
        <v>10</v>
      </c>
      <c r="R169">
        <f>SUM(M169+P169)</f>
        <v>1</v>
      </c>
    </row>
    <row r="170" spans="1:18" x14ac:dyDescent="0.2">
      <c r="A170">
        <v>38916</v>
      </c>
      <c r="B170" t="s">
        <v>11</v>
      </c>
      <c r="C170">
        <v>0</v>
      </c>
      <c r="D170">
        <v>2610</v>
      </c>
      <c r="E170">
        <v>0</v>
      </c>
      <c r="F170">
        <v>1.3736707469888299E-2</v>
      </c>
      <c r="G170">
        <v>5.4286503093769704E-3</v>
      </c>
      <c r="H170">
        <v>9.3953544800753105E-4</v>
      </c>
      <c r="I170">
        <v>2.8224226715283501E-3</v>
      </c>
      <c r="J170">
        <v>-0.33288261800234498</v>
      </c>
      <c r="K170">
        <v>26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s">
        <v>11</v>
      </c>
      <c r="R170">
        <f>SUM(M170+P170)</f>
        <v>1</v>
      </c>
    </row>
    <row r="171" spans="1:18" x14ac:dyDescent="0.2">
      <c r="A171">
        <v>39266</v>
      </c>
      <c r="B171" t="s">
        <v>10</v>
      </c>
      <c r="C171">
        <v>10</v>
      </c>
      <c r="D171">
        <v>316</v>
      </c>
      <c r="E171">
        <v>0.69268625004690298</v>
      </c>
      <c r="F171">
        <v>0.26304544333208801</v>
      </c>
      <c r="G171">
        <v>0.184119873152647</v>
      </c>
      <c r="H171">
        <v>10.9362216635281</v>
      </c>
      <c r="I171">
        <v>2.0812908785902602</v>
      </c>
      <c r="J171">
        <v>-4.9217221479486497</v>
      </c>
      <c r="K171">
        <v>31</v>
      </c>
      <c r="L171" t="b">
        <v>0</v>
      </c>
      <c r="M171" t="b">
        <v>0</v>
      </c>
      <c r="N171" t="b">
        <v>1</v>
      </c>
      <c r="O171" t="b">
        <v>1</v>
      </c>
      <c r="P171" t="b">
        <v>1</v>
      </c>
      <c r="Q171" t="s">
        <v>10</v>
      </c>
      <c r="R171">
        <f>SUM(M171+P171)</f>
        <v>1</v>
      </c>
    </row>
    <row r="172" spans="1:18" x14ac:dyDescent="0.2">
      <c r="A172">
        <v>42688</v>
      </c>
      <c r="B172" t="s">
        <v>11</v>
      </c>
      <c r="C172">
        <v>0</v>
      </c>
      <c r="D172">
        <v>2583</v>
      </c>
      <c r="E172">
        <v>2.0207372547610802E-3</v>
      </c>
      <c r="F172">
        <v>5.12382918567423E-2</v>
      </c>
      <c r="G172">
        <v>2.2786072702664199E-2</v>
      </c>
      <c r="H172">
        <v>3.87029446419275E-2</v>
      </c>
      <c r="I172">
        <v>3.57833010427136E-2</v>
      </c>
      <c r="J172">
        <v>-1.0251208334127599</v>
      </c>
      <c r="K172">
        <v>40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s">
        <v>11</v>
      </c>
      <c r="R172">
        <f>SUM(M172+P172)</f>
        <v>1</v>
      </c>
    </row>
    <row r="173" spans="1:18" x14ac:dyDescent="0.2">
      <c r="A173">
        <v>43416</v>
      </c>
      <c r="B173" t="s">
        <v>11</v>
      </c>
      <c r="C173">
        <v>28062</v>
      </c>
      <c r="D173">
        <v>244</v>
      </c>
      <c r="E173">
        <v>1.5968292191503399</v>
      </c>
      <c r="F173">
        <v>0.27019269782470501</v>
      </c>
      <c r="G173">
        <v>0.184450106455118</v>
      </c>
      <c r="H173">
        <v>13.7368622375885</v>
      </c>
      <c r="I173">
        <v>2.0300608538807001</v>
      </c>
      <c r="J173">
        <v>-5.9801325636278397</v>
      </c>
      <c r="K173">
        <v>31</v>
      </c>
      <c r="L173" t="b">
        <v>0</v>
      </c>
      <c r="M173" t="b">
        <v>0</v>
      </c>
      <c r="N173" t="b">
        <v>1</v>
      </c>
      <c r="O173" t="b">
        <v>1</v>
      </c>
      <c r="P173" t="b">
        <v>1</v>
      </c>
      <c r="Q173" t="s">
        <v>11</v>
      </c>
      <c r="R173">
        <f>SUM(M173+P173)</f>
        <v>1</v>
      </c>
    </row>
    <row r="174" spans="1:18" x14ac:dyDescent="0.2">
      <c r="A174">
        <v>44137</v>
      </c>
      <c r="B174" t="s">
        <v>11</v>
      </c>
      <c r="C174">
        <v>2.5</v>
      </c>
      <c r="D174">
        <v>2103</v>
      </c>
      <c r="E174">
        <v>4.6098374518462802E-4</v>
      </c>
      <c r="F174">
        <v>3.1160155530781399E-3</v>
      </c>
      <c r="G174">
        <v>2.24841185817136E-3</v>
      </c>
      <c r="H174">
        <v>9.885723010429389E-4</v>
      </c>
      <c r="I174">
        <v>3.1695139235563398E-4</v>
      </c>
      <c r="J174">
        <v>-1.6645724504858199</v>
      </c>
      <c r="K174" s="5">
        <v>19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s">
        <v>11</v>
      </c>
      <c r="R174">
        <f>SUM(M174+P174)</f>
        <v>1</v>
      </c>
    </row>
    <row r="175" spans="1:18" x14ac:dyDescent="0.2">
      <c r="A175">
        <v>44140</v>
      </c>
      <c r="B175" t="s">
        <v>11</v>
      </c>
      <c r="C175">
        <v>1501.5</v>
      </c>
      <c r="D175">
        <v>264</v>
      </c>
      <c r="E175">
        <v>0.24798537149361599</v>
      </c>
      <c r="F175">
        <v>0.14267420459037</v>
      </c>
      <c r="G175">
        <v>0.192228517217441</v>
      </c>
      <c r="H175">
        <v>7.1043034979761703</v>
      </c>
      <c r="I175">
        <v>1.2480327209193101</v>
      </c>
      <c r="J175">
        <v>-5.4937006150224299</v>
      </c>
      <c r="K175">
        <v>43</v>
      </c>
      <c r="L175" t="b">
        <v>0</v>
      </c>
      <c r="M175" t="b">
        <v>0</v>
      </c>
      <c r="N175" t="b">
        <v>1</v>
      </c>
      <c r="O175" t="b">
        <v>1</v>
      </c>
      <c r="P175" t="b">
        <v>1</v>
      </c>
      <c r="Q175" t="s">
        <v>11</v>
      </c>
      <c r="R175">
        <f>SUM(M175+P175)</f>
        <v>1</v>
      </c>
    </row>
    <row r="176" spans="1:18" x14ac:dyDescent="0.2">
      <c r="A176">
        <v>44141</v>
      </c>
      <c r="B176" t="s">
        <v>11</v>
      </c>
      <c r="C176">
        <v>0</v>
      </c>
      <c r="D176">
        <v>2454</v>
      </c>
      <c r="E176">
        <v>0</v>
      </c>
      <c r="F176">
        <v>6.1837485108791404E-3</v>
      </c>
      <c r="G176">
        <v>2.5292757648577201E-2</v>
      </c>
      <c r="H176">
        <v>0</v>
      </c>
      <c r="I176">
        <v>0</v>
      </c>
      <c r="J176" t="s">
        <v>18</v>
      </c>
      <c r="K176">
        <v>14</v>
      </c>
      <c r="L176" t="b">
        <v>0</v>
      </c>
      <c r="M176" t="b">
        <v>1</v>
      </c>
      <c r="N176" t="b">
        <v>0</v>
      </c>
      <c r="O176" t="b">
        <v>1</v>
      </c>
      <c r="P176" t="b">
        <v>0</v>
      </c>
      <c r="Q176" t="s">
        <v>11</v>
      </c>
      <c r="R176">
        <f>SUM(M176+P176)</f>
        <v>1</v>
      </c>
    </row>
    <row r="177" spans="1:18" x14ac:dyDescent="0.2">
      <c r="A177">
        <v>44293</v>
      </c>
      <c r="B177" t="s">
        <v>11</v>
      </c>
      <c r="C177">
        <v>315</v>
      </c>
      <c r="D177">
        <v>301</v>
      </c>
      <c r="E177">
        <v>0.25673339177868698</v>
      </c>
      <c r="F177">
        <v>0.17072867045303999</v>
      </c>
      <c r="G177">
        <v>0.242448892403448</v>
      </c>
      <c r="H177">
        <v>11.7587265740238</v>
      </c>
      <c r="I177">
        <v>1.74518852089164</v>
      </c>
      <c r="J177">
        <v>-6.59068808014427</v>
      </c>
      <c r="K177">
        <v>37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s">
        <v>11</v>
      </c>
      <c r="R177">
        <f>SUM(M177+P177)</f>
        <v>1</v>
      </c>
    </row>
    <row r="178" spans="1:18" x14ac:dyDescent="0.2">
      <c r="A178">
        <v>44301</v>
      </c>
      <c r="B178" t="s">
        <v>11</v>
      </c>
      <c r="C178">
        <v>53.5</v>
      </c>
      <c r="D178">
        <v>2420</v>
      </c>
      <c r="E178">
        <v>6.5151016655699806E-2</v>
      </c>
      <c r="F178">
        <v>3.53674968167711E-2</v>
      </c>
      <c r="G178">
        <v>4.2972170444567998E-2</v>
      </c>
      <c r="H178">
        <v>0.15563985782687201</v>
      </c>
      <c r="I178">
        <v>5.74413347688289E-2</v>
      </c>
      <c r="J178">
        <v>-1.5753262269294801</v>
      </c>
      <c r="K178">
        <v>11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s">
        <v>11</v>
      </c>
      <c r="R178">
        <f>SUM(M178+P178)</f>
        <v>1</v>
      </c>
    </row>
    <row r="179" spans="1:18" x14ac:dyDescent="0.2">
      <c r="A179">
        <v>44340</v>
      </c>
      <c r="B179" t="s">
        <v>11</v>
      </c>
      <c r="C179">
        <v>0</v>
      </c>
      <c r="D179">
        <v>1909</v>
      </c>
      <c r="E179">
        <v>0.152886688337075</v>
      </c>
      <c r="F179">
        <v>2.4705103439189899E-2</v>
      </c>
      <c r="G179">
        <v>7.1538991074111505E-2</v>
      </c>
      <c r="H179">
        <v>0.31675144934821198</v>
      </c>
      <c r="I179">
        <v>8.0076038358349699E-2</v>
      </c>
      <c r="J179">
        <v>-2.0463644851887199</v>
      </c>
      <c r="K179">
        <v>23</v>
      </c>
      <c r="L179" t="b">
        <v>0</v>
      </c>
      <c r="M179" t="b">
        <v>1</v>
      </c>
      <c r="N179" t="b">
        <v>0</v>
      </c>
      <c r="O179" t="b">
        <v>1</v>
      </c>
      <c r="P179" t="b">
        <v>0</v>
      </c>
      <c r="Q179" t="s">
        <v>11</v>
      </c>
      <c r="R179">
        <f>SUM(M179+P179)</f>
        <v>1</v>
      </c>
    </row>
    <row r="180" spans="1:18" x14ac:dyDescent="0.2">
      <c r="A180">
        <v>44341</v>
      </c>
      <c r="B180" t="s">
        <v>11</v>
      </c>
      <c r="C180">
        <v>0</v>
      </c>
      <c r="D180">
        <v>361</v>
      </c>
      <c r="E180">
        <v>0.27812563139816798</v>
      </c>
      <c r="F180">
        <v>0.310904322463325</v>
      </c>
      <c r="G180">
        <v>5.03052976763382E-2</v>
      </c>
      <c r="H180">
        <v>4.1684570554536</v>
      </c>
      <c r="I180">
        <v>0.596286346219569</v>
      </c>
      <c r="J180">
        <v>-6.52426715573813</v>
      </c>
      <c r="K180">
        <v>36</v>
      </c>
      <c r="L180" t="b">
        <v>0</v>
      </c>
      <c r="M180" t="b">
        <v>0</v>
      </c>
      <c r="N180" t="b">
        <v>1</v>
      </c>
      <c r="O180" t="b">
        <v>1</v>
      </c>
      <c r="P180" t="b">
        <v>1</v>
      </c>
      <c r="Q180" t="s">
        <v>11</v>
      </c>
      <c r="R180">
        <f>SUM(M180+P180)</f>
        <v>1</v>
      </c>
    </row>
    <row r="181" spans="1:18" x14ac:dyDescent="0.2">
      <c r="A181">
        <v>44352</v>
      </c>
      <c r="B181" t="s">
        <v>11</v>
      </c>
      <c r="C181">
        <v>0</v>
      </c>
      <c r="D181">
        <v>2530</v>
      </c>
      <c r="E181">
        <v>0</v>
      </c>
      <c r="F181">
        <v>5.8881063214068999E-4</v>
      </c>
      <c r="G181">
        <v>2.1278233056830102E-3</v>
      </c>
      <c r="H181" s="1">
        <v>6.8124447008465305E-5</v>
      </c>
      <c r="I181" s="1">
        <v>6.8109374048511994E-5</v>
      </c>
      <c r="J181">
        <v>-1.0002213052191999</v>
      </c>
      <c r="K181">
        <v>9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s">
        <v>11</v>
      </c>
      <c r="R181">
        <f>SUM(M181+P181)</f>
        <v>1</v>
      </c>
    </row>
    <row r="182" spans="1:18" x14ac:dyDescent="0.2">
      <c r="A182">
        <v>44371</v>
      </c>
      <c r="B182" t="s">
        <v>11</v>
      </c>
      <c r="C182">
        <v>4237</v>
      </c>
      <c r="D182">
        <v>340</v>
      </c>
      <c r="E182">
        <v>1.0609225776437501</v>
      </c>
      <c r="F182">
        <v>0.28188739414508801</v>
      </c>
      <c r="G182">
        <v>0.31510308848662699</v>
      </c>
      <c r="H182">
        <v>25.025620336483399</v>
      </c>
      <c r="I182">
        <v>3.6499659077339102</v>
      </c>
      <c r="J182">
        <v>-6.5657319450740301</v>
      </c>
      <c r="K182">
        <v>27</v>
      </c>
      <c r="L182" t="b">
        <v>0</v>
      </c>
      <c r="M182" t="b">
        <v>0</v>
      </c>
      <c r="N182" t="b">
        <v>1</v>
      </c>
      <c r="O182" t="b">
        <v>1</v>
      </c>
      <c r="P182" t="b">
        <v>1</v>
      </c>
      <c r="Q182" t="s">
        <v>11</v>
      </c>
      <c r="R182">
        <f>SUM(M182+P182)</f>
        <v>1</v>
      </c>
    </row>
    <row r="183" spans="1:18" x14ac:dyDescent="0.2">
      <c r="A183">
        <v>44414</v>
      </c>
      <c r="B183" t="s">
        <v>11</v>
      </c>
      <c r="C183">
        <v>0</v>
      </c>
      <c r="D183">
        <v>2670</v>
      </c>
      <c r="E183">
        <v>0</v>
      </c>
      <c r="F183">
        <v>1.22072250461221E-2</v>
      </c>
      <c r="G183">
        <v>7.3495765434683002E-2</v>
      </c>
      <c r="H183">
        <v>3.4985504513635197E-2</v>
      </c>
      <c r="I183">
        <v>3.8463602617893403E-2</v>
      </c>
      <c r="J183">
        <v>-0.90957430226153202</v>
      </c>
      <c r="K183">
        <v>9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s">
        <v>11</v>
      </c>
      <c r="R183">
        <f>SUM(M183+P183)</f>
        <v>1</v>
      </c>
    </row>
    <row r="184" spans="1:18" x14ac:dyDescent="0.2">
      <c r="A184">
        <v>44415</v>
      </c>
      <c r="B184" t="s">
        <v>11</v>
      </c>
      <c r="C184">
        <v>0</v>
      </c>
      <c r="D184">
        <v>2640</v>
      </c>
      <c r="E184">
        <v>0</v>
      </c>
      <c r="F184">
        <v>5.2104954821858597E-3</v>
      </c>
      <c r="G184">
        <v>9.8857546446918895E-2</v>
      </c>
      <c r="H184">
        <v>1.2950174405031699E-2</v>
      </c>
      <c r="I184">
        <v>9.4547950336136295E-3</v>
      </c>
      <c r="J184">
        <v>-1.3696938282629401</v>
      </c>
      <c r="K184">
        <v>12</v>
      </c>
      <c r="L184" t="b">
        <v>0</v>
      </c>
      <c r="M184" t="b">
        <v>1</v>
      </c>
      <c r="N184" t="b">
        <v>1</v>
      </c>
      <c r="O184" t="b">
        <v>0</v>
      </c>
      <c r="P184" t="b">
        <v>0</v>
      </c>
      <c r="Q184" t="s">
        <v>11</v>
      </c>
      <c r="R184">
        <f>SUM(M184+P184)</f>
        <v>1</v>
      </c>
    </row>
    <row r="185" spans="1:18" x14ac:dyDescent="0.2">
      <c r="A185">
        <v>44489</v>
      </c>
      <c r="B185" t="s">
        <v>11</v>
      </c>
      <c r="C185">
        <v>10</v>
      </c>
      <c r="D185">
        <v>352</v>
      </c>
      <c r="E185">
        <v>2.00529825128053</v>
      </c>
      <c r="F185">
        <v>0.30693183104094102</v>
      </c>
      <c r="G185">
        <v>0.33593544390819002</v>
      </c>
      <c r="H185">
        <v>17.614786396045801</v>
      </c>
      <c r="I185">
        <v>3.37792061639388</v>
      </c>
      <c r="J185">
        <v>-4.6210346297093396</v>
      </c>
      <c r="K185">
        <v>20</v>
      </c>
      <c r="L185" t="b">
        <v>0</v>
      </c>
      <c r="M185" t="b">
        <v>0</v>
      </c>
      <c r="N185" t="b">
        <v>1</v>
      </c>
      <c r="O185" t="b">
        <v>1</v>
      </c>
      <c r="P185" t="b">
        <v>1</v>
      </c>
      <c r="Q185" t="s">
        <v>11</v>
      </c>
      <c r="R185">
        <f>SUM(M185+P185)</f>
        <v>1</v>
      </c>
    </row>
    <row r="186" spans="1:18" x14ac:dyDescent="0.2">
      <c r="A186">
        <v>44557</v>
      </c>
      <c r="B186" t="s">
        <v>11</v>
      </c>
      <c r="C186">
        <v>0</v>
      </c>
      <c r="D186">
        <v>2435</v>
      </c>
      <c r="E186">
        <v>3.07380222188257E-4</v>
      </c>
      <c r="F186">
        <v>1.3556744266059999E-2</v>
      </c>
      <c r="G186">
        <v>1.7896648724517E-2</v>
      </c>
      <c r="H186">
        <v>8.3069889271654104E-4</v>
      </c>
      <c r="I186">
        <v>1.0546072599697399E-3</v>
      </c>
      <c r="J186">
        <v>-0.49622138059555998</v>
      </c>
      <c r="K186">
        <v>10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s">
        <v>11</v>
      </c>
      <c r="R186">
        <f>SUM(M186+P186)</f>
        <v>1</v>
      </c>
    </row>
    <row r="187" spans="1:18" x14ac:dyDescent="0.2">
      <c r="A187">
        <v>44588</v>
      </c>
      <c r="B187" t="s">
        <v>11</v>
      </c>
      <c r="C187">
        <v>15</v>
      </c>
      <c r="D187">
        <v>466</v>
      </c>
      <c r="E187">
        <v>2.6388479195037</v>
      </c>
      <c r="F187">
        <v>0.249980070549916</v>
      </c>
      <c r="G187">
        <v>0.249137418409308</v>
      </c>
      <c r="H187">
        <v>16.349759735013301</v>
      </c>
      <c r="I187">
        <v>2.4524346632348801</v>
      </c>
      <c r="J187">
        <v>-5.5907347996069401</v>
      </c>
      <c r="K187">
        <v>17</v>
      </c>
      <c r="L187" t="b">
        <v>0</v>
      </c>
      <c r="M187" t="b">
        <v>0</v>
      </c>
      <c r="N187" t="b">
        <v>1</v>
      </c>
      <c r="O187" t="b">
        <v>1</v>
      </c>
      <c r="P187" t="b">
        <v>1</v>
      </c>
      <c r="Q187" t="s">
        <v>11</v>
      </c>
      <c r="R187">
        <f>SUM(M187+P187)</f>
        <v>1</v>
      </c>
    </row>
    <row r="188" spans="1:18" x14ac:dyDescent="0.2">
      <c r="A188">
        <v>44589</v>
      </c>
      <c r="B188" t="s">
        <v>11</v>
      </c>
      <c r="C188">
        <v>4</v>
      </c>
      <c r="D188">
        <v>216</v>
      </c>
      <c r="E188">
        <v>0.73808720476020795</v>
      </c>
      <c r="F188">
        <v>0.36504964977964699</v>
      </c>
      <c r="G188">
        <v>0.35749146024586098</v>
      </c>
      <c r="H188">
        <v>34.442050732558798</v>
      </c>
      <c r="I188">
        <v>5.5047124384121302</v>
      </c>
      <c r="J188">
        <v>-6.1227473559946199</v>
      </c>
      <c r="K188">
        <v>9</v>
      </c>
      <c r="L188" t="b">
        <v>0</v>
      </c>
      <c r="M188" t="b">
        <v>0</v>
      </c>
      <c r="N188" t="b">
        <v>1</v>
      </c>
      <c r="O188" t="b">
        <v>1</v>
      </c>
      <c r="P188" t="b">
        <v>1</v>
      </c>
      <c r="Q188" t="s">
        <v>11</v>
      </c>
      <c r="R188">
        <f>SUM(M188+P188)</f>
        <v>1</v>
      </c>
    </row>
    <row r="189" spans="1:18" x14ac:dyDescent="0.2">
      <c r="A189">
        <v>44590</v>
      </c>
      <c r="B189" t="s">
        <v>11</v>
      </c>
      <c r="C189">
        <v>15</v>
      </c>
      <c r="D189">
        <v>499</v>
      </c>
      <c r="E189">
        <v>0.26608484188083298</v>
      </c>
      <c r="F189">
        <v>4.8029530458054699E-2</v>
      </c>
      <c r="G189">
        <v>0.15330800809471201</v>
      </c>
      <c r="H189">
        <v>2.0206584748537701</v>
      </c>
      <c r="I189">
        <v>0.30242224481764202</v>
      </c>
      <c r="J189">
        <v>-5.8017347038440601</v>
      </c>
      <c r="K189">
        <v>32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s">
        <v>11</v>
      </c>
      <c r="R189">
        <f>SUM(M189+P189)</f>
        <v>1</v>
      </c>
    </row>
    <row r="190" spans="1:18" x14ac:dyDescent="0.2">
      <c r="A190">
        <v>44618</v>
      </c>
      <c r="B190" t="s">
        <v>11</v>
      </c>
      <c r="C190">
        <v>126900</v>
      </c>
      <c r="D190">
        <v>314</v>
      </c>
      <c r="E190">
        <v>1.3465350921919701</v>
      </c>
      <c r="F190">
        <v>0.317594913779642</v>
      </c>
      <c r="G190">
        <v>0.185678518393738</v>
      </c>
      <c r="H190">
        <v>10.5957241998456</v>
      </c>
      <c r="I190">
        <v>2.0985450358022599</v>
      </c>
      <c r="J190">
        <v>-4.4074294093563298</v>
      </c>
      <c r="K190">
        <v>27</v>
      </c>
      <c r="L190" t="b">
        <v>0</v>
      </c>
      <c r="M190" t="b">
        <v>0</v>
      </c>
      <c r="N190" t="b">
        <v>1</v>
      </c>
      <c r="O190" t="b">
        <v>1</v>
      </c>
      <c r="P190" t="b">
        <v>1</v>
      </c>
      <c r="Q190" t="s">
        <v>11</v>
      </c>
      <c r="R190">
        <f>SUM(M190+P190)</f>
        <v>1</v>
      </c>
    </row>
    <row r="191" spans="1:18" x14ac:dyDescent="0.2">
      <c r="A191">
        <v>44645</v>
      </c>
      <c r="B191" t="s">
        <v>11</v>
      </c>
      <c r="C191">
        <v>0</v>
      </c>
      <c r="D191">
        <v>2466</v>
      </c>
      <c r="E191">
        <v>2.1983766209974298E-3</v>
      </c>
      <c r="F191">
        <v>7.9326473938427806E-3</v>
      </c>
      <c r="G191">
        <v>1.9063647083223501E-2</v>
      </c>
      <c r="H191">
        <v>4.4340810828635497E-3</v>
      </c>
      <c r="I191">
        <v>2.2418869510199601E-3</v>
      </c>
      <c r="J191">
        <v>-0.997242283268998</v>
      </c>
      <c r="K191">
        <v>21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s">
        <v>11</v>
      </c>
      <c r="R191">
        <f>SUM(M191+P191)</f>
        <v>1</v>
      </c>
    </row>
    <row r="192" spans="1:18" x14ac:dyDescent="0.2">
      <c r="A192">
        <v>44666</v>
      </c>
      <c r="B192" t="s">
        <v>11</v>
      </c>
      <c r="C192">
        <v>15</v>
      </c>
      <c r="D192">
        <v>342</v>
      </c>
      <c r="E192">
        <v>0.307194008326377</v>
      </c>
      <c r="F192">
        <v>0.28810820384479602</v>
      </c>
      <c r="G192">
        <v>0.25104809789536198</v>
      </c>
      <c r="H192">
        <v>19.775023116933198</v>
      </c>
      <c r="I192">
        <v>3.0687041733128102</v>
      </c>
      <c r="J192">
        <v>-6.3439901695021703</v>
      </c>
      <c r="K192">
        <v>34</v>
      </c>
      <c r="L192" t="b">
        <v>0</v>
      </c>
      <c r="M192" t="b">
        <v>0</v>
      </c>
      <c r="N192" t="b">
        <v>1</v>
      </c>
      <c r="O192" t="b">
        <v>1</v>
      </c>
      <c r="P192" t="b">
        <v>1</v>
      </c>
      <c r="Q192" t="s">
        <v>11</v>
      </c>
      <c r="R192">
        <f>SUM(M192+P192)</f>
        <v>1</v>
      </c>
    </row>
    <row r="193" spans="1:18" x14ac:dyDescent="0.2">
      <c r="A193">
        <v>44671</v>
      </c>
      <c r="B193" t="s">
        <v>11</v>
      </c>
      <c r="C193">
        <v>0</v>
      </c>
      <c r="D193">
        <v>2479</v>
      </c>
      <c r="E193">
        <v>0</v>
      </c>
      <c r="F193">
        <v>5.2110950246749999E-2</v>
      </c>
      <c r="G193">
        <v>1.1433006059194799E-2</v>
      </c>
      <c r="H193">
        <v>3.5517051856392E-2</v>
      </c>
      <c r="I193">
        <v>3.5545836608335303E-2</v>
      </c>
      <c r="J193">
        <v>-0.99919020749854703</v>
      </c>
      <c r="K193">
        <v>14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s">
        <v>11</v>
      </c>
      <c r="R193">
        <f>SUM(M193+P193)</f>
        <v>1</v>
      </c>
    </row>
    <row r="194" spans="1:18" x14ac:dyDescent="0.2">
      <c r="A194">
        <v>44692</v>
      </c>
      <c r="B194" t="s">
        <v>11</v>
      </c>
      <c r="C194">
        <v>11</v>
      </c>
      <c r="D194">
        <v>2600</v>
      </c>
      <c r="E194">
        <v>4.9021339739966101E-4</v>
      </c>
      <c r="F194">
        <v>3.5056040633016099E-3</v>
      </c>
      <c r="G194">
        <v>2.5222905619616399E-3</v>
      </c>
      <c r="H194">
        <v>7.3655225409836097E-4</v>
      </c>
      <c r="I194">
        <v>2.8006296028523401E-4</v>
      </c>
      <c r="J194">
        <v>-0.87958384945946799</v>
      </c>
      <c r="K194">
        <v>39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s">
        <v>11</v>
      </c>
      <c r="R194">
        <f>SUM(M194+P194)</f>
        <v>1</v>
      </c>
    </row>
    <row r="195" spans="1:18" x14ac:dyDescent="0.2">
      <c r="A195">
        <v>44857</v>
      </c>
      <c r="B195" t="s">
        <v>11</v>
      </c>
      <c r="C195">
        <v>35146</v>
      </c>
      <c r="D195">
        <v>498</v>
      </c>
      <c r="E195">
        <v>2.3350803270278901</v>
      </c>
      <c r="F195">
        <v>0.193292311487335</v>
      </c>
      <c r="G195">
        <v>0.222148548739864</v>
      </c>
      <c r="H195">
        <v>11.540427626596699</v>
      </c>
      <c r="I195">
        <v>1.78095847074513</v>
      </c>
      <c r="J195">
        <v>-5.1687602214089701</v>
      </c>
      <c r="K195">
        <v>35</v>
      </c>
      <c r="L195" t="b">
        <v>0</v>
      </c>
      <c r="M195" t="b">
        <v>0</v>
      </c>
      <c r="N195" t="b">
        <v>1</v>
      </c>
      <c r="O195" t="b">
        <v>1</v>
      </c>
      <c r="P195" t="b">
        <v>1</v>
      </c>
      <c r="Q195" t="s">
        <v>11</v>
      </c>
      <c r="R195">
        <f>SUM(M195+P195)</f>
        <v>1</v>
      </c>
    </row>
    <row r="196" spans="1:18" x14ac:dyDescent="0.2">
      <c r="A196">
        <v>44956</v>
      </c>
      <c r="B196" t="s">
        <v>11</v>
      </c>
      <c r="C196">
        <v>240</v>
      </c>
      <c r="D196">
        <v>664</v>
      </c>
      <c r="E196">
        <v>5.6859619268456903E-2</v>
      </c>
      <c r="F196">
        <v>1.6480429056087001E-2</v>
      </c>
      <c r="G196">
        <v>2.2954374073079199E-2</v>
      </c>
      <c r="H196">
        <v>9.5364976812027796E-2</v>
      </c>
      <c r="I196">
        <v>1.72119622601133E-2</v>
      </c>
      <c r="J196">
        <v>-2.23712770000679</v>
      </c>
      <c r="K196">
        <v>28</v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s">
        <v>11</v>
      </c>
      <c r="R196">
        <f>SUM(M196+P196)</f>
        <v>1</v>
      </c>
    </row>
    <row r="197" spans="1:18" x14ac:dyDescent="0.2">
      <c r="A197">
        <v>45041</v>
      </c>
      <c r="B197" t="s">
        <v>11</v>
      </c>
      <c r="C197">
        <v>30563.5</v>
      </c>
      <c r="D197">
        <v>466</v>
      </c>
      <c r="E197">
        <v>1.50529789399067</v>
      </c>
      <c r="F197">
        <v>0.25964209298464502</v>
      </c>
      <c r="G197">
        <v>0.27139672358358802</v>
      </c>
      <c r="H197">
        <v>18.371797432372201</v>
      </c>
      <c r="I197">
        <v>2.7577521361351001</v>
      </c>
      <c r="J197">
        <v>-6.1160317192317999</v>
      </c>
      <c r="K197">
        <v>34</v>
      </c>
      <c r="L197" t="b">
        <v>0</v>
      </c>
      <c r="M197" t="b">
        <v>0</v>
      </c>
      <c r="N197" t="b">
        <v>1</v>
      </c>
      <c r="O197" t="b">
        <v>1</v>
      </c>
      <c r="P197" t="b">
        <v>1</v>
      </c>
      <c r="Q197" t="s">
        <v>11</v>
      </c>
      <c r="R197">
        <f>SUM(M197+P197)</f>
        <v>1</v>
      </c>
    </row>
    <row r="198" spans="1:18" x14ac:dyDescent="0.2">
      <c r="A198">
        <v>45043</v>
      </c>
      <c r="B198" t="s">
        <v>11</v>
      </c>
      <c r="C198">
        <v>27354</v>
      </c>
      <c r="D198">
        <v>488</v>
      </c>
      <c r="E198">
        <v>2.0163248956483799</v>
      </c>
      <c r="F198">
        <v>0.204034360714904</v>
      </c>
      <c r="G198">
        <v>0.24604396401112699</v>
      </c>
      <c r="H198">
        <v>12.741153695295701</v>
      </c>
      <c r="I198">
        <v>1.8752119104626499</v>
      </c>
      <c r="J198">
        <v>-5.7192623083336196</v>
      </c>
      <c r="K198">
        <v>39</v>
      </c>
      <c r="L198" t="b">
        <v>0</v>
      </c>
      <c r="M198" t="b">
        <v>0</v>
      </c>
      <c r="N198" t="b">
        <v>1</v>
      </c>
      <c r="O198" t="b">
        <v>1</v>
      </c>
      <c r="P198" t="b">
        <v>1</v>
      </c>
      <c r="Q198" t="s">
        <v>11</v>
      </c>
      <c r="R198">
        <f>SUM(M198+P198)</f>
        <v>1</v>
      </c>
    </row>
    <row r="199" spans="1:18" x14ac:dyDescent="0.2">
      <c r="A199">
        <v>45282</v>
      </c>
      <c r="B199" t="s">
        <v>11</v>
      </c>
      <c r="C199">
        <v>0</v>
      </c>
      <c r="D199">
        <v>2514</v>
      </c>
      <c r="E199">
        <v>0</v>
      </c>
      <c r="F199">
        <v>1.11024294842603E-3</v>
      </c>
      <c r="G199">
        <v>4.1682976065649203E-3</v>
      </c>
      <c r="H199">
        <v>1.6530694724151601E-4</v>
      </c>
      <c r="I199">
        <v>2.9844418641200099E-4</v>
      </c>
      <c r="J199">
        <v>-0.55389568558494495</v>
      </c>
      <c r="K199">
        <v>32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s">
        <v>11</v>
      </c>
      <c r="R199">
        <f>SUM(M199+P199)</f>
        <v>1</v>
      </c>
    </row>
    <row r="200" spans="1:18" x14ac:dyDescent="0.2">
      <c r="A200">
        <v>45290</v>
      </c>
      <c r="B200" t="s">
        <v>11</v>
      </c>
      <c r="C200">
        <v>1440.5</v>
      </c>
      <c r="D200">
        <v>358</v>
      </c>
      <c r="E200">
        <v>0.86648090283968704</v>
      </c>
      <c r="F200">
        <v>0.16114569119439301</v>
      </c>
      <c r="G200">
        <v>0.26320807072087699</v>
      </c>
      <c r="H200">
        <v>8.9773359049049706</v>
      </c>
      <c r="I200">
        <v>1.5264187732891199</v>
      </c>
      <c r="J200">
        <v>-5.3136499262178498</v>
      </c>
      <c r="K200">
        <v>18</v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s">
        <v>11</v>
      </c>
      <c r="R200">
        <f>SUM(M200+P200)</f>
        <v>1</v>
      </c>
    </row>
    <row r="201" spans="1:18" x14ac:dyDescent="0.2">
      <c r="A201">
        <v>45409</v>
      </c>
      <c r="B201" t="s">
        <v>11</v>
      </c>
      <c r="C201">
        <v>0</v>
      </c>
      <c r="D201">
        <v>2620</v>
      </c>
      <c r="E201" s="1">
        <v>6.2851338984925701E-6</v>
      </c>
      <c r="F201">
        <v>6.8472361200358999E-4</v>
      </c>
      <c r="G201">
        <v>1.30512478310056E-3</v>
      </c>
      <c r="H201" s="1">
        <v>9.3334238392614698E-6</v>
      </c>
      <c r="I201" s="1">
        <v>6.9691465386374803E-6</v>
      </c>
      <c r="J201">
        <v>-0.43739788277788999</v>
      </c>
      <c r="K201">
        <v>28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s">
        <v>11</v>
      </c>
      <c r="R201">
        <f>SUM(M201+P201)</f>
        <v>1</v>
      </c>
    </row>
    <row r="202" spans="1:18" x14ac:dyDescent="0.2">
      <c r="A202">
        <v>45733</v>
      </c>
      <c r="B202" t="s">
        <v>11</v>
      </c>
      <c r="C202">
        <v>67</v>
      </c>
      <c r="D202">
        <v>249</v>
      </c>
      <c r="E202">
        <v>0.48578381656922398</v>
      </c>
      <c r="F202">
        <v>0.30566893100253401</v>
      </c>
      <c r="G202">
        <v>0.30968270650021201</v>
      </c>
      <c r="H202">
        <v>25.986013549372601</v>
      </c>
      <c r="I202">
        <v>4.0309461672208702</v>
      </c>
      <c r="J202">
        <v>-6.3261151786565399</v>
      </c>
      <c r="K202">
        <v>34</v>
      </c>
      <c r="L202" t="b">
        <v>0</v>
      </c>
      <c r="M202" t="b">
        <v>0</v>
      </c>
      <c r="N202" t="b">
        <v>1</v>
      </c>
      <c r="O202" t="b">
        <v>1</v>
      </c>
      <c r="P202" t="b">
        <v>1</v>
      </c>
      <c r="Q202" t="s">
        <v>11</v>
      </c>
      <c r="R202">
        <f>SUM(M202+P202)</f>
        <v>1</v>
      </c>
    </row>
    <row r="203" spans="1:18" x14ac:dyDescent="0.2">
      <c r="A203">
        <v>45736</v>
      </c>
      <c r="B203" t="s">
        <v>10</v>
      </c>
      <c r="C203">
        <v>774</v>
      </c>
      <c r="D203">
        <v>299</v>
      </c>
      <c r="E203">
        <v>0.28235853854548498</v>
      </c>
      <c r="F203">
        <v>0.116854172774707</v>
      </c>
      <c r="G203">
        <v>0.23888567767548499</v>
      </c>
      <c r="H203">
        <v>7.9959137130351197</v>
      </c>
      <c r="I203">
        <v>1.1484136147808099</v>
      </c>
      <c r="J203">
        <v>-6.7167047440149403</v>
      </c>
      <c r="K203">
        <v>12</v>
      </c>
      <c r="L203" t="b">
        <v>0</v>
      </c>
      <c r="M203" t="b">
        <v>0</v>
      </c>
      <c r="N203" t="b">
        <v>1</v>
      </c>
      <c r="O203" t="b">
        <v>1</v>
      </c>
      <c r="P203" t="b">
        <v>1</v>
      </c>
      <c r="Q203" t="s">
        <v>10</v>
      </c>
      <c r="R203">
        <f>SUM(M203+P203)</f>
        <v>1</v>
      </c>
    </row>
    <row r="204" spans="1:18" x14ac:dyDescent="0.2">
      <c r="A204">
        <v>45784</v>
      </c>
      <c r="B204" t="s">
        <v>11</v>
      </c>
      <c r="C204">
        <v>0</v>
      </c>
      <c r="D204">
        <v>2620</v>
      </c>
      <c r="E204">
        <v>0.19369428021132101</v>
      </c>
      <c r="F204">
        <v>7.4271388756719806E-2</v>
      </c>
      <c r="G204">
        <v>3.53927586987339E-2</v>
      </c>
      <c r="H204">
        <v>0.247720124247089</v>
      </c>
      <c r="I204">
        <v>0.119751824109709</v>
      </c>
      <c r="J204">
        <v>-0.45114840159990299</v>
      </c>
      <c r="K204">
        <v>12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s">
        <v>11</v>
      </c>
      <c r="R204">
        <f>SUM(M204+P204)</f>
        <v>1</v>
      </c>
    </row>
    <row r="205" spans="1:18" x14ac:dyDescent="0.2">
      <c r="A205">
        <v>45820</v>
      </c>
      <c r="B205" t="s">
        <v>11</v>
      </c>
      <c r="C205">
        <v>0</v>
      </c>
      <c r="D205">
        <v>2393</v>
      </c>
      <c r="E205">
        <v>1.06624641409095E-4</v>
      </c>
      <c r="F205">
        <v>4.4406784767019401E-3</v>
      </c>
      <c r="G205">
        <v>5.4682292474382997E-3</v>
      </c>
      <c r="H205">
        <v>1.54578287307612E-3</v>
      </c>
      <c r="I205">
        <v>1.07079565525227E-3</v>
      </c>
      <c r="J205">
        <v>-1.34400828450128</v>
      </c>
      <c r="K205">
        <v>13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s">
        <v>11</v>
      </c>
      <c r="R205">
        <f>SUM(M205+P205)</f>
        <v>1</v>
      </c>
    </row>
    <row r="206" spans="1:18" x14ac:dyDescent="0.2">
      <c r="A206">
        <v>45829</v>
      </c>
      <c r="B206" t="s">
        <v>11</v>
      </c>
      <c r="C206">
        <v>5.5</v>
      </c>
      <c r="D206">
        <v>421</v>
      </c>
      <c r="E206">
        <v>1.89506668497469</v>
      </c>
      <c r="F206">
        <v>0.20882615466068399</v>
      </c>
      <c r="G206">
        <v>0.25750868478173999</v>
      </c>
      <c r="H206">
        <v>12.4910221313745</v>
      </c>
      <c r="I206">
        <v>1.9648803495885001</v>
      </c>
      <c r="J206">
        <v>-5.3926721027154896</v>
      </c>
      <c r="K206" s="5">
        <v>16</v>
      </c>
      <c r="L206" t="b">
        <v>0</v>
      </c>
      <c r="M206" t="b">
        <v>0</v>
      </c>
      <c r="N206" t="b">
        <v>1</v>
      </c>
      <c r="O206" t="b">
        <v>1</v>
      </c>
      <c r="P206" t="b">
        <v>1</v>
      </c>
      <c r="Q206" t="s">
        <v>11</v>
      </c>
      <c r="R206">
        <f>SUM(M206+P206)</f>
        <v>1</v>
      </c>
    </row>
    <row r="207" spans="1:18" x14ac:dyDescent="0.2">
      <c r="A207">
        <v>45878</v>
      </c>
      <c r="B207" t="s">
        <v>11</v>
      </c>
      <c r="C207">
        <v>12294</v>
      </c>
      <c r="D207">
        <v>366</v>
      </c>
      <c r="E207">
        <v>0.34709061737550201</v>
      </c>
      <c r="F207">
        <v>0.33742612483800899</v>
      </c>
      <c r="G207">
        <v>0.30041753619238198</v>
      </c>
      <c r="H207">
        <v>24.9492146537991</v>
      </c>
      <c r="I207">
        <v>3.841867580678</v>
      </c>
      <c r="J207">
        <v>-6.4036887060230203</v>
      </c>
      <c r="K207" s="5">
        <v>12</v>
      </c>
      <c r="L207" t="b">
        <v>0</v>
      </c>
      <c r="M207" t="b">
        <v>0</v>
      </c>
      <c r="N207" t="b">
        <v>1</v>
      </c>
      <c r="O207" t="b">
        <v>1</v>
      </c>
      <c r="P207" t="b">
        <v>1</v>
      </c>
      <c r="Q207" t="s">
        <v>11</v>
      </c>
      <c r="R207">
        <f>SUM(M207+P207)</f>
        <v>1</v>
      </c>
    </row>
    <row r="208" spans="1:18" x14ac:dyDescent="0.2">
      <c r="A208">
        <v>46082</v>
      </c>
      <c r="B208" t="s">
        <v>11</v>
      </c>
      <c r="C208">
        <v>0</v>
      </c>
      <c r="D208">
        <v>2284</v>
      </c>
      <c r="E208">
        <v>0.170143614049381</v>
      </c>
      <c r="F208">
        <v>4.6598740112597598E-2</v>
      </c>
      <c r="G208">
        <v>8.2965335770242801E-2</v>
      </c>
      <c r="H208">
        <v>0.211894615765889</v>
      </c>
      <c r="I208">
        <v>6.5782981164754506E-2</v>
      </c>
      <c r="J208">
        <v>-0.63467786009791105</v>
      </c>
      <c r="K208">
        <v>10</v>
      </c>
      <c r="L208" t="b">
        <v>0</v>
      </c>
      <c r="M208" t="b">
        <v>1</v>
      </c>
      <c r="N208" t="b">
        <v>1</v>
      </c>
      <c r="O208" t="b">
        <v>0</v>
      </c>
      <c r="P208" t="b">
        <v>0</v>
      </c>
      <c r="Q208" t="s">
        <v>11</v>
      </c>
      <c r="R208">
        <f>SUM(M208+P208)</f>
        <v>1</v>
      </c>
    </row>
    <row r="209" spans="1:18" x14ac:dyDescent="0.2">
      <c r="A209">
        <v>46110</v>
      </c>
      <c r="B209" t="s">
        <v>11</v>
      </c>
      <c r="C209">
        <v>621.5</v>
      </c>
      <c r="D209">
        <v>332</v>
      </c>
      <c r="E209">
        <v>0.302557677523969</v>
      </c>
      <c r="F209">
        <v>0.27148257235347301</v>
      </c>
      <c r="G209">
        <v>0.35078169462448</v>
      </c>
      <c r="H209">
        <v>22.220488511671</v>
      </c>
      <c r="I209">
        <v>3.6715437260321502</v>
      </c>
      <c r="J209">
        <v>-5.9696771902084604</v>
      </c>
      <c r="K209">
        <v>9</v>
      </c>
      <c r="L209" t="b">
        <v>0</v>
      </c>
      <c r="M209" t="b">
        <v>0</v>
      </c>
      <c r="N209" t="b">
        <v>1</v>
      </c>
      <c r="O209" t="b">
        <v>1</v>
      </c>
      <c r="P209" t="b">
        <v>1</v>
      </c>
      <c r="Q209" t="s">
        <v>11</v>
      </c>
      <c r="R209">
        <f>SUM(M209+P209)</f>
        <v>1</v>
      </c>
    </row>
    <row r="210" spans="1:18" x14ac:dyDescent="0.2">
      <c r="A210">
        <v>46112</v>
      </c>
      <c r="B210" t="s">
        <v>11</v>
      </c>
      <c r="C210">
        <v>3</v>
      </c>
      <c r="D210">
        <v>2178</v>
      </c>
      <c r="E210">
        <v>1.5655914358394601E-3</v>
      </c>
      <c r="F210">
        <v>8.5709472906481208E-3</v>
      </c>
      <c r="G210">
        <v>1.34721472702317E-2</v>
      </c>
      <c r="H210">
        <v>1.0933646746043E-2</v>
      </c>
      <c r="I210">
        <v>6.6091195250568601E-3</v>
      </c>
      <c r="J210">
        <v>-1.4174437721525299</v>
      </c>
      <c r="K210">
        <v>15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s">
        <v>11</v>
      </c>
      <c r="R210">
        <f>SUM(M210+P210)</f>
        <v>1</v>
      </c>
    </row>
    <row r="211" spans="1:18" x14ac:dyDescent="0.2">
      <c r="A211">
        <v>46182</v>
      </c>
      <c r="B211" t="s">
        <v>11</v>
      </c>
      <c r="C211">
        <v>0</v>
      </c>
      <c r="D211">
        <v>2321</v>
      </c>
      <c r="E211">
        <v>9.2408906044215491E-3</v>
      </c>
      <c r="F211">
        <v>1.3650629098572901E-2</v>
      </c>
      <c r="G211">
        <v>1.1863968590697299E-2</v>
      </c>
      <c r="H211">
        <v>1.4950332154364801E-2</v>
      </c>
      <c r="I211">
        <v>6.9902888131676902E-3</v>
      </c>
      <c r="J211">
        <v>-0.81676761898425698</v>
      </c>
      <c r="K211">
        <v>18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s">
        <v>11</v>
      </c>
      <c r="R211">
        <f>SUM(M211+P211)</f>
        <v>1</v>
      </c>
    </row>
    <row r="212" spans="1:18" x14ac:dyDescent="0.2">
      <c r="A212">
        <v>46243</v>
      </c>
      <c r="B212" t="s">
        <v>11</v>
      </c>
      <c r="C212">
        <v>0</v>
      </c>
      <c r="D212">
        <v>2670</v>
      </c>
      <c r="E212">
        <v>0</v>
      </c>
      <c r="F212">
        <v>2.3965473502523299E-3</v>
      </c>
      <c r="G212">
        <v>2.64020028586519E-2</v>
      </c>
      <c r="H212">
        <v>9.7084991158267E-4</v>
      </c>
      <c r="I212">
        <v>4.2833424925092503E-3</v>
      </c>
      <c r="J212">
        <v>-0.22665708223904599</v>
      </c>
      <c r="K212">
        <v>13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s">
        <v>11</v>
      </c>
      <c r="R212">
        <f>SUM(M212+P212)</f>
        <v>1</v>
      </c>
    </row>
    <row r="213" spans="1:18" x14ac:dyDescent="0.2">
      <c r="A213">
        <v>46297</v>
      </c>
      <c r="B213" t="s">
        <v>11</v>
      </c>
      <c r="C213">
        <v>19</v>
      </c>
      <c r="D213">
        <v>2264</v>
      </c>
      <c r="E213">
        <v>2.34094513805921E-3</v>
      </c>
      <c r="F213">
        <v>1.3986534421558099E-2</v>
      </c>
      <c r="G213">
        <v>8.7799006099986004E-3</v>
      </c>
      <c r="H213">
        <v>1.2526007900483801E-2</v>
      </c>
      <c r="I213">
        <v>4.1636391331024902E-3</v>
      </c>
      <c r="J213">
        <v>-2.4461924861474098</v>
      </c>
      <c r="K213">
        <v>11</v>
      </c>
      <c r="L213" t="b">
        <v>0</v>
      </c>
      <c r="M213" t="b">
        <v>1</v>
      </c>
      <c r="N213" t="b">
        <v>0</v>
      </c>
      <c r="O213" t="b">
        <v>1</v>
      </c>
      <c r="P213" t="b">
        <v>0</v>
      </c>
      <c r="Q213" t="s">
        <v>11</v>
      </c>
      <c r="R213">
        <f>SUM(M213+P213)</f>
        <v>1</v>
      </c>
    </row>
    <row r="214" spans="1:18" x14ac:dyDescent="0.2">
      <c r="A214">
        <v>46313</v>
      </c>
      <c r="B214" t="s">
        <v>11</v>
      </c>
      <c r="C214">
        <v>207</v>
      </c>
      <c r="D214">
        <v>229</v>
      </c>
      <c r="E214">
        <v>0.627089837643095</v>
      </c>
      <c r="F214">
        <v>0.316204393974645</v>
      </c>
      <c r="G214">
        <v>0.18652337131567301</v>
      </c>
      <c r="H214">
        <v>15.601781421066301</v>
      </c>
      <c r="I214">
        <v>2.3449990213630398</v>
      </c>
      <c r="J214">
        <v>-6.3857986493823997</v>
      </c>
      <c r="K214">
        <v>16</v>
      </c>
      <c r="L214" t="b">
        <v>0</v>
      </c>
      <c r="M214" t="b">
        <v>0</v>
      </c>
      <c r="N214" t="b">
        <v>1</v>
      </c>
      <c r="O214" t="b">
        <v>1</v>
      </c>
      <c r="P214" t="b">
        <v>1</v>
      </c>
      <c r="Q214" t="s">
        <v>11</v>
      </c>
      <c r="R214">
        <f>SUM(M214+P214)</f>
        <v>1</v>
      </c>
    </row>
    <row r="215" spans="1:18" x14ac:dyDescent="0.2">
      <c r="A215">
        <v>46315</v>
      </c>
      <c r="B215" t="s">
        <v>11</v>
      </c>
      <c r="C215">
        <v>858</v>
      </c>
      <c r="D215">
        <v>261</v>
      </c>
      <c r="E215">
        <v>0.365676940999831</v>
      </c>
      <c r="F215">
        <v>0.293991188637441</v>
      </c>
      <c r="G215">
        <v>0.101573404256612</v>
      </c>
      <c r="H215">
        <v>6.7980336733888098</v>
      </c>
      <c r="I215">
        <v>1.12581725909129</v>
      </c>
      <c r="J215">
        <v>-5.7134998423997398</v>
      </c>
      <c r="K215">
        <v>9</v>
      </c>
      <c r="L215" t="b">
        <v>0</v>
      </c>
      <c r="M215" t="b">
        <v>0</v>
      </c>
      <c r="N215" t="b">
        <v>1</v>
      </c>
      <c r="O215" t="b">
        <v>1</v>
      </c>
      <c r="P215" t="b">
        <v>1</v>
      </c>
      <c r="Q215" t="s">
        <v>11</v>
      </c>
      <c r="R215">
        <f>SUM(M215+P215)</f>
        <v>1</v>
      </c>
    </row>
    <row r="216" spans="1:18" x14ac:dyDescent="0.2">
      <c r="A216">
        <v>46320</v>
      </c>
      <c r="B216" t="s">
        <v>11</v>
      </c>
      <c r="C216">
        <v>1</v>
      </c>
      <c r="D216">
        <v>318</v>
      </c>
      <c r="E216">
        <v>2.19219772083293</v>
      </c>
      <c r="F216">
        <v>0.24695144575466799</v>
      </c>
      <c r="G216">
        <v>0.23751606038418299</v>
      </c>
      <c r="H216">
        <v>15.9499307315055</v>
      </c>
      <c r="I216">
        <v>2.4583607583761302</v>
      </c>
      <c r="J216">
        <v>-5.5963035383627897</v>
      </c>
      <c r="K216" s="5">
        <v>11</v>
      </c>
      <c r="L216" t="b">
        <v>0</v>
      </c>
      <c r="M216" t="b">
        <v>0</v>
      </c>
      <c r="N216" t="b">
        <v>1</v>
      </c>
      <c r="O216" t="b">
        <v>1</v>
      </c>
      <c r="P216" t="b">
        <v>1</v>
      </c>
      <c r="Q216" t="s">
        <v>11</v>
      </c>
      <c r="R216">
        <f>SUM(M216+P216)</f>
        <v>1</v>
      </c>
    </row>
    <row r="217" spans="1:18" x14ac:dyDescent="0.2">
      <c r="A217">
        <v>46378</v>
      </c>
      <c r="B217" t="s">
        <v>11</v>
      </c>
      <c r="C217">
        <v>13190</v>
      </c>
      <c r="D217">
        <v>334</v>
      </c>
      <c r="E217">
        <v>1.2102252960536899</v>
      </c>
      <c r="F217">
        <v>0.28046156289094099</v>
      </c>
      <c r="G217">
        <v>0.277203700957319</v>
      </c>
      <c r="H217">
        <v>20.564531599754201</v>
      </c>
      <c r="I217">
        <v>3.2274379605174799</v>
      </c>
      <c r="J217">
        <v>-5.9968019650476201</v>
      </c>
      <c r="K217">
        <v>13</v>
      </c>
      <c r="L217" t="b">
        <v>0</v>
      </c>
      <c r="M217" t="b">
        <v>0</v>
      </c>
      <c r="N217" t="b">
        <v>1</v>
      </c>
      <c r="O217" t="b">
        <v>1</v>
      </c>
      <c r="P217" t="b">
        <v>1</v>
      </c>
      <c r="Q217" t="s">
        <v>11</v>
      </c>
      <c r="R217">
        <f>SUM(M217+P217)</f>
        <v>1</v>
      </c>
    </row>
    <row r="218" spans="1:18" x14ac:dyDescent="0.2">
      <c r="A218">
        <v>46480</v>
      </c>
      <c r="B218" t="s">
        <v>11</v>
      </c>
      <c r="C218">
        <v>0</v>
      </c>
      <c r="D218">
        <v>2334</v>
      </c>
      <c r="E218">
        <v>5.8824883946569699E-2</v>
      </c>
      <c r="F218">
        <v>5.4826500144126301E-2</v>
      </c>
      <c r="G218">
        <v>3.9855260276784397E-2</v>
      </c>
      <c r="H218">
        <v>0.28039511221973101</v>
      </c>
      <c r="I218">
        <v>0.100781486347857</v>
      </c>
      <c r="J218">
        <v>-2.1985211401664699</v>
      </c>
      <c r="K218">
        <v>9</v>
      </c>
      <c r="L218" t="b">
        <v>0</v>
      </c>
      <c r="M218" t="b">
        <v>1</v>
      </c>
      <c r="N218" t="b">
        <v>0</v>
      </c>
      <c r="O218" t="b">
        <v>1</v>
      </c>
      <c r="P218" t="b">
        <v>0</v>
      </c>
      <c r="Q218" t="s">
        <v>11</v>
      </c>
      <c r="R218">
        <f>SUM(M218+P218)</f>
        <v>1</v>
      </c>
    </row>
    <row r="219" spans="1:18" x14ac:dyDescent="0.2">
      <c r="A219">
        <v>46545</v>
      </c>
      <c r="B219" t="s">
        <v>11</v>
      </c>
      <c r="C219">
        <v>0</v>
      </c>
      <c r="D219">
        <v>2635</v>
      </c>
      <c r="E219">
        <v>0</v>
      </c>
      <c r="F219">
        <v>3.02184255222556E-2</v>
      </c>
      <c r="G219">
        <v>3.1514758169908098E-2</v>
      </c>
      <c r="H219">
        <v>3.5950659212967598E-2</v>
      </c>
      <c r="I219">
        <v>5.2027560989769503E-2</v>
      </c>
      <c r="J219">
        <v>-0.69099259179258499</v>
      </c>
      <c r="K219">
        <v>15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s">
        <v>11</v>
      </c>
      <c r="R219">
        <f>SUM(M219+P219)</f>
        <v>1</v>
      </c>
    </row>
    <row r="220" spans="1:18" x14ac:dyDescent="0.2">
      <c r="A220">
        <v>46572</v>
      </c>
      <c r="B220" t="s">
        <v>11</v>
      </c>
      <c r="C220">
        <v>70</v>
      </c>
      <c r="D220">
        <v>1612</v>
      </c>
      <c r="E220">
        <v>6.6820276497695898E-3</v>
      </c>
      <c r="F220">
        <v>4.0216472600185099E-3</v>
      </c>
      <c r="G220">
        <v>1.25453647358293E-2</v>
      </c>
      <c r="H220">
        <v>9.7436262513904293E-3</v>
      </c>
      <c r="I220">
        <v>2.2469059007378099E-3</v>
      </c>
      <c r="J220">
        <v>-1.3625842544699001</v>
      </c>
      <c r="K220">
        <v>9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s">
        <v>11</v>
      </c>
      <c r="R220">
        <f>SUM(M220+P220)</f>
        <v>1</v>
      </c>
    </row>
    <row r="221" spans="1:18" x14ac:dyDescent="0.2">
      <c r="A221">
        <v>46639</v>
      </c>
      <c r="B221" t="s">
        <v>10</v>
      </c>
      <c r="C221">
        <v>7.3969126426673002</v>
      </c>
      <c r="D221">
        <v>415</v>
      </c>
      <c r="E221">
        <v>0.83231843715340903</v>
      </c>
      <c r="F221">
        <v>0.238194218890495</v>
      </c>
      <c r="G221">
        <v>0.15125865753298001</v>
      </c>
      <c r="H221">
        <v>9.1190348832683306</v>
      </c>
      <c r="I221">
        <v>1.4151480537437899</v>
      </c>
      <c r="J221">
        <v>-5.85572401713892</v>
      </c>
      <c r="K221">
        <v>17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s">
        <v>10</v>
      </c>
      <c r="R221">
        <f>SUM(M221+P221)</f>
        <v>1</v>
      </c>
    </row>
    <row r="222" spans="1:18" x14ac:dyDescent="0.2">
      <c r="A222">
        <v>46643</v>
      </c>
      <c r="B222" t="s">
        <v>11</v>
      </c>
      <c r="C222">
        <v>0</v>
      </c>
      <c r="D222">
        <v>2465</v>
      </c>
      <c r="E222">
        <v>0</v>
      </c>
      <c r="F222">
        <v>1.95444913963553E-2</v>
      </c>
      <c r="G222">
        <v>5.4888131008193598E-2</v>
      </c>
      <c r="H222">
        <v>2.28780107201721E-2</v>
      </c>
      <c r="I222">
        <v>1.86480672589012E-2</v>
      </c>
      <c r="J222">
        <v>-1.2268301268192801</v>
      </c>
      <c r="K222">
        <v>9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s">
        <v>11</v>
      </c>
      <c r="R222">
        <f>SUM(M222+P222)</f>
        <v>1</v>
      </c>
    </row>
    <row r="223" spans="1:18" x14ac:dyDescent="0.2">
      <c r="A223">
        <v>46693</v>
      </c>
      <c r="B223" t="s">
        <v>10</v>
      </c>
      <c r="C223">
        <v>170</v>
      </c>
      <c r="D223">
        <v>367</v>
      </c>
      <c r="E223">
        <v>3.9457538481823402</v>
      </c>
      <c r="F223">
        <v>0.29811546120226301</v>
      </c>
      <c r="G223">
        <v>0.26928162885787599</v>
      </c>
      <c r="H223">
        <v>20.8764912054897</v>
      </c>
      <c r="I223">
        <v>3.4063388283600702</v>
      </c>
      <c r="J223">
        <v>-4.9703620838736002</v>
      </c>
      <c r="K223">
        <v>22</v>
      </c>
      <c r="L223" t="b">
        <v>0</v>
      </c>
      <c r="M223" t="b">
        <v>0</v>
      </c>
      <c r="N223" t="b">
        <v>1</v>
      </c>
      <c r="O223" t="b">
        <v>1</v>
      </c>
      <c r="P223" t="b">
        <v>1</v>
      </c>
      <c r="Q223" t="s">
        <v>10</v>
      </c>
      <c r="R223">
        <f>SUM(M223+P223)</f>
        <v>1</v>
      </c>
    </row>
    <row r="224" spans="1:18" x14ac:dyDescent="0.2">
      <c r="A224">
        <v>46730</v>
      </c>
      <c r="B224" t="s">
        <v>10</v>
      </c>
      <c r="C224">
        <v>1639</v>
      </c>
      <c r="D224">
        <v>474</v>
      </c>
      <c r="E224">
        <v>2.67001420744774</v>
      </c>
      <c r="F224">
        <v>0.20611684675192499</v>
      </c>
      <c r="G224">
        <v>0.25373872065429898</v>
      </c>
      <c r="H224">
        <v>13.990889977512801</v>
      </c>
      <c r="I224">
        <v>2.17441419799444</v>
      </c>
      <c r="J224">
        <v>-5.2064026166251196</v>
      </c>
      <c r="K224">
        <v>10</v>
      </c>
      <c r="L224" t="b">
        <v>0</v>
      </c>
      <c r="M224" t="b">
        <v>0</v>
      </c>
      <c r="N224" t="b">
        <v>1</v>
      </c>
      <c r="O224" t="b">
        <v>1</v>
      </c>
      <c r="P224" t="b">
        <v>1</v>
      </c>
      <c r="Q224" t="s">
        <v>10</v>
      </c>
      <c r="R224">
        <f>SUM(M224+P224)</f>
        <v>1</v>
      </c>
    </row>
    <row r="225" spans="1:18" x14ac:dyDescent="0.2">
      <c r="A225">
        <v>46751</v>
      </c>
      <c r="B225" t="s">
        <v>10</v>
      </c>
      <c r="C225">
        <v>16</v>
      </c>
      <c r="D225">
        <v>416</v>
      </c>
      <c r="E225">
        <v>1.2797821673474901</v>
      </c>
      <c r="F225">
        <v>0.29181346240671502</v>
      </c>
      <c r="G225">
        <v>0.203263383799829</v>
      </c>
      <c r="H225">
        <v>12.6873661872539</v>
      </c>
      <c r="I225">
        <v>2.3758927161201102</v>
      </c>
      <c r="J225">
        <v>-4.8013885233569198</v>
      </c>
      <c r="K225">
        <v>9</v>
      </c>
      <c r="L225" t="b">
        <v>0</v>
      </c>
      <c r="M225" t="b">
        <v>0</v>
      </c>
      <c r="N225" t="b">
        <v>1</v>
      </c>
      <c r="O225" t="b">
        <v>1</v>
      </c>
      <c r="P225" t="b">
        <v>1</v>
      </c>
      <c r="Q225" t="s">
        <v>10</v>
      </c>
      <c r="R225">
        <f>SUM(M225+P225)</f>
        <v>1</v>
      </c>
    </row>
    <row r="226" spans="1:18" x14ac:dyDescent="0.2">
      <c r="A226">
        <v>48830</v>
      </c>
      <c r="B226" t="s">
        <v>11</v>
      </c>
      <c r="C226">
        <v>23979</v>
      </c>
      <c r="D226">
        <v>314</v>
      </c>
      <c r="E226">
        <v>0.34913186866482399</v>
      </c>
      <c r="F226">
        <v>0.28209529297970698</v>
      </c>
      <c r="G226">
        <v>7.0284846540115603E-2</v>
      </c>
      <c r="H226">
        <v>3.4031551496799102</v>
      </c>
      <c r="I226">
        <v>0.734064327913165</v>
      </c>
      <c r="J226">
        <v>-4.1604300398266396</v>
      </c>
      <c r="K226">
        <v>26</v>
      </c>
      <c r="L226" t="b">
        <v>0</v>
      </c>
      <c r="M226" t="b">
        <v>0</v>
      </c>
      <c r="N226" t="b">
        <v>1</v>
      </c>
      <c r="O226" t="b">
        <v>1</v>
      </c>
      <c r="P226" t="b">
        <v>1</v>
      </c>
      <c r="Q226" t="s">
        <v>11</v>
      </c>
      <c r="R226">
        <f>SUM(M226+P226)</f>
        <v>1</v>
      </c>
    </row>
    <row r="227" spans="1:18" x14ac:dyDescent="0.2">
      <c r="A227">
        <v>49011</v>
      </c>
      <c r="B227" t="s">
        <v>11</v>
      </c>
      <c r="C227">
        <v>2727</v>
      </c>
      <c r="D227">
        <v>471</v>
      </c>
      <c r="E227">
        <v>1.9685071715703399</v>
      </c>
      <c r="F227">
        <v>0.20164691601495499</v>
      </c>
      <c r="G227">
        <v>0.21012236392926001</v>
      </c>
      <c r="H227">
        <v>10.746057451916601</v>
      </c>
      <c r="I227">
        <v>1.64211610853608</v>
      </c>
      <c r="J227">
        <v>-5.3452677522122896</v>
      </c>
      <c r="K227">
        <v>22</v>
      </c>
      <c r="L227" t="b">
        <v>0</v>
      </c>
      <c r="M227" t="b">
        <v>0</v>
      </c>
      <c r="N227" t="b">
        <v>1</v>
      </c>
      <c r="O227" t="b">
        <v>1</v>
      </c>
      <c r="P227" t="b">
        <v>1</v>
      </c>
      <c r="Q227" t="s">
        <v>11</v>
      </c>
      <c r="R227">
        <f>SUM(M227+P227)</f>
        <v>1</v>
      </c>
    </row>
    <row r="228" spans="1:18" x14ac:dyDescent="0.2">
      <c r="A228">
        <v>49369</v>
      </c>
      <c r="B228" t="s">
        <v>11</v>
      </c>
      <c r="C228">
        <v>2158.5</v>
      </c>
      <c r="D228">
        <v>447</v>
      </c>
      <c r="E228">
        <v>0.22573147222885101</v>
      </c>
      <c r="F228">
        <v>0.17925174502250199</v>
      </c>
      <c r="G228">
        <v>0.26820706026959301</v>
      </c>
      <c r="H228">
        <v>11.688145878232801</v>
      </c>
      <c r="I228">
        <v>2.1604385412318501</v>
      </c>
      <c r="J228">
        <v>-5.3055961496910804</v>
      </c>
      <c r="K228" s="5">
        <v>19</v>
      </c>
      <c r="L228" t="b">
        <v>0</v>
      </c>
      <c r="M228" t="b">
        <v>0</v>
      </c>
      <c r="N228" t="b">
        <v>1</v>
      </c>
      <c r="O228" t="b">
        <v>1</v>
      </c>
      <c r="P228" t="b">
        <v>1</v>
      </c>
      <c r="Q228" t="s">
        <v>11</v>
      </c>
      <c r="R228">
        <f>SUM(M228+P228)</f>
        <v>1</v>
      </c>
    </row>
    <row r="229" spans="1:18" x14ac:dyDescent="0.2">
      <c r="A229">
        <v>49399</v>
      </c>
      <c r="B229" t="s">
        <v>11</v>
      </c>
      <c r="C229">
        <v>2819</v>
      </c>
      <c r="D229">
        <v>126</v>
      </c>
      <c r="E229">
        <v>0.24442341872058199</v>
      </c>
      <c r="F229">
        <v>0.28603533983000301</v>
      </c>
      <c r="G229">
        <v>0.206162460327905</v>
      </c>
      <c r="H229">
        <v>16.172027596374399</v>
      </c>
      <c r="I229">
        <v>2.4960179181472002</v>
      </c>
      <c r="J229">
        <v>-6.3812058646906298</v>
      </c>
      <c r="K229">
        <v>9</v>
      </c>
      <c r="L229" t="b">
        <v>0</v>
      </c>
      <c r="M229" t="b">
        <v>0</v>
      </c>
      <c r="N229" t="b">
        <v>1</v>
      </c>
      <c r="O229" t="b">
        <v>1</v>
      </c>
      <c r="P229" t="b">
        <v>1</v>
      </c>
      <c r="Q229" t="s">
        <v>11</v>
      </c>
      <c r="R229">
        <f>SUM(M229+P229)</f>
        <v>1</v>
      </c>
    </row>
    <row r="230" spans="1:18" x14ac:dyDescent="0.2">
      <c r="A230">
        <v>49410</v>
      </c>
      <c r="B230" t="s">
        <v>11</v>
      </c>
      <c r="C230">
        <v>1608</v>
      </c>
      <c r="D230">
        <v>386</v>
      </c>
      <c r="E230">
        <v>0.22628189094482601</v>
      </c>
      <c r="F230">
        <v>0.29106942748505399</v>
      </c>
      <c r="G230">
        <v>2.7940724585338202E-2</v>
      </c>
      <c r="H230">
        <v>1.9146348089565199</v>
      </c>
      <c r="I230">
        <v>0.29937615929626898</v>
      </c>
      <c r="J230">
        <v>-5.6395703718707404</v>
      </c>
      <c r="K230">
        <v>10</v>
      </c>
      <c r="L230" t="b">
        <v>0</v>
      </c>
      <c r="M230" t="b">
        <v>0</v>
      </c>
      <c r="N230" t="b">
        <v>1</v>
      </c>
      <c r="O230" t="b">
        <v>1</v>
      </c>
      <c r="P230" t="b">
        <v>1</v>
      </c>
      <c r="Q230" t="s">
        <v>11</v>
      </c>
      <c r="R230">
        <f>SUM(M230+P230)</f>
        <v>1</v>
      </c>
    </row>
    <row r="231" spans="1:18" x14ac:dyDescent="0.2">
      <c r="A231">
        <v>49453</v>
      </c>
      <c r="B231" t="s">
        <v>11</v>
      </c>
      <c r="C231">
        <v>83.5</v>
      </c>
      <c r="D231">
        <v>1946</v>
      </c>
      <c r="E231">
        <v>1.62862460815047E-2</v>
      </c>
      <c r="F231">
        <v>2.4271473855359198E-2</v>
      </c>
      <c r="G231">
        <v>1.06154493349707E-2</v>
      </c>
      <c r="H231">
        <v>2.9925365823702799E-2</v>
      </c>
      <c r="I231">
        <v>1.10553958791912E-2</v>
      </c>
      <c r="J231">
        <v>-1.2337070414520499</v>
      </c>
      <c r="K231">
        <v>20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s">
        <v>11</v>
      </c>
      <c r="R231">
        <f>SUM(M231+P231)</f>
        <v>1</v>
      </c>
    </row>
    <row r="232" spans="1:18" x14ac:dyDescent="0.2">
      <c r="A232">
        <v>49483</v>
      </c>
      <c r="B232" t="s">
        <v>11</v>
      </c>
      <c r="C232">
        <v>120.000305175687</v>
      </c>
      <c r="D232">
        <v>491</v>
      </c>
      <c r="E232">
        <v>0.21974730360184899</v>
      </c>
      <c r="F232">
        <v>7.1424331664242294E-2</v>
      </c>
      <c r="G232">
        <v>3.2150584718411403E-2</v>
      </c>
      <c r="H232">
        <v>0.358775090209626</v>
      </c>
      <c r="I232">
        <v>0.101715303156134</v>
      </c>
      <c r="J232">
        <v>-1.3668325443062199</v>
      </c>
      <c r="K232">
        <v>22</v>
      </c>
      <c r="L232" t="b">
        <v>0</v>
      </c>
      <c r="M232" t="b">
        <v>0</v>
      </c>
      <c r="N232" t="b">
        <v>0</v>
      </c>
      <c r="O232" t="b">
        <v>0</v>
      </c>
      <c r="P232" t="b">
        <v>1</v>
      </c>
      <c r="Q232" t="s">
        <v>11</v>
      </c>
      <c r="R232">
        <f>SUM(M232+P232)</f>
        <v>1</v>
      </c>
    </row>
    <row r="233" spans="1:18" x14ac:dyDescent="0.2">
      <c r="A233">
        <v>49547</v>
      </c>
      <c r="B233" t="s">
        <v>11</v>
      </c>
      <c r="C233">
        <v>72</v>
      </c>
      <c r="D233">
        <v>1544</v>
      </c>
      <c r="E233">
        <v>1.2522583202231201E-2</v>
      </c>
      <c r="F233">
        <v>1.93211424773523E-2</v>
      </c>
      <c r="G233">
        <v>2.1356831844075701E-2</v>
      </c>
      <c r="H233">
        <v>7.2891898370789701E-2</v>
      </c>
      <c r="I233">
        <v>1.9966469796303801E-2</v>
      </c>
      <c r="J233">
        <v>-3.0235347452224102</v>
      </c>
      <c r="K233">
        <v>9</v>
      </c>
      <c r="L233" t="b">
        <v>0</v>
      </c>
      <c r="M233" t="b">
        <v>1</v>
      </c>
      <c r="N233" t="b">
        <v>0</v>
      </c>
      <c r="O233" t="b">
        <v>1</v>
      </c>
      <c r="P233" t="b">
        <v>0</v>
      </c>
      <c r="Q233" t="s">
        <v>11</v>
      </c>
      <c r="R233">
        <f>SUM(M233+P233)</f>
        <v>1</v>
      </c>
    </row>
    <row r="234" spans="1:18" x14ac:dyDescent="0.2">
      <c r="A234">
        <v>49620</v>
      </c>
      <c r="B234" t="s">
        <v>11</v>
      </c>
      <c r="C234">
        <v>0</v>
      </c>
      <c r="D234">
        <v>2524</v>
      </c>
      <c r="E234">
        <v>5.0846938367195898E-3</v>
      </c>
      <c r="F234">
        <v>2.7886516242739901E-2</v>
      </c>
      <c r="G234">
        <v>1.3856991582324301E-2</v>
      </c>
      <c r="H234">
        <v>9.1352487920530606E-3</v>
      </c>
      <c r="I234">
        <v>3.9228771845349402E-3</v>
      </c>
      <c r="J234">
        <v>-1.0325469712133399</v>
      </c>
      <c r="K234">
        <v>9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s">
        <v>11</v>
      </c>
      <c r="R234">
        <f>SUM(M234+P234)</f>
        <v>1</v>
      </c>
    </row>
    <row r="235" spans="1:18" x14ac:dyDescent="0.2">
      <c r="A235">
        <v>49701</v>
      </c>
      <c r="B235" t="s">
        <v>11</v>
      </c>
      <c r="C235">
        <v>0</v>
      </c>
      <c r="D235">
        <v>218</v>
      </c>
      <c r="E235">
        <v>0.542762090261247</v>
      </c>
      <c r="F235">
        <v>0.30676233414135801</v>
      </c>
      <c r="G235">
        <v>8.8864347492248405E-2</v>
      </c>
      <c r="H235">
        <v>6.9259768438362501</v>
      </c>
      <c r="I235">
        <v>1.0892650854402499</v>
      </c>
      <c r="J235">
        <v>-5.8601114080463601</v>
      </c>
      <c r="K235">
        <v>26</v>
      </c>
      <c r="L235" t="b">
        <v>0</v>
      </c>
      <c r="M235" t="b">
        <v>0</v>
      </c>
      <c r="N235" t="b">
        <v>1</v>
      </c>
      <c r="O235" t="b">
        <v>1</v>
      </c>
      <c r="P235" t="b">
        <v>1</v>
      </c>
      <c r="Q235" t="s">
        <v>11</v>
      </c>
      <c r="R235">
        <f>SUM(M235+P235)</f>
        <v>1</v>
      </c>
    </row>
    <row r="236" spans="1:18" x14ac:dyDescent="0.2">
      <c r="A236">
        <v>50035</v>
      </c>
      <c r="B236" t="s">
        <v>11</v>
      </c>
      <c r="C236">
        <v>489</v>
      </c>
      <c r="D236">
        <v>2198</v>
      </c>
      <c r="E236">
        <v>1.08750207584546E-2</v>
      </c>
      <c r="F236">
        <v>3.0832607530707799E-2</v>
      </c>
      <c r="G236">
        <v>1.6304952398098201E-2</v>
      </c>
      <c r="H236">
        <v>4.0280550514216598E-2</v>
      </c>
      <c r="I236">
        <v>2.5881679941002898E-2</v>
      </c>
      <c r="J236">
        <v>-1.13615228311267</v>
      </c>
      <c r="K236" s="5">
        <v>10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s">
        <v>11</v>
      </c>
      <c r="R236">
        <f>SUM(M236+P236)</f>
        <v>1</v>
      </c>
    </row>
    <row r="237" spans="1:18" x14ac:dyDescent="0.2">
      <c r="A237">
        <v>52064</v>
      </c>
      <c r="B237" t="s">
        <v>11</v>
      </c>
      <c r="C237">
        <v>148</v>
      </c>
      <c r="D237">
        <v>446</v>
      </c>
      <c r="E237">
        <v>0.60016335072496696</v>
      </c>
      <c r="F237">
        <v>0.185613285397105</v>
      </c>
      <c r="G237">
        <v>0.24799707355667999</v>
      </c>
      <c r="H237">
        <v>12.079604450343901</v>
      </c>
      <c r="I237">
        <v>1.82408432639635</v>
      </c>
      <c r="J237">
        <v>-6.2932622870005703</v>
      </c>
      <c r="K237">
        <v>9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s">
        <v>11</v>
      </c>
      <c r="R237">
        <f>SUM(M237+P237)</f>
        <v>1</v>
      </c>
    </row>
    <row r="238" spans="1:18" x14ac:dyDescent="0.2">
      <c r="A238">
        <v>52174</v>
      </c>
      <c r="B238" t="s">
        <v>11</v>
      </c>
      <c r="C238">
        <v>3</v>
      </c>
      <c r="D238">
        <v>2175</v>
      </c>
      <c r="E238">
        <v>8.3192455234015195E-2</v>
      </c>
      <c r="F238">
        <v>4.6633920585111698E-2</v>
      </c>
      <c r="G238">
        <v>6.2225755748808703E-2</v>
      </c>
      <c r="H238">
        <v>7.4058763667800703E-2</v>
      </c>
      <c r="I238">
        <v>4.69617169010886E-2</v>
      </c>
      <c r="J238">
        <v>0.194492283692523</v>
      </c>
      <c r="K238">
        <v>11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s">
        <v>11</v>
      </c>
      <c r="R238">
        <f>SUM(M238+P238)</f>
        <v>1</v>
      </c>
    </row>
    <row r="239" spans="1:18" x14ac:dyDescent="0.2">
      <c r="A239">
        <v>52221</v>
      </c>
      <c r="B239" t="s">
        <v>11</v>
      </c>
      <c r="C239">
        <v>0</v>
      </c>
      <c r="D239">
        <v>2503</v>
      </c>
      <c r="E239">
        <v>0</v>
      </c>
      <c r="F239">
        <v>1.35297538410275E-2</v>
      </c>
      <c r="G239">
        <v>4.5988948033665399E-2</v>
      </c>
      <c r="H239">
        <v>6.9680644038782203E-3</v>
      </c>
      <c r="I239">
        <v>8.29508977498674E-3</v>
      </c>
      <c r="J239">
        <v>-0.840022783706323</v>
      </c>
      <c r="K239" s="5">
        <v>14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s">
        <v>11</v>
      </c>
      <c r="R239">
        <f>SUM(M239+P239)</f>
        <v>1</v>
      </c>
    </row>
    <row r="240" spans="1:18" x14ac:dyDescent="0.2">
      <c r="A240">
        <v>53284</v>
      </c>
      <c r="B240" t="s">
        <v>11</v>
      </c>
      <c r="C240">
        <v>78</v>
      </c>
      <c r="D240">
        <v>310</v>
      </c>
      <c r="E240">
        <v>0.22713441563030001</v>
      </c>
      <c r="F240">
        <v>8.2485801826782404E-2</v>
      </c>
      <c r="G240">
        <v>0.18697015481995</v>
      </c>
      <c r="H240">
        <v>4.4014760899519496</v>
      </c>
      <c r="I240">
        <v>0.64169415960559795</v>
      </c>
      <c r="J240">
        <v>-6.5051888221755299</v>
      </c>
      <c r="K240">
        <v>17</v>
      </c>
      <c r="L240" t="b">
        <v>0</v>
      </c>
      <c r="M240" t="b">
        <v>0</v>
      </c>
      <c r="N240" t="b">
        <v>1</v>
      </c>
      <c r="O240" t="b">
        <v>1</v>
      </c>
      <c r="P240" t="b">
        <v>1</v>
      </c>
      <c r="Q240" t="s">
        <v>11</v>
      </c>
      <c r="R240">
        <f>SUM(M240+P240)</f>
        <v>1</v>
      </c>
    </row>
    <row r="241" spans="1:18" x14ac:dyDescent="0.2">
      <c r="A241">
        <v>53535</v>
      </c>
      <c r="B241" t="s">
        <v>10</v>
      </c>
      <c r="C241">
        <v>102</v>
      </c>
      <c r="D241">
        <v>326</v>
      </c>
      <c r="E241">
        <v>0.38230477014846398</v>
      </c>
      <c r="F241">
        <v>0.28074915644363002</v>
      </c>
      <c r="G241">
        <v>0.26603432993461401</v>
      </c>
      <c r="H241">
        <v>21.3138323510417</v>
      </c>
      <c r="I241">
        <v>3.2248492598809202</v>
      </c>
      <c r="J241">
        <v>-6.4906995316941103</v>
      </c>
      <c r="K241">
        <v>12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s">
        <v>10</v>
      </c>
      <c r="R241">
        <f>SUM(M241+P241)</f>
        <v>1</v>
      </c>
    </row>
    <row r="242" spans="1:18" x14ac:dyDescent="0.2">
      <c r="A242">
        <v>59785</v>
      </c>
      <c r="B242" t="s">
        <v>10</v>
      </c>
      <c r="C242">
        <v>105026.5</v>
      </c>
      <c r="D242">
        <v>398</v>
      </c>
      <c r="E242">
        <v>0.44796433960979498</v>
      </c>
      <c r="F242">
        <v>0.29474101305956002</v>
      </c>
      <c r="G242">
        <v>8.1741883192281095E-2</v>
      </c>
      <c r="H242">
        <v>4.5724683773374002</v>
      </c>
      <c r="I242">
        <v>0.96263898627380295</v>
      </c>
      <c r="J242">
        <v>-4.2845803011706298</v>
      </c>
      <c r="K242" s="5">
        <v>19</v>
      </c>
      <c r="L242" t="b">
        <v>0</v>
      </c>
      <c r="M242" t="b">
        <v>0</v>
      </c>
      <c r="N242" t="b">
        <v>1</v>
      </c>
      <c r="O242" t="b">
        <v>1</v>
      </c>
      <c r="P242" t="b">
        <v>1</v>
      </c>
      <c r="Q242" t="s">
        <v>10</v>
      </c>
      <c r="R242">
        <f>SUM(M242+P242)</f>
        <v>1</v>
      </c>
    </row>
    <row r="243" spans="1:18" x14ac:dyDescent="0.2">
      <c r="A243">
        <v>59854</v>
      </c>
      <c r="B243" t="s">
        <v>10</v>
      </c>
      <c r="C243">
        <v>11.5</v>
      </c>
      <c r="D243">
        <v>386</v>
      </c>
      <c r="E243">
        <v>1.0428557906573701</v>
      </c>
      <c r="F243">
        <v>0.32530152287770497</v>
      </c>
      <c r="G243">
        <v>0.192245225263355</v>
      </c>
      <c r="H243">
        <v>16.6832348166595</v>
      </c>
      <c r="I243">
        <v>2.5926706655852798</v>
      </c>
      <c r="J243">
        <v>-6.0325359613197902</v>
      </c>
      <c r="K243">
        <v>10</v>
      </c>
      <c r="L243" t="b">
        <v>0</v>
      </c>
      <c r="M243" t="b">
        <v>0</v>
      </c>
      <c r="N243" t="b">
        <v>1</v>
      </c>
      <c r="O243" t="b">
        <v>1</v>
      </c>
      <c r="P243" t="b">
        <v>1</v>
      </c>
      <c r="Q243" t="s">
        <v>10</v>
      </c>
      <c r="R243">
        <f>SUM(M243+P243)</f>
        <v>1</v>
      </c>
    </row>
    <row r="244" spans="1:18" x14ac:dyDescent="0.2">
      <c r="A244">
        <v>60241</v>
      </c>
      <c r="B244" t="s">
        <v>10</v>
      </c>
      <c r="C244">
        <v>5</v>
      </c>
      <c r="D244">
        <v>878</v>
      </c>
      <c r="E244">
        <v>1.07886649554864E-2</v>
      </c>
      <c r="F244">
        <v>0.10609969637969</v>
      </c>
      <c r="G244">
        <v>5.9257820977098802E-3</v>
      </c>
      <c r="H244">
        <v>0.130606730876418</v>
      </c>
      <c r="I244">
        <v>2.2154713382222701E-2</v>
      </c>
      <c r="J244">
        <v>-5.408242654905</v>
      </c>
      <c r="K244">
        <v>21</v>
      </c>
      <c r="L244" t="b">
        <v>0</v>
      </c>
      <c r="M244" t="b">
        <v>1</v>
      </c>
      <c r="N244" t="b">
        <v>1</v>
      </c>
      <c r="O244" t="b">
        <v>1</v>
      </c>
      <c r="P244" t="b">
        <v>0</v>
      </c>
      <c r="Q244" t="s">
        <v>10</v>
      </c>
      <c r="R244">
        <f>SUM(M244+P244)</f>
        <v>1</v>
      </c>
    </row>
    <row r="245" spans="1:18" x14ac:dyDescent="0.2">
      <c r="A245">
        <v>60242</v>
      </c>
      <c r="B245" t="s">
        <v>10</v>
      </c>
      <c r="C245">
        <v>93.5</v>
      </c>
      <c r="D245">
        <v>198</v>
      </c>
      <c r="E245">
        <v>0.77508733378408801</v>
      </c>
      <c r="F245">
        <v>0.110860424066033</v>
      </c>
      <c r="G245">
        <v>0.20170562607529999</v>
      </c>
      <c r="H245">
        <v>5.9628846921595304</v>
      </c>
      <c r="I245">
        <v>0.91039064936047398</v>
      </c>
      <c r="J245">
        <v>-5.6984299674208403</v>
      </c>
      <c r="K245">
        <v>19</v>
      </c>
      <c r="L245" t="b">
        <v>0</v>
      </c>
      <c r="M245" t="b">
        <v>0</v>
      </c>
      <c r="N245" t="b">
        <v>1</v>
      </c>
      <c r="O245" t="b">
        <v>1</v>
      </c>
      <c r="P245" t="b">
        <v>1</v>
      </c>
      <c r="Q245" t="s">
        <v>10</v>
      </c>
      <c r="R245">
        <f>SUM(M245+P245)</f>
        <v>1</v>
      </c>
    </row>
    <row r="246" spans="1:18" x14ac:dyDescent="0.2">
      <c r="A246">
        <v>62777</v>
      </c>
      <c r="B246" t="s">
        <v>10</v>
      </c>
      <c r="C246">
        <v>6</v>
      </c>
      <c r="D246">
        <v>281</v>
      </c>
      <c r="E246">
        <v>0.60654566911707597</v>
      </c>
      <c r="F246">
        <v>0.212157309104546</v>
      </c>
      <c r="G246">
        <v>0.22697292116563</v>
      </c>
      <c r="H246">
        <v>10.574947073542001</v>
      </c>
      <c r="I246">
        <v>2.0021233831539198</v>
      </c>
      <c r="J246">
        <v>-4.9789146304868597</v>
      </c>
      <c r="K246">
        <v>23</v>
      </c>
      <c r="L246" t="b">
        <v>0</v>
      </c>
      <c r="M246" t="b">
        <v>0</v>
      </c>
      <c r="N246" t="b">
        <v>1</v>
      </c>
      <c r="O246" t="b">
        <v>1</v>
      </c>
      <c r="P246" t="b">
        <v>1</v>
      </c>
      <c r="Q246" t="s">
        <v>10</v>
      </c>
      <c r="R246">
        <f>SUM(M246+P246)</f>
        <v>1</v>
      </c>
    </row>
    <row r="247" spans="1:18" x14ac:dyDescent="0.2">
      <c r="A247">
        <v>62807</v>
      </c>
      <c r="B247" t="s">
        <v>10</v>
      </c>
      <c r="C247">
        <v>60</v>
      </c>
      <c r="D247">
        <v>574</v>
      </c>
      <c r="E247">
        <v>4.2763343238081702E-2</v>
      </c>
      <c r="F247">
        <v>0.21028677491461401</v>
      </c>
      <c r="G247">
        <v>0.33843331034771401</v>
      </c>
      <c r="H247">
        <v>13.240174649033801</v>
      </c>
      <c r="I247">
        <v>4.2026506245954796</v>
      </c>
      <c r="J247">
        <v>-3.1402589662246898</v>
      </c>
      <c r="K247">
        <v>15</v>
      </c>
      <c r="L247" t="b">
        <v>0</v>
      </c>
      <c r="M247" t="b">
        <v>1</v>
      </c>
      <c r="N247" t="b">
        <v>1</v>
      </c>
      <c r="O247" t="b">
        <v>1</v>
      </c>
      <c r="P247" t="b">
        <v>0</v>
      </c>
      <c r="Q247" t="s">
        <v>10</v>
      </c>
      <c r="R247">
        <f>SUM(M247+P247)</f>
        <v>1</v>
      </c>
    </row>
    <row r="248" spans="1:18" x14ac:dyDescent="0.2">
      <c r="A248">
        <v>63158</v>
      </c>
      <c r="B248" t="s">
        <v>10</v>
      </c>
      <c r="C248">
        <v>18</v>
      </c>
      <c r="D248">
        <v>405</v>
      </c>
      <c r="E248">
        <v>0.79689200787600301</v>
      </c>
      <c r="F248">
        <v>0.25232356281178497</v>
      </c>
      <c r="G248">
        <v>0.114210281165828</v>
      </c>
      <c r="H248">
        <v>6.87463826929873</v>
      </c>
      <c r="I248">
        <v>1.1705386132854601</v>
      </c>
      <c r="J248">
        <v>-5.1922646484627899</v>
      </c>
      <c r="K248" s="5">
        <v>9</v>
      </c>
      <c r="L248" t="b">
        <v>0</v>
      </c>
      <c r="M248" t="b">
        <v>0</v>
      </c>
      <c r="N248" t="b">
        <v>1</v>
      </c>
      <c r="O248" t="b">
        <v>1</v>
      </c>
      <c r="P248" t="b">
        <v>1</v>
      </c>
      <c r="Q248" t="s">
        <v>10</v>
      </c>
      <c r="R248">
        <f>SUM(M248+P248)</f>
        <v>1</v>
      </c>
    </row>
    <row r="249" spans="1:18" x14ac:dyDescent="0.2">
      <c r="A249">
        <v>28301</v>
      </c>
      <c r="B249" t="s">
        <v>10</v>
      </c>
      <c r="C249">
        <v>197.5</v>
      </c>
      <c r="D249">
        <v>145</v>
      </c>
      <c r="E249">
        <v>6.8738450411623006E-2</v>
      </c>
      <c r="F249">
        <v>0.28328979298046297</v>
      </c>
      <c r="G249">
        <v>0.20302706466314299</v>
      </c>
      <c r="H249">
        <v>13.4210508459411</v>
      </c>
      <c r="I249">
        <v>2.5870185692829799</v>
      </c>
      <c r="J249">
        <v>-5.1612742769102704</v>
      </c>
      <c r="K249">
        <v>10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s">
        <v>10</v>
      </c>
      <c r="R249">
        <f>SUM(M249+P249)</f>
        <v>2</v>
      </c>
    </row>
    <row r="250" spans="1:18" x14ac:dyDescent="0.2">
      <c r="A250">
        <v>28307</v>
      </c>
      <c r="B250" t="s">
        <v>10</v>
      </c>
      <c r="C250">
        <v>167</v>
      </c>
      <c r="D250">
        <v>248</v>
      </c>
      <c r="E250">
        <v>3.3773696765245102E-2</v>
      </c>
      <c r="F250">
        <v>0.31174082775227202</v>
      </c>
      <c r="G250">
        <v>8.6703869404525596E-2</v>
      </c>
      <c r="H250">
        <v>4.4117589679006102</v>
      </c>
      <c r="I250">
        <v>1.0806097943055999</v>
      </c>
      <c r="J250">
        <v>-4.0514025453088296</v>
      </c>
      <c r="K250">
        <v>15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s">
        <v>10</v>
      </c>
      <c r="R250">
        <f>SUM(M250+P250)</f>
        <v>2</v>
      </c>
    </row>
    <row r="251" spans="1:18" x14ac:dyDescent="0.2">
      <c r="A251">
        <v>28521</v>
      </c>
      <c r="B251" t="s">
        <v>10</v>
      </c>
      <c r="C251">
        <v>966</v>
      </c>
      <c r="D251">
        <v>327</v>
      </c>
      <c r="E251">
        <v>7.3563256684557501E-2</v>
      </c>
      <c r="F251">
        <v>0.12913891002359501</v>
      </c>
      <c r="G251">
        <v>0.149801403491061</v>
      </c>
      <c r="H251">
        <v>4.3636985245799904</v>
      </c>
      <c r="I251">
        <v>0.65757535702808201</v>
      </c>
      <c r="J251">
        <v>-6.52417281463336</v>
      </c>
      <c r="K251">
        <v>10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s">
        <v>10</v>
      </c>
      <c r="R251">
        <f>SUM(M251+P251)</f>
        <v>2</v>
      </c>
    </row>
    <row r="252" spans="1:18" x14ac:dyDescent="0.2">
      <c r="A252">
        <v>28563</v>
      </c>
      <c r="B252" t="s">
        <v>10</v>
      </c>
      <c r="C252">
        <v>122</v>
      </c>
      <c r="D252">
        <v>258</v>
      </c>
      <c r="E252">
        <v>8.1397578153028199E-2</v>
      </c>
      <c r="F252">
        <v>0.26256045142578299</v>
      </c>
      <c r="G252">
        <v>0.29032828052242199</v>
      </c>
      <c r="H252">
        <v>17.145408631144502</v>
      </c>
      <c r="I252">
        <v>2.7233331045464499</v>
      </c>
      <c r="J252">
        <v>-6.2658552582142999</v>
      </c>
      <c r="K252">
        <v>11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s">
        <v>10</v>
      </c>
      <c r="R252">
        <f>SUM(M252+P252)</f>
        <v>2</v>
      </c>
    </row>
    <row r="253" spans="1:18" x14ac:dyDescent="0.2">
      <c r="A253">
        <v>28740</v>
      </c>
      <c r="B253" t="s">
        <v>10</v>
      </c>
      <c r="C253">
        <v>0</v>
      </c>
      <c r="D253">
        <v>442</v>
      </c>
      <c r="E253">
        <v>4.7638103925215801E-2</v>
      </c>
      <c r="F253">
        <v>0.27630696980012098</v>
      </c>
      <c r="G253">
        <v>0.20255789552661699</v>
      </c>
      <c r="H253">
        <v>13.0439506547864</v>
      </c>
      <c r="I253">
        <v>2.1143714121091102</v>
      </c>
      <c r="J253">
        <v>-6.1466554439918299</v>
      </c>
      <c r="K253">
        <v>9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s">
        <v>10</v>
      </c>
      <c r="R253">
        <f>SUM(M253+P253)</f>
        <v>2</v>
      </c>
    </row>
    <row r="254" spans="1:18" x14ac:dyDescent="0.2">
      <c r="A254">
        <v>28746</v>
      </c>
      <c r="B254" t="s">
        <v>10</v>
      </c>
      <c r="C254">
        <v>0</v>
      </c>
      <c r="D254">
        <v>287</v>
      </c>
      <c r="E254">
        <v>6.7366690253876801E-2</v>
      </c>
      <c r="F254">
        <v>0.29988379934918702</v>
      </c>
      <c r="G254">
        <v>7.94887459588456E-2</v>
      </c>
      <c r="H254">
        <v>5.1684926092371004</v>
      </c>
      <c r="I254">
        <v>0.94625586206190004</v>
      </c>
      <c r="J254">
        <v>-5.3908526472616201</v>
      </c>
      <c r="K254">
        <v>9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s">
        <v>10</v>
      </c>
      <c r="R254">
        <f>SUM(M254+P254)</f>
        <v>2</v>
      </c>
    </row>
    <row r="255" spans="1:18" x14ac:dyDescent="0.2">
      <c r="A255">
        <v>28777</v>
      </c>
      <c r="B255" t="s">
        <v>10</v>
      </c>
      <c r="C255">
        <v>4</v>
      </c>
      <c r="D255">
        <v>310</v>
      </c>
      <c r="E255">
        <v>3.97825235109718E-2</v>
      </c>
      <c r="F255">
        <v>0.20617526324722299</v>
      </c>
      <c r="G255">
        <v>0.195156279649564</v>
      </c>
      <c r="H255">
        <v>7.5273807846786802</v>
      </c>
      <c r="I255">
        <v>1.2844551400862301</v>
      </c>
      <c r="J255">
        <v>-5.8293964713045998</v>
      </c>
      <c r="K255">
        <v>15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s">
        <v>10</v>
      </c>
      <c r="R255">
        <f>SUM(M255+P255)</f>
        <v>2</v>
      </c>
    </row>
    <row r="256" spans="1:18" x14ac:dyDescent="0.2">
      <c r="A256">
        <v>28779</v>
      </c>
      <c r="B256" t="s">
        <v>10</v>
      </c>
      <c r="C256">
        <v>30.5</v>
      </c>
      <c r="D256">
        <v>316</v>
      </c>
      <c r="E256">
        <v>0.10235184415292101</v>
      </c>
      <c r="F256">
        <v>0.262025378769284</v>
      </c>
      <c r="G256">
        <v>0.20217207244030999</v>
      </c>
      <c r="H256">
        <v>12.192621254950399</v>
      </c>
      <c r="I256">
        <v>2.5044107634829502</v>
      </c>
      <c r="J256">
        <v>-4.8275904205040296</v>
      </c>
      <c r="K256">
        <v>9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s">
        <v>10</v>
      </c>
      <c r="R256">
        <f>SUM(M256+P256)</f>
        <v>2</v>
      </c>
    </row>
    <row r="257" spans="1:18" x14ac:dyDescent="0.2">
      <c r="A257">
        <v>29043</v>
      </c>
      <c r="B257" t="s">
        <v>10</v>
      </c>
      <c r="C257">
        <v>1224</v>
      </c>
      <c r="D257">
        <v>387</v>
      </c>
      <c r="E257">
        <v>0.151459139670513</v>
      </c>
      <c r="F257">
        <v>0.30463365976242202</v>
      </c>
      <c r="G257">
        <v>2.61183678304448E-2</v>
      </c>
      <c r="H257">
        <v>2.0759324058394202</v>
      </c>
      <c r="I257">
        <v>0.31936609508727898</v>
      </c>
      <c r="J257">
        <v>-6.0259160122898097</v>
      </c>
      <c r="K257">
        <v>17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s">
        <v>10</v>
      </c>
      <c r="R257">
        <f>SUM(M257+P257)</f>
        <v>2</v>
      </c>
    </row>
    <row r="258" spans="1:18" x14ac:dyDescent="0.2">
      <c r="A258">
        <v>29048</v>
      </c>
      <c r="B258" t="s">
        <v>10</v>
      </c>
      <c r="C258">
        <v>104</v>
      </c>
      <c r="D258">
        <v>395</v>
      </c>
      <c r="E258">
        <v>9.2320285892933202E-2</v>
      </c>
      <c r="F258">
        <v>0.310594911305694</v>
      </c>
      <c r="G258">
        <v>4.1496785284621501E-2</v>
      </c>
      <c r="H258">
        <v>3.4485475534801999</v>
      </c>
      <c r="I258">
        <v>0.55014879230501101</v>
      </c>
      <c r="J258">
        <v>-6.1005809965070803</v>
      </c>
      <c r="K258">
        <v>14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s">
        <v>10</v>
      </c>
      <c r="R258">
        <f>SUM(M258+P258)</f>
        <v>2</v>
      </c>
    </row>
    <row r="259" spans="1:18" x14ac:dyDescent="0.2">
      <c r="A259">
        <v>29053</v>
      </c>
      <c r="B259" t="s">
        <v>10</v>
      </c>
      <c r="C259">
        <v>180</v>
      </c>
      <c r="D259">
        <v>389</v>
      </c>
      <c r="E259">
        <v>9.6073710264454604E-2</v>
      </c>
      <c r="F259">
        <v>0.26743410921741101</v>
      </c>
      <c r="G259">
        <v>0.10938139184496801</v>
      </c>
      <c r="H259">
        <v>6.6540823691997897</v>
      </c>
      <c r="I259">
        <v>1.2970288690657501</v>
      </c>
      <c r="J259">
        <v>-5.0561778656931899</v>
      </c>
      <c r="K259">
        <v>9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s">
        <v>10</v>
      </c>
      <c r="R259">
        <f>SUM(M259+P259)</f>
        <v>2</v>
      </c>
    </row>
    <row r="260" spans="1:18" x14ac:dyDescent="0.2">
      <c r="A260">
        <v>29058</v>
      </c>
      <c r="B260" t="s">
        <v>10</v>
      </c>
      <c r="C260">
        <v>202.5</v>
      </c>
      <c r="D260">
        <v>337</v>
      </c>
      <c r="E260">
        <v>3.1267966575635998E-2</v>
      </c>
      <c r="F260">
        <v>0.27680340091959199</v>
      </c>
      <c r="G260">
        <v>0.20619209161690999</v>
      </c>
      <c r="H260">
        <v>13.9947435652437</v>
      </c>
      <c r="I260">
        <v>2.2867393211982501</v>
      </c>
      <c r="J260">
        <v>-6.1062821937006797</v>
      </c>
      <c r="K260">
        <v>9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s">
        <v>10</v>
      </c>
      <c r="R260">
        <f>SUM(M260+P260)</f>
        <v>2</v>
      </c>
    </row>
    <row r="261" spans="1:18" x14ac:dyDescent="0.2">
      <c r="A261">
        <v>29063</v>
      </c>
      <c r="B261" t="s">
        <v>10</v>
      </c>
      <c r="C261">
        <v>1.5</v>
      </c>
      <c r="D261">
        <v>290</v>
      </c>
      <c r="E261">
        <v>4.6227201673578099E-2</v>
      </c>
      <c r="F261">
        <v>0.212611857643519</v>
      </c>
      <c r="G261">
        <v>0.26873458965308</v>
      </c>
      <c r="H261">
        <v>7.4915002583075898</v>
      </c>
      <c r="I261">
        <v>1.28766852969432</v>
      </c>
      <c r="J261">
        <v>-5.7819795117626001</v>
      </c>
      <c r="K261">
        <v>11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s">
        <v>10</v>
      </c>
      <c r="R261">
        <f>SUM(M261+P261)</f>
        <v>2</v>
      </c>
    </row>
    <row r="262" spans="1:18" x14ac:dyDescent="0.2">
      <c r="A262">
        <v>29119</v>
      </c>
      <c r="B262" t="s">
        <v>10</v>
      </c>
      <c r="C262">
        <v>1391.5</v>
      </c>
      <c r="D262">
        <v>451</v>
      </c>
      <c r="E262">
        <v>7.8571008918745397E-2</v>
      </c>
      <c r="F262">
        <v>0.17188978884366901</v>
      </c>
      <c r="G262">
        <v>0.20120410994846</v>
      </c>
      <c r="H262">
        <v>8.4938734450588704</v>
      </c>
      <c r="I262">
        <v>1.5809289737706</v>
      </c>
      <c r="J262">
        <v>-5.32301107498155</v>
      </c>
      <c r="K262">
        <v>16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s">
        <v>10</v>
      </c>
      <c r="R262">
        <f>SUM(M262+P262)</f>
        <v>2</v>
      </c>
    </row>
    <row r="263" spans="1:18" x14ac:dyDescent="0.2">
      <c r="A263">
        <v>29123</v>
      </c>
      <c r="B263" t="s">
        <v>10</v>
      </c>
      <c r="C263">
        <v>38</v>
      </c>
      <c r="D263">
        <v>322</v>
      </c>
      <c r="E263">
        <v>0.164440932174717</v>
      </c>
      <c r="F263">
        <v>0.22441579686891999</v>
      </c>
      <c r="G263">
        <v>0.28849430656425501</v>
      </c>
      <c r="H263">
        <v>11.7434728397012</v>
      </c>
      <c r="I263">
        <v>2.4168300023553502</v>
      </c>
      <c r="J263">
        <v>-4.7909997377730402</v>
      </c>
      <c r="K263">
        <v>9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s">
        <v>10</v>
      </c>
      <c r="R263">
        <f>SUM(M263+P263)</f>
        <v>2</v>
      </c>
    </row>
    <row r="264" spans="1:18" x14ac:dyDescent="0.2">
      <c r="A264">
        <v>29128</v>
      </c>
      <c r="B264" t="s">
        <v>10</v>
      </c>
      <c r="C264">
        <v>155</v>
      </c>
      <c r="D264">
        <v>299</v>
      </c>
      <c r="E264">
        <v>0.126551279930397</v>
      </c>
      <c r="F264">
        <v>0.22548175007600099</v>
      </c>
      <c r="G264">
        <v>0.22528063785255401</v>
      </c>
      <c r="H264">
        <v>12.87444472718</v>
      </c>
      <c r="I264">
        <v>2.0266691716655898</v>
      </c>
      <c r="J264">
        <v>-6.2900712289282597</v>
      </c>
      <c r="K264">
        <v>12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s">
        <v>10</v>
      </c>
      <c r="R264">
        <f>SUM(M264+P264)</f>
        <v>2</v>
      </c>
    </row>
    <row r="265" spans="1:18" x14ac:dyDescent="0.2">
      <c r="A265">
        <v>29147</v>
      </c>
      <c r="B265" t="s">
        <v>10</v>
      </c>
      <c r="C265">
        <v>5</v>
      </c>
      <c r="D265">
        <v>358</v>
      </c>
      <c r="E265">
        <v>4.7113234682756397E-2</v>
      </c>
      <c r="F265">
        <v>0.28855683677479399</v>
      </c>
      <c r="G265">
        <v>0.275606837240362</v>
      </c>
      <c r="H265">
        <v>17.6816658503135</v>
      </c>
      <c r="I265">
        <v>3.1564901830993102</v>
      </c>
      <c r="J265">
        <v>-5.5867598480270404</v>
      </c>
      <c r="K265">
        <v>15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s">
        <v>10</v>
      </c>
      <c r="R265">
        <f>SUM(M265+P265)</f>
        <v>2</v>
      </c>
    </row>
    <row r="266" spans="1:18" x14ac:dyDescent="0.2">
      <c r="A266">
        <v>29151</v>
      </c>
      <c r="B266" t="s">
        <v>10</v>
      </c>
      <c r="C266">
        <v>59</v>
      </c>
      <c r="D266">
        <v>273</v>
      </c>
      <c r="E266">
        <v>1.6617540237195898E-2</v>
      </c>
      <c r="F266">
        <v>0.15168315614012001</v>
      </c>
      <c r="G266">
        <v>0.37849491836196397</v>
      </c>
      <c r="H266">
        <v>15.0637074438878</v>
      </c>
      <c r="I266">
        <v>2.5146250098980398</v>
      </c>
      <c r="J266">
        <v>-5.9838305291733001</v>
      </c>
      <c r="K266">
        <v>21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s">
        <v>10</v>
      </c>
      <c r="R266">
        <f>SUM(M266+P266)</f>
        <v>2</v>
      </c>
    </row>
    <row r="267" spans="1:18" x14ac:dyDescent="0.2">
      <c r="A267">
        <v>29153</v>
      </c>
      <c r="B267" t="s">
        <v>10</v>
      </c>
      <c r="C267">
        <v>118.5</v>
      </c>
      <c r="D267">
        <v>275</v>
      </c>
      <c r="E267">
        <v>2.9334129851159001E-2</v>
      </c>
      <c r="F267">
        <v>0.32627529361726998</v>
      </c>
      <c r="G267">
        <v>0.18643468006238401</v>
      </c>
      <c r="H267">
        <v>11.071669630480701</v>
      </c>
      <c r="I267">
        <v>2.57727089391742</v>
      </c>
      <c r="J267">
        <v>-4.2845071221230198</v>
      </c>
      <c r="K267">
        <v>9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s">
        <v>10</v>
      </c>
      <c r="R267">
        <f>SUM(M267+P267)</f>
        <v>2</v>
      </c>
    </row>
    <row r="268" spans="1:18" x14ac:dyDescent="0.2">
      <c r="A268">
        <v>29154</v>
      </c>
      <c r="B268" t="s">
        <v>10</v>
      </c>
      <c r="C268">
        <v>0</v>
      </c>
      <c r="D268">
        <v>338</v>
      </c>
      <c r="E268">
        <v>3.1329346422140303E-2</v>
      </c>
      <c r="F268">
        <v>0.262815481511325</v>
      </c>
      <c r="G268">
        <v>9.6331653178598306E-2</v>
      </c>
      <c r="H268">
        <v>6.4459784922549499</v>
      </c>
      <c r="I268">
        <v>1.14234800084254</v>
      </c>
      <c r="J268">
        <v>-5.6153196233561804</v>
      </c>
      <c r="K268">
        <v>14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s">
        <v>10</v>
      </c>
      <c r="R268">
        <f>SUM(M268+P268)</f>
        <v>2</v>
      </c>
    </row>
    <row r="269" spans="1:18" x14ac:dyDescent="0.2">
      <c r="A269">
        <v>29157</v>
      </c>
      <c r="B269" t="s">
        <v>10</v>
      </c>
      <c r="C269">
        <v>66</v>
      </c>
      <c r="D269">
        <v>380</v>
      </c>
      <c r="E269">
        <v>0.19370255487520999</v>
      </c>
      <c r="F269">
        <v>0.25728082536119601</v>
      </c>
      <c r="G269">
        <v>0.177303228344803</v>
      </c>
      <c r="H269">
        <v>11.613709137326801</v>
      </c>
      <c r="I269">
        <v>1.9099751039856301</v>
      </c>
      <c r="J269">
        <v>-5.9791389733933897</v>
      </c>
      <c r="K269">
        <v>9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s">
        <v>10</v>
      </c>
      <c r="R269">
        <f>SUM(M269+P269)</f>
        <v>2</v>
      </c>
    </row>
    <row r="270" spans="1:18" x14ac:dyDescent="0.2">
      <c r="A270">
        <v>29166</v>
      </c>
      <c r="B270" t="s">
        <v>10</v>
      </c>
      <c r="C270">
        <v>34.5</v>
      </c>
      <c r="D270">
        <v>328</v>
      </c>
      <c r="E270">
        <v>8.8116926765716794E-2</v>
      </c>
      <c r="F270">
        <v>0.27896992088672501</v>
      </c>
      <c r="G270">
        <v>0.30606794804009801</v>
      </c>
      <c r="H270">
        <v>21.630154452579301</v>
      </c>
      <c r="I270">
        <v>3.4071223070940002</v>
      </c>
      <c r="J270">
        <v>-6.3226487293868701</v>
      </c>
      <c r="K270">
        <v>10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s">
        <v>10</v>
      </c>
      <c r="R270">
        <f>SUM(M270+P270)</f>
        <v>2</v>
      </c>
    </row>
    <row r="271" spans="1:18" x14ac:dyDescent="0.2">
      <c r="A271">
        <v>29172</v>
      </c>
      <c r="B271" t="s">
        <v>10</v>
      </c>
      <c r="C271">
        <v>267.5</v>
      </c>
      <c r="D271">
        <v>385</v>
      </c>
      <c r="E271">
        <v>0.113993784357821</v>
      </c>
      <c r="F271">
        <v>0.22413379116393001</v>
      </c>
      <c r="G271">
        <v>0.243453209164739</v>
      </c>
      <c r="H271">
        <v>13.878796201508599</v>
      </c>
      <c r="I271">
        <v>2.31440773118003</v>
      </c>
      <c r="J271">
        <v>-5.9474405618808897</v>
      </c>
      <c r="K271">
        <v>17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s">
        <v>10</v>
      </c>
      <c r="R271">
        <f>SUM(M271+P271)</f>
        <v>2</v>
      </c>
    </row>
    <row r="272" spans="1:18" x14ac:dyDescent="0.2">
      <c r="A272">
        <v>29180</v>
      </c>
      <c r="B272" t="s">
        <v>10</v>
      </c>
      <c r="C272">
        <v>7.5</v>
      </c>
      <c r="D272">
        <v>414</v>
      </c>
      <c r="E272">
        <v>3.4250447199485799E-2</v>
      </c>
      <c r="F272">
        <v>0.110408476946889</v>
      </c>
      <c r="G272">
        <v>0.15505312912244201</v>
      </c>
      <c r="H272">
        <v>4.0112320698173303</v>
      </c>
      <c r="I272">
        <v>0.65127229370131601</v>
      </c>
      <c r="J272">
        <v>-6.1064805935714297</v>
      </c>
      <c r="K272">
        <v>9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s">
        <v>10</v>
      </c>
      <c r="R272">
        <f>SUM(M272+P272)</f>
        <v>2</v>
      </c>
    </row>
    <row r="273" spans="1:18" x14ac:dyDescent="0.2">
      <c r="A273">
        <v>29189</v>
      </c>
      <c r="B273" t="s">
        <v>10</v>
      </c>
      <c r="C273">
        <v>15</v>
      </c>
      <c r="D273">
        <v>386</v>
      </c>
      <c r="E273">
        <v>3.5908657405196297E-2</v>
      </c>
      <c r="F273">
        <v>0.315903339178572</v>
      </c>
      <c r="G273">
        <v>0.21697624402417401</v>
      </c>
      <c r="H273">
        <v>17.137098922824201</v>
      </c>
      <c r="I273">
        <v>2.84855445940235</v>
      </c>
      <c r="J273">
        <v>-6.0034626366269297</v>
      </c>
      <c r="K273">
        <v>15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s">
        <v>10</v>
      </c>
      <c r="R273">
        <f>SUM(M273+P273)</f>
        <v>2</v>
      </c>
    </row>
    <row r="274" spans="1:18" x14ac:dyDescent="0.2">
      <c r="A274">
        <v>29195</v>
      </c>
      <c r="B274" t="s">
        <v>10</v>
      </c>
      <c r="C274">
        <v>4427.5</v>
      </c>
      <c r="D274">
        <v>316</v>
      </c>
      <c r="E274">
        <v>0.19872258293321701</v>
      </c>
      <c r="F274">
        <v>0.26230447711687299</v>
      </c>
      <c r="G274">
        <v>0.21975966262423399</v>
      </c>
      <c r="H274">
        <v>15.025311457082999</v>
      </c>
      <c r="I274">
        <v>2.3641805034952501</v>
      </c>
      <c r="J274">
        <v>-6.2713438556107999</v>
      </c>
      <c r="K274">
        <v>9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s">
        <v>10</v>
      </c>
      <c r="R274">
        <f>SUM(M274+P274)</f>
        <v>2</v>
      </c>
    </row>
    <row r="275" spans="1:18" x14ac:dyDescent="0.2">
      <c r="A275">
        <v>29207</v>
      </c>
      <c r="B275" t="s">
        <v>10</v>
      </c>
      <c r="C275">
        <v>126</v>
      </c>
      <c r="D275">
        <v>287</v>
      </c>
      <c r="E275">
        <v>3.8270311257257203E-2</v>
      </c>
      <c r="F275">
        <v>6.8985415469972999E-2</v>
      </c>
      <c r="G275">
        <v>9.2235993961415394E-2</v>
      </c>
      <c r="H275">
        <v>1.75947363772837</v>
      </c>
      <c r="I275">
        <v>0.25740584897129698</v>
      </c>
      <c r="J275">
        <v>-6.6867296658167197</v>
      </c>
      <c r="K275">
        <v>9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s">
        <v>10</v>
      </c>
      <c r="R275">
        <f>SUM(M275+P275)</f>
        <v>2</v>
      </c>
    </row>
    <row r="276" spans="1:18" x14ac:dyDescent="0.2">
      <c r="A276">
        <v>29213</v>
      </c>
      <c r="B276" t="s">
        <v>10</v>
      </c>
      <c r="C276">
        <v>18</v>
      </c>
      <c r="D276">
        <v>354</v>
      </c>
      <c r="E276">
        <v>4.1787259370867698E-2</v>
      </c>
      <c r="F276">
        <v>0.25855025418385502</v>
      </c>
      <c r="G276">
        <v>0.29524023635393798</v>
      </c>
      <c r="H276">
        <v>18.635759793637501</v>
      </c>
      <c r="I276">
        <v>3.2570028092974201</v>
      </c>
      <c r="J276">
        <v>-5.7089212453818998</v>
      </c>
      <c r="K276">
        <v>9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s">
        <v>10</v>
      </c>
      <c r="R276">
        <f>SUM(M276+P276)</f>
        <v>2</v>
      </c>
    </row>
    <row r="277" spans="1:18" x14ac:dyDescent="0.2">
      <c r="A277">
        <v>29255</v>
      </c>
      <c r="B277" t="s">
        <v>10</v>
      </c>
      <c r="C277">
        <v>573</v>
      </c>
      <c r="D277">
        <v>328</v>
      </c>
      <c r="E277">
        <v>9.0125981578354303E-2</v>
      </c>
      <c r="F277">
        <v>0.154119351328209</v>
      </c>
      <c r="G277">
        <v>0.25771486933900101</v>
      </c>
      <c r="H277">
        <v>10.3125037420821</v>
      </c>
      <c r="I277">
        <v>1.5851390418651801</v>
      </c>
      <c r="J277">
        <v>-6.4488839720176401</v>
      </c>
      <c r="K277">
        <v>10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s">
        <v>10</v>
      </c>
      <c r="R277">
        <f>SUM(M277+P277)</f>
        <v>2</v>
      </c>
    </row>
    <row r="278" spans="1:18" x14ac:dyDescent="0.2">
      <c r="A278">
        <v>29289</v>
      </c>
      <c r="B278" t="s">
        <v>10</v>
      </c>
      <c r="C278">
        <v>23265</v>
      </c>
      <c r="D278">
        <v>457</v>
      </c>
      <c r="E278">
        <v>0.16443221818987699</v>
      </c>
      <c r="F278">
        <v>0.23363406996473399</v>
      </c>
      <c r="G278">
        <v>5.3654429840654598E-2</v>
      </c>
      <c r="H278">
        <v>2.6997246894996798</v>
      </c>
      <c r="I278">
        <v>0.48356765078529201</v>
      </c>
      <c r="J278">
        <v>-5.2428909733572899</v>
      </c>
      <c r="K278" s="5">
        <v>14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s">
        <v>10</v>
      </c>
      <c r="R278">
        <f>SUM(M278+P278)</f>
        <v>2</v>
      </c>
    </row>
    <row r="279" spans="1:18" x14ac:dyDescent="0.2">
      <c r="A279">
        <v>29291</v>
      </c>
      <c r="B279" t="s">
        <v>10</v>
      </c>
      <c r="C279">
        <v>104</v>
      </c>
      <c r="D279">
        <v>316</v>
      </c>
      <c r="E279">
        <v>7.4290646900423002E-2</v>
      </c>
      <c r="F279">
        <v>0.12257231761114</v>
      </c>
      <c r="G279">
        <v>0.25496002862223099</v>
      </c>
      <c r="H279">
        <v>7.8375238840924997</v>
      </c>
      <c r="I279">
        <v>1.23396673566571</v>
      </c>
      <c r="J279">
        <v>-6.2912824250516701</v>
      </c>
      <c r="K279">
        <v>9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s">
        <v>10</v>
      </c>
      <c r="R279">
        <f>SUM(M279+P279)</f>
        <v>2</v>
      </c>
    </row>
    <row r="280" spans="1:18" x14ac:dyDescent="0.2">
      <c r="A280">
        <v>29303</v>
      </c>
      <c r="B280" t="s">
        <v>10</v>
      </c>
      <c r="C280">
        <v>1</v>
      </c>
      <c r="D280">
        <v>258</v>
      </c>
      <c r="E280">
        <v>0.120438333675895</v>
      </c>
      <c r="F280">
        <v>0.19463947499620801</v>
      </c>
      <c r="G280">
        <v>0.29854496723009799</v>
      </c>
      <c r="H280">
        <v>15.354189167022399</v>
      </c>
      <c r="I280">
        <v>2.37136833076167</v>
      </c>
      <c r="J280">
        <v>-6.4240340210892102</v>
      </c>
      <c r="K280">
        <v>13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s">
        <v>10</v>
      </c>
      <c r="R280">
        <f>SUM(M280+P280)</f>
        <v>2</v>
      </c>
    </row>
    <row r="281" spans="1:18" x14ac:dyDescent="0.2">
      <c r="A281">
        <v>29306</v>
      </c>
      <c r="B281" t="s">
        <v>10</v>
      </c>
      <c r="C281">
        <v>27</v>
      </c>
      <c r="D281">
        <v>179</v>
      </c>
      <c r="E281">
        <v>0.17344876290668201</v>
      </c>
      <c r="F281">
        <v>0.30195419723334499</v>
      </c>
      <c r="G281">
        <v>0.224772438046627</v>
      </c>
      <c r="H281">
        <v>15.283786819703</v>
      </c>
      <c r="I281">
        <v>2.6596773520960801</v>
      </c>
      <c r="J281">
        <v>-5.68126733300487</v>
      </c>
      <c r="K281">
        <v>14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s">
        <v>10</v>
      </c>
      <c r="R281">
        <f>SUM(M281+P281)</f>
        <v>2</v>
      </c>
    </row>
    <row r="282" spans="1:18" x14ac:dyDescent="0.2">
      <c r="A282">
        <v>29320</v>
      </c>
      <c r="B282" t="s">
        <v>10</v>
      </c>
      <c r="C282">
        <v>232.5</v>
      </c>
      <c r="D282">
        <v>315</v>
      </c>
      <c r="E282">
        <v>0.17700539470830601</v>
      </c>
      <c r="F282">
        <v>0.13068204421497201</v>
      </c>
      <c r="G282">
        <v>0.21144012959081701</v>
      </c>
      <c r="H282">
        <v>7.3661290256994096</v>
      </c>
      <c r="I282">
        <v>1.1498755017904301</v>
      </c>
      <c r="J282">
        <v>-6.2520886998611198</v>
      </c>
      <c r="K282">
        <v>9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s">
        <v>10</v>
      </c>
      <c r="R282">
        <f>SUM(M282+P282)</f>
        <v>2</v>
      </c>
    </row>
    <row r="283" spans="1:18" x14ac:dyDescent="0.2">
      <c r="A283">
        <v>29332</v>
      </c>
      <c r="B283" t="s">
        <v>10</v>
      </c>
      <c r="C283">
        <v>33</v>
      </c>
      <c r="D283">
        <v>313</v>
      </c>
      <c r="E283">
        <v>6.4297279222151699E-2</v>
      </c>
      <c r="F283">
        <v>0.19745114357770399</v>
      </c>
      <c r="G283">
        <v>0.191908840948079</v>
      </c>
      <c r="H283">
        <v>9.5744061452648292</v>
      </c>
      <c r="I283">
        <v>1.5587332059862999</v>
      </c>
      <c r="J283">
        <v>-6.1011780781465301</v>
      </c>
      <c r="K283">
        <v>11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s">
        <v>10</v>
      </c>
      <c r="R283">
        <f>SUM(M283+P283)</f>
        <v>2</v>
      </c>
    </row>
    <row r="284" spans="1:18" x14ac:dyDescent="0.2">
      <c r="A284">
        <v>29346</v>
      </c>
      <c r="B284" t="s">
        <v>10</v>
      </c>
      <c r="C284">
        <v>433</v>
      </c>
      <c r="D284">
        <v>345</v>
      </c>
      <c r="E284">
        <v>5.9976015752694199E-2</v>
      </c>
      <c r="F284">
        <v>0.35171446487403202</v>
      </c>
      <c r="G284">
        <v>0.121216425124494</v>
      </c>
      <c r="H284">
        <v>10.5362046625162</v>
      </c>
      <c r="I284">
        <v>1.8043652829719801</v>
      </c>
      <c r="J284">
        <v>-5.8060464505878802</v>
      </c>
      <c r="K284">
        <v>9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s">
        <v>10</v>
      </c>
      <c r="R284">
        <f>SUM(M284+P284)</f>
        <v>2</v>
      </c>
    </row>
    <row r="285" spans="1:18" x14ac:dyDescent="0.2">
      <c r="A285">
        <v>29352</v>
      </c>
      <c r="B285" t="s">
        <v>10</v>
      </c>
      <c r="C285">
        <v>65.5</v>
      </c>
      <c r="D285">
        <v>332</v>
      </c>
      <c r="E285">
        <v>3.6111086665218402E-2</v>
      </c>
      <c r="F285">
        <v>0.31254258916316602</v>
      </c>
      <c r="G285">
        <v>0.32182633882412998</v>
      </c>
      <c r="H285">
        <v>24.204082463432702</v>
      </c>
      <c r="I285">
        <v>4.3465692862339802</v>
      </c>
      <c r="J285">
        <v>-5.5602406829933297</v>
      </c>
      <c r="K285">
        <v>26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s">
        <v>10</v>
      </c>
      <c r="R285">
        <f>SUM(M285+P285)</f>
        <v>2</v>
      </c>
    </row>
    <row r="286" spans="1:18" x14ac:dyDescent="0.2">
      <c r="A286">
        <v>29367</v>
      </c>
      <c r="B286" t="s">
        <v>10</v>
      </c>
      <c r="C286">
        <v>42.5</v>
      </c>
      <c r="D286">
        <v>429</v>
      </c>
      <c r="E286">
        <v>2.5899022437075699E-2</v>
      </c>
      <c r="F286">
        <v>0.29950818962896703</v>
      </c>
      <c r="G286">
        <v>1.13845073572607E-2</v>
      </c>
      <c r="H286">
        <v>0.885182957020623</v>
      </c>
      <c r="I286">
        <v>0.13318671976358501</v>
      </c>
      <c r="J286">
        <v>-6.4517238363467104</v>
      </c>
      <c r="K286">
        <v>9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s">
        <v>10</v>
      </c>
      <c r="R286">
        <f>SUM(M286+P286)</f>
        <v>2</v>
      </c>
    </row>
    <row r="287" spans="1:18" x14ac:dyDescent="0.2">
      <c r="A287">
        <v>29434</v>
      </c>
      <c r="B287" t="s">
        <v>10</v>
      </c>
      <c r="C287">
        <v>0</v>
      </c>
      <c r="D287">
        <v>388</v>
      </c>
      <c r="E287">
        <v>0.163240495137047</v>
      </c>
      <c r="F287">
        <v>0.233828644354099</v>
      </c>
      <c r="G287">
        <v>0.22332680256526199</v>
      </c>
      <c r="H287">
        <v>13.9896659022252</v>
      </c>
      <c r="I287">
        <v>2.1277013706005299</v>
      </c>
      <c r="J287">
        <v>-6.4982922876933999</v>
      </c>
      <c r="K287">
        <v>22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s">
        <v>10</v>
      </c>
      <c r="R287">
        <f>SUM(M287+P287)</f>
        <v>2</v>
      </c>
    </row>
    <row r="288" spans="1:18" x14ac:dyDescent="0.2">
      <c r="A288">
        <v>29436</v>
      </c>
      <c r="B288" t="s">
        <v>10</v>
      </c>
      <c r="C288">
        <v>465</v>
      </c>
      <c r="D288">
        <v>318</v>
      </c>
      <c r="E288">
        <v>3.5892958223525499E-2</v>
      </c>
      <c r="F288">
        <v>0.20804615733491799</v>
      </c>
      <c r="G288">
        <v>0.137302529097868</v>
      </c>
      <c r="H288">
        <v>7.6007026668228699</v>
      </c>
      <c r="I288">
        <v>1.17553301871572</v>
      </c>
      <c r="J288">
        <v>-6.4352166958814898</v>
      </c>
      <c r="K288">
        <v>20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s">
        <v>10</v>
      </c>
      <c r="R288">
        <f>SUM(M288+P288)</f>
        <v>2</v>
      </c>
    </row>
    <row r="289" spans="1:18" x14ac:dyDescent="0.2">
      <c r="A289">
        <v>29457</v>
      </c>
      <c r="B289" t="s">
        <v>10</v>
      </c>
      <c r="C289">
        <v>451.5</v>
      </c>
      <c r="D289">
        <v>294</v>
      </c>
      <c r="E289">
        <v>0.113284409234615</v>
      </c>
      <c r="F289">
        <v>0.250369363979563</v>
      </c>
      <c r="G289">
        <v>0.20619384528684101</v>
      </c>
      <c r="H289">
        <v>12.506095688621199</v>
      </c>
      <c r="I289">
        <v>2.1560301934283399</v>
      </c>
      <c r="J289">
        <v>-5.7479766828685204</v>
      </c>
      <c r="K289" s="5">
        <v>14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s">
        <v>10</v>
      </c>
      <c r="R289">
        <f>SUM(M289+P289)</f>
        <v>2</v>
      </c>
    </row>
    <row r="290" spans="1:18" x14ac:dyDescent="0.2">
      <c r="A290">
        <v>29463</v>
      </c>
      <c r="B290" t="s">
        <v>10</v>
      </c>
      <c r="C290">
        <v>824.5</v>
      </c>
      <c r="D290">
        <v>341</v>
      </c>
      <c r="E290">
        <v>0.140466464669702</v>
      </c>
      <c r="F290">
        <v>0.35100011217640498</v>
      </c>
      <c r="G290">
        <v>0.285818346978639</v>
      </c>
      <c r="H290">
        <v>26.958326188523099</v>
      </c>
      <c r="I290">
        <v>4.2591604169167603</v>
      </c>
      <c r="J290">
        <v>-6.2965131854007597</v>
      </c>
      <c r="K290">
        <v>17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s">
        <v>10</v>
      </c>
      <c r="R290">
        <f>SUM(M290+P290)</f>
        <v>2</v>
      </c>
    </row>
    <row r="291" spans="1:18" x14ac:dyDescent="0.2">
      <c r="A291">
        <v>29485</v>
      </c>
      <c r="B291" t="s">
        <v>10</v>
      </c>
      <c r="C291">
        <v>141</v>
      </c>
      <c r="D291">
        <v>318</v>
      </c>
      <c r="E291">
        <v>0.198626953822439</v>
      </c>
      <c r="F291">
        <v>0.326768171910785</v>
      </c>
      <c r="G291">
        <v>6.2269038463240202E-2</v>
      </c>
      <c r="H291">
        <v>5.4357425397999899</v>
      </c>
      <c r="I291">
        <v>0.819124739211888</v>
      </c>
      <c r="J291">
        <v>-6.3935507441960402</v>
      </c>
      <c r="K291">
        <v>17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s">
        <v>10</v>
      </c>
      <c r="R291">
        <f>SUM(M291+P291)</f>
        <v>2</v>
      </c>
    </row>
    <row r="292" spans="1:18" x14ac:dyDescent="0.2">
      <c r="A292">
        <v>29497</v>
      </c>
      <c r="B292" t="s">
        <v>10</v>
      </c>
      <c r="C292">
        <v>39</v>
      </c>
      <c r="D292">
        <v>427</v>
      </c>
      <c r="E292">
        <v>8.1513435682803101E-2</v>
      </c>
      <c r="F292">
        <v>0.18968463825335699</v>
      </c>
      <c r="G292">
        <v>0.20346045109227601</v>
      </c>
      <c r="H292">
        <v>7.5806144093299697</v>
      </c>
      <c r="I292">
        <v>1.7757852497362501</v>
      </c>
      <c r="J292">
        <v>-4.2229773981741197</v>
      </c>
      <c r="K292">
        <v>9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s">
        <v>10</v>
      </c>
      <c r="R292">
        <f>SUM(M292+P292)</f>
        <v>2</v>
      </c>
    </row>
    <row r="293" spans="1:18" x14ac:dyDescent="0.2">
      <c r="A293">
        <v>29514</v>
      </c>
      <c r="B293" t="s">
        <v>10</v>
      </c>
      <c r="C293">
        <v>25.5</v>
      </c>
      <c r="D293">
        <v>339</v>
      </c>
      <c r="E293">
        <v>1.24680132070918E-2</v>
      </c>
      <c r="F293">
        <v>0.30409262271266702</v>
      </c>
      <c r="G293">
        <v>6.6394780632611002E-3</v>
      </c>
      <c r="H293">
        <v>0.51961047061048504</v>
      </c>
      <c r="I293">
        <v>8.1550645060323196E-2</v>
      </c>
      <c r="J293">
        <v>-6.21874243947744</v>
      </c>
      <c r="K293">
        <v>13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s">
        <v>10</v>
      </c>
      <c r="R293">
        <f>SUM(M293+P293)</f>
        <v>2</v>
      </c>
    </row>
    <row r="294" spans="1:18" x14ac:dyDescent="0.2">
      <c r="A294">
        <v>29526</v>
      </c>
      <c r="B294" t="s">
        <v>10</v>
      </c>
      <c r="C294">
        <v>16</v>
      </c>
      <c r="D294">
        <v>393</v>
      </c>
      <c r="E294">
        <v>6.37392994409504E-2</v>
      </c>
      <c r="F294">
        <v>0.30565045695520598</v>
      </c>
      <c r="G294">
        <v>0.363282394889203</v>
      </c>
      <c r="H294">
        <v>21.327129955315201</v>
      </c>
      <c r="I294">
        <v>3.56625412681118</v>
      </c>
      <c r="J294">
        <v>-5.9623879566000699</v>
      </c>
      <c r="K294">
        <v>9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s">
        <v>10</v>
      </c>
      <c r="R294">
        <f>SUM(M294+P294)</f>
        <v>2</v>
      </c>
    </row>
    <row r="295" spans="1:18" x14ac:dyDescent="0.2">
      <c r="A295">
        <v>29548</v>
      </c>
      <c r="B295" t="s">
        <v>10</v>
      </c>
      <c r="C295">
        <v>288</v>
      </c>
      <c r="D295">
        <v>289</v>
      </c>
      <c r="E295">
        <v>5.21525392144154E-2</v>
      </c>
      <c r="F295">
        <v>0.28637132914540497</v>
      </c>
      <c r="G295">
        <v>0.30362038404567498</v>
      </c>
      <c r="H295">
        <v>23.060074425861298</v>
      </c>
      <c r="I295">
        <v>3.7993206984496801</v>
      </c>
      <c r="J295">
        <v>-6.0557988421549398</v>
      </c>
      <c r="K295">
        <v>14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s">
        <v>10</v>
      </c>
      <c r="R295">
        <f>SUM(M295+P295)</f>
        <v>2</v>
      </c>
    </row>
    <row r="296" spans="1:18" x14ac:dyDescent="0.2">
      <c r="A296">
        <v>29578</v>
      </c>
      <c r="B296" t="s">
        <v>10</v>
      </c>
      <c r="C296">
        <v>638</v>
      </c>
      <c r="D296">
        <v>234</v>
      </c>
      <c r="E296">
        <v>0.17117066741475301</v>
      </c>
      <c r="F296">
        <v>0.195528588147587</v>
      </c>
      <c r="G296">
        <v>0.25392010575908203</v>
      </c>
      <c r="H296">
        <v>12.621201892457499</v>
      </c>
      <c r="I296">
        <v>1.91861945326396</v>
      </c>
      <c r="J296">
        <v>-6.4890571206617702</v>
      </c>
      <c r="K296" s="5">
        <v>9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s">
        <v>10</v>
      </c>
      <c r="R296">
        <f>SUM(M296+P296)</f>
        <v>2</v>
      </c>
    </row>
    <row r="297" spans="1:18" x14ac:dyDescent="0.2">
      <c r="A297">
        <v>29704</v>
      </c>
      <c r="B297" t="s">
        <v>10</v>
      </c>
      <c r="C297">
        <v>89.5</v>
      </c>
      <c r="D297">
        <v>270</v>
      </c>
      <c r="E297">
        <v>6.3637805125269203E-2</v>
      </c>
      <c r="F297">
        <v>0.214178214534328</v>
      </c>
      <c r="G297">
        <v>0.19024641654294</v>
      </c>
      <c r="H297">
        <v>10.085160022427401</v>
      </c>
      <c r="I297">
        <v>1.7981368021416999</v>
      </c>
      <c r="J297">
        <v>-5.5732813017151397</v>
      </c>
      <c r="K297">
        <v>10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s">
        <v>10</v>
      </c>
      <c r="R297">
        <f>SUM(M297+P297)</f>
        <v>2</v>
      </c>
    </row>
    <row r="298" spans="1:18" x14ac:dyDescent="0.2">
      <c r="A298">
        <v>29711</v>
      </c>
      <c r="B298" t="s">
        <v>10</v>
      </c>
      <c r="C298">
        <v>4</v>
      </c>
      <c r="D298">
        <v>270</v>
      </c>
      <c r="E298">
        <v>3.1512681715907903E-2</v>
      </c>
      <c r="F298">
        <v>5.1635384852888898E-2</v>
      </c>
      <c r="G298">
        <v>0.27000242609709502</v>
      </c>
      <c r="H298">
        <v>3.5022956317621698</v>
      </c>
      <c r="I298">
        <v>0.65643697360905895</v>
      </c>
      <c r="J298">
        <v>-5.2873056966368903</v>
      </c>
      <c r="K298" s="5">
        <v>15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s">
        <v>10</v>
      </c>
      <c r="R298">
        <f>SUM(M298+P298)</f>
        <v>2</v>
      </c>
    </row>
    <row r="299" spans="1:18" x14ac:dyDescent="0.2">
      <c r="A299">
        <v>29775</v>
      </c>
      <c r="B299" t="s">
        <v>10</v>
      </c>
      <c r="C299">
        <v>2250.5</v>
      </c>
      <c r="D299">
        <v>429</v>
      </c>
      <c r="E299">
        <v>7.8671393472514395E-2</v>
      </c>
      <c r="F299">
        <v>0.173261110898564</v>
      </c>
      <c r="G299">
        <v>0.196981966503393</v>
      </c>
      <c r="H299">
        <v>8.8789891780011097</v>
      </c>
      <c r="I299">
        <v>1.34852731886</v>
      </c>
      <c r="J299">
        <v>-6.5258728254523604</v>
      </c>
      <c r="K299">
        <v>14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s">
        <v>10</v>
      </c>
      <c r="R299">
        <f>SUM(M299+P299)</f>
        <v>2</v>
      </c>
    </row>
    <row r="300" spans="1:18" x14ac:dyDescent="0.2">
      <c r="A300">
        <v>29784</v>
      </c>
      <c r="B300" t="s">
        <v>10</v>
      </c>
      <c r="C300">
        <v>90</v>
      </c>
      <c r="D300">
        <v>311</v>
      </c>
      <c r="E300">
        <v>0.13525736465456001</v>
      </c>
      <c r="F300">
        <v>0.17057490908529399</v>
      </c>
      <c r="G300">
        <v>0.23473127491218401</v>
      </c>
      <c r="H300">
        <v>9.1292221648454195</v>
      </c>
      <c r="I300">
        <v>1.7076329445071601</v>
      </c>
      <c r="J300">
        <v>-5.2669192340902002</v>
      </c>
      <c r="K300" s="5">
        <v>10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s">
        <v>10</v>
      </c>
      <c r="R300">
        <f>SUM(M300+P300)</f>
        <v>2</v>
      </c>
    </row>
    <row r="301" spans="1:18" x14ac:dyDescent="0.2">
      <c r="A301">
        <v>29818</v>
      </c>
      <c r="B301" t="s">
        <v>10</v>
      </c>
      <c r="C301">
        <v>0</v>
      </c>
      <c r="D301">
        <v>345</v>
      </c>
      <c r="E301">
        <v>3.8209492703557099E-2</v>
      </c>
      <c r="F301">
        <v>0.26423916121347102</v>
      </c>
      <c r="G301">
        <v>1.04903070179155E-2</v>
      </c>
      <c r="H301">
        <v>0.720295958678982</v>
      </c>
      <c r="I301">
        <v>0.109562272472982</v>
      </c>
      <c r="J301">
        <v>-6.2255596801684199</v>
      </c>
      <c r="K301" s="5">
        <v>14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s">
        <v>10</v>
      </c>
      <c r="R301">
        <f>SUM(M301+P301)</f>
        <v>2</v>
      </c>
    </row>
    <row r="302" spans="1:18" x14ac:dyDescent="0.2">
      <c r="A302">
        <v>29844</v>
      </c>
      <c r="B302" t="s">
        <v>10</v>
      </c>
      <c r="C302">
        <v>28.5</v>
      </c>
      <c r="D302">
        <v>331</v>
      </c>
      <c r="E302">
        <v>0.119072866755688</v>
      </c>
      <c r="F302">
        <v>0.171225238418656</v>
      </c>
      <c r="G302">
        <v>0.116683923590989</v>
      </c>
      <c r="H302">
        <v>4.8506907077213102</v>
      </c>
      <c r="I302">
        <v>0.85701953924694496</v>
      </c>
      <c r="J302">
        <v>-5.5210151277568897</v>
      </c>
      <c r="K302">
        <v>17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s">
        <v>10</v>
      </c>
      <c r="R302">
        <f>SUM(M302+P302)</f>
        <v>2</v>
      </c>
    </row>
    <row r="303" spans="1:18" x14ac:dyDescent="0.2">
      <c r="A303">
        <v>29851</v>
      </c>
      <c r="B303" t="s">
        <v>10</v>
      </c>
      <c r="C303">
        <v>276.5</v>
      </c>
      <c r="D303">
        <v>447</v>
      </c>
      <c r="E303">
        <v>2.8111352074484699E-2</v>
      </c>
      <c r="F303">
        <v>0.30247218800671399</v>
      </c>
      <c r="G303">
        <v>2.1038621592805298E-2</v>
      </c>
      <c r="H303">
        <v>1.66378790673818</v>
      </c>
      <c r="I303">
        <v>0.26255140843951802</v>
      </c>
      <c r="J303">
        <v>-6.2299287000034802</v>
      </c>
      <c r="K303">
        <v>10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s">
        <v>10</v>
      </c>
      <c r="R303">
        <f>SUM(M303+P303)</f>
        <v>2</v>
      </c>
    </row>
    <row r="304" spans="1:18" x14ac:dyDescent="0.2">
      <c r="A304">
        <v>29864</v>
      </c>
      <c r="B304" t="s">
        <v>10</v>
      </c>
      <c r="C304">
        <v>3910</v>
      </c>
      <c r="D304">
        <v>333</v>
      </c>
      <c r="E304">
        <v>0.108762399622107</v>
      </c>
      <c r="F304">
        <v>0.25759931958245802</v>
      </c>
      <c r="G304">
        <v>0.27424586649856803</v>
      </c>
      <c r="H304">
        <v>15.457520346652601</v>
      </c>
      <c r="I304">
        <v>2.4996835771072599</v>
      </c>
      <c r="J304">
        <v>-6.1402803489203102</v>
      </c>
      <c r="K304">
        <v>9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s">
        <v>10</v>
      </c>
      <c r="R304">
        <f>SUM(M304+P304)</f>
        <v>2</v>
      </c>
    </row>
    <row r="305" spans="1:18" x14ac:dyDescent="0.2">
      <c r="A305">
        <v>29995</v>
      </c>
      <c r="B305" t="s">
        <v>10</v>
      </c>
      <c r="C305">
        <v>79.9997255199996</v>
      </c>
      <c r="D305">
        <v>316</v>
      </c>
      <c r="E305">
        <v>0.11483119680269301</v>
      </c>
      <c r="F305">
        <v>0.275898664846143</v>
      </c>
      <c r="G305">
        <v>0.24606226023161001</v>
      </c>
      <c r="H305">
        <v>10.911783555888</v>
      </c>
      <c r="I305">
        <v>2.0250780774125801</v>
      </c>
      <c r="J305">
        <v>-5.3316227554448004</v>
      </c>
      <c r="K305">
        <v>12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s">
        <v>10</v>
      </c>
      <c r="R305">
        <f>SUM(M305+P305)</f>
        <v>2</v>
      </c>
    </row>
    <row r="306" spans="1:18" x14ac:dyDescent="0.2">
      <c r="A306">
        <v>30159</v>
      </c>
      <c r="B306" t="s">
        <v>10</v>
      </c>
      <c r="C306">
        <v>4</v>
      </c>
      <c r="D306">
        <v>277</v>
      </c>
      <c r="E306">
        <v>6.7669143077029897E-2</v>
      </c>
      <c r="F306">
        <v>0.20321091853789999</v>
      </c>
      <c r="G306">
        <v>0.26710244011981299</v>
      </c>
      <c r="H306">
        <v>13.2698046009499</v>
      </c>
      <c r="I306">
        <v>1.9731579185378001</v>
      </c>
      <c r="J306">
        <v>-6.6908661156002696</v>
      </c>
      <c r="K306">
        <v>9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s">
        <v>10</v>
      </c>
      <c r="R306">
        <f>SUM(M306+P306)</f>
        <v>2</v>
      </c>
    </row>
    <row r="307" spans="1:18" x14ac:dyDescent="0.2">
      <c r="A307">
        <v>30259</v>
      </c>
      <c r="B307" t="s">
        <v>10</v>
      </c>
      <c r="C307">
        <v>745</v>
      </c>
      <c r="D307">
        <v>408</v>
      </c>
      <c r="E307">
        <v>0.19143832573959599</v>
      </c>
      <c r="F307">
        <v>0.202543474141679</v>
      </c>
      <c r="G307">
        <v>0.186946013664086</v>
      </c>
      <c r="H307">
        <v>10.3206804189458</v>
      </c>
      <c r="I307">
        <v>1.5939522800861401</v>
      </c>
      <c r="J307">
        <v>-6.3547963259344504</v>
      </c>
      <c r="K307">
        <v>12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s">
        <v>10</v>
      </c>
      <c r="R307">
        <f>SUM(M307+P307)</f>
        <v>2</v>
      </c>
    </row>
    <row r="308" spans="1:18" x14ac:dyDescent="0.2">
      <c r="A308">
        <v>30642</v>
      </c>
      <c r="B308" t="s">
        <v>10</v>
      </c>
      <c r="C308">
        <v>209</v>
      </c>
      <c r="D308">
        <v>268</v>
      </c>
      <c r="E308">
        <v>6.5343183507748606E-2</v>
      </c>
      <c r="F308">
        <v>0.23558737771201699</v>
      </c>
      <c r="G308">
        <v>0.26766793393989502</v>
      </c>
      <c r="H308">
        <v>15.3578027092447</v>
      </c>
      <c r="I308">
        <v>2.6209003030185301</v>
      </c>
      <c r="J308">
        <v>-5.8348116134461199</v>
      </c>
      <c r="K308" s="5">
        <v>12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s">
        <v>10</v>
      </c>
      <c r="R308">
        <f>SUM(M308+P308)</f>
        <v>2</v>
      </c>
    </row>
    <row r="309" spans="1:18" x14ac:dyDescent="0.2">
      <c r="A309">
        <v>30653</v>
      </c>
      <c r="B309" t="s">
        <v>10</v>
      </c>
      <c r="C309">
        <v>700</v>
      </c>
      <c r="D309">
        <v>318</v>
      </c>
      <c r="E309">
        <v>0.115904823398834</v>
      </c>
      <c r="F309">
        <v>0.28163803164879597</v>
      </c>
      <c r="G309">
        <v>0.33772537349194298</v>
      </c>
      <c r="H309">
        <v>24.901512075554699</v>
      </c>
      <c r="I309">
        <v>3.8056289791765301</v>
      </c>
      <c r="J309">
        <v>-6.5128806270334296</v>
      </c>
      <c r="K309">
        <v>21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s">
        <v>10</v>
      </c>
      <c r="R309">
        <f>SUM(M309+P309)</f>
        <v>2</v>
      </c>
    </row>
    <row r="310" spans="1:18" x14ac:dyDescent="0.2">
      <c r="A310">
        <v>30662</v>
      </c>
      <c r="B310" t="s">
        <v>10</v>
      </c>
      <c r="C310">
        <v>935</v>
      </c>
      <c r="D310">
        <v>350</v>
      </c>
      <c r="E310">
        <v>0.16242993868772601</v>
      </c>
      <c r="F310">
        <v>0.30098374262864003</v>
      </c>
      <c r="G310">
        <v>0.27781123076743802</v>
      </c>
      <c r="H310">
        <v>17.386688242681601</v>
      </c>
      <c r="I310">
        <v>3.7228470639242599</v>
      </c>
      <c r="J310">
        <v>-4.6266360149207202</v>
      </c>
      <c r="K310">
        <v>10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s">
        <v>10</v>
      </c>
      <c r="R310">
        <f>SUM(M310+P310)</f>
        <v>2</v>
      </c>
    </row>
    <row r="311" spans="1:18" x14ac:dyDescent="0.2">
      <c r="A311">
        <v>30679</v>
      </c>
      <c r="B311" t="s">
        <v>10</v>
      </c>
      <c r="C311">
        <v>306</v>
      </c>
      <c r="D311">
        <v>266</v>
      </c>
      <c r="E311">
        <v>9.9111030938275294E-2</v>
      </c>
      <c r="F311">
        <v>0.22467197769760999</v>
      </c>
      <c r="G311">
        <v>0.213838792813932</v>
      </c>
      <c r="H311">
        <v>12.082804857208</v>
      </c>
      <c r="I311">
        <v>1.9332392821933</v>
      </c>
      <c r="J311">
        <v>-6.19876387607537</v>
      </c>
      <c r="K311">
        <v>23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s">
        <v>10</v>
      </c>
      <c r="R311">
        <f>SUM(M311+P311)</f>
        <v>2</v>
      </c>
    </row>
    <row r="312" spans="1:18" x14ac:dyDescent="0.2">
      <c r="A312">
        <v>30686</v>
      </c>
      <c r="B312" t="s">
        <v>10</v>
      </c>
      <c r="C312">
        <v>56.5</v>
      </c>
      <c r="D312">
        <v>370</v>
      </c>
      <c r="E312">
        <v>0.182794195421323</v>
      </c>
      <c r="F312">
        <v>0.26380146070335903</v>
      </c>
      <c r="G312">
        <v>0.21349498270374201</v>
      </c>
      <c r="H312">
        <v>12.5156126368295</v>
      </c>
      <c r="I312">
        <v>2.7187911084854202</v>
      </c>
      <c r="J312">
        <v>-4.5361404938088699</v>
      </c>
      <c r="K312" s="5">
        <v>11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s">
        <v>10</v>
      </c>
      <c r="R312">
        <f>SUM(M312+P312)</f>
        <v>2</v>
      </c>
    </row>
    <row r="313" spans="1:18" x14ac:dyDescent="0.2">
      <c r="A313">
        <v>30694</v>
      </c>
      <c r="B313" t="s">
        <v>10</v>
      </c>
      <c r="C313">
        <v>23.5</v>
      </c>
      <c r="D313">
        <v>330</v>
      </c>
      <c r="E313">
        <v>7.1062333737525296E-2</v>
      </c>
      <c r="F313">
        <v>0.19873071532907799</v>
      </c>
      <c r="G313">
        <v>0.207389860869616</v>
      </c>
      <c r="H313">
        <v>8.1429910359431705</v>
      </c>
      <c r="I313">
        <v>1.4729825276494799</v>
      </c>
      <c r="J313">
        <v>-5.4799894436537997</v>
      </c>
      <c r="K313" s="5">
        <v>9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s">
        <v>10</v>
      </c>
      <c r="R313">
        <f>SUM(M313+P313)</f>
        <v>2</v>
      </c>
    </row>
    <row r="314" spans="1:18" x14ac:dyDescent="0.2">
      <c r="A314">
        <v>30721</v>
      </c>
      <c r="B314" t="s">
        <v>10</v>
      </c>
      <c r="C314">
        <v>1242</v>
      </c>
      <c r="D314">
        <v>492</v>
      </c>
      <c r="E314">
        <v>7.9805468116564096E-2</v>
      </c>
      <c r="F314">
        <v>0.25914658291746201</v>
      </c>
      <c r="G314">
        <v>8.1254538761062201E-2</v>
      </c>
      <c r="H314">
        <v>4.3503023437340298</v>
      </c>
      <c r="I314">
        <v>0.91343063311231798</v>
      </c>
      <c r="J314">
        <v>-4.6752284418869001</v>
      </c>
      <c r="K314">
        <v>10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s">
        <v>10</v>
      </c>
      <c r="R314">
        <f>SUM(M314+P314)</f>
        <v>2</v>
      </c>
    </row>
    <row r="315" spans="1:18" x14ac:dyDescent="0.2">
      <c r="A315">
        <v>30838</v>
      </c>
      <c r="B315" t="s">
        <v>10</v>
      </c>
      <c r="C315">
        <v>148</v>
      </c>
      <c r="D315">
        <v>279</v>
      </c>
      <c r="E315">
        <v>3.8229766624280001E-2</v>
      </c>
      <c r="F315">
        <v>0.22770852799072999</v>
      </c>
      <c r="G315">
        <v>0.17203911614154799</v>
      </c>
      <c r="H315">
        <v>7.4110815716396097</v>
      </c>
      <c r="I315">
        <v>1.1958765117533301</v>
      </c>
      <c r="J315">
        <v>-6.1652283764698002</v>
      </c>
      <c r="K315">
        <v>13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s">
        <v>10</v>
      </c>
      <c r="R315">
        <f>SUM(M315+P315)</f>
        <v>2</v>
      </c>
    </row>
    <row r="316" spans="1:18" x14ac:dyDescent="0.2">
      <c r="A316">
        <v>30883</v>
      </c>
      <c r="B316" t="s">
        <v>10</v>
      </c>
      <c r="C316">
        <v>54.5</v>
      </c>
      <c r="D316">
        <v>374</v>
      </c>
      <c r="E316">
        <v>1.6229347959752002E-2</v>
      </c>
      <c r="F316">
        <v>8.9669623396811393E-2</v>
      </c>
      <c r="G316">
        <v>0.165524965003604</v>
      </c>
      <c r="H316">
        <v>4.0527226242920102</v>
      </c>
      <c r="I316">
        <v>0.60417476902437195</v>
      </c>
      <c r="J316">
        <v>-6.6810027218621402</v>
      </c>
      <c r="K316" s="5">
        <v>15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s">
        <v>10</v>
      </c>
      <c r="R316">
        <f>SUM(M316+P316)</f>
        <v>2</v>
      </c>
    </row>
    <row r="317" spans="1:18" x14ac:dyDescent="0.2">
      <c r="A317">
        <v>30893</v>
      </c>
      <c r="B317" t="s">
        <v>10</v>
      </c>
      <c r="C317">
        <v>279</v>
      </c>
      <c r="D317">
        <v>340</v>
      </c>
      <c r="E317">
        <v>8.1478657223112594E-2</v>
      </c>
      <c r="F317">
        <v>0.26629273096264999</v>
      </c>
      <c r="G317">
        <v>0.18383030769362199</v>
      </c>
      <c r="H317">
        <v>10.2751520840285</v>
      </c>
      <c r="I317">
        <v>1.84445650140922</v>
      </c>
      <c r="J317">
        <v>-5.5266542848893998</v>
      </c>
      <c r="K317">
        <v>12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s">
        <v>10</v>
      </c>
      <c r="R317">
        <f>SUM(M317+P317)</f>
        <v>2</v>
      </c>
    </row>
    <row r="318" spans="1:18" x14ac:dyDescent="0.2">
      <c r="A318">
        <v>30900</v>
      </c>
      <c r="B318" t="s">
        <v>10</v>
      </c>
      <c r="C318">
        <v>42.5</v>
      </c>
      <c r="D318">
        <v>426</v>
      </c>
      <c r="E318">
        <v>0.12300337153034099</v>
      </c>
      <c r="F318">
        <v>0.32477041120106198</v>
      </c>
      <c r="G318">
        <v>0.244427015982318</v>
      </c>
      <c r="H318">
        <v>20.8075494772444</v>
      </c>
      <c r="I318">
        <v>3.4728097048078901</v>
      </c>
      <c r="J318">
        <v>-5.9561415291708997</v>
      </c>
      <c r="K318">
        <v>9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s">
        <v>10</v>
      </c>
      <c r="R318">
        <f>SUM(M318+P318)</f>
        <v>2</v>
      </c>
    </row>
    <row r="319" spans="1:18" x14ac:dyDescent="0.2">
      <c r="A319">
        <v>31076</v>
      </c>
      <c r="B319" t="s">
        <v>10</v>
      </c>
      <c r="C319">
        <v>1268.5</v>
      </c>
      <c r="D319">
        <v>288</v>
      </c>
      <c r="E319">
        <v>0.18790888495119401</v>
      </c>
      <c r="F319">
        <v>0.20295647330899499</v>
      </c>
      <c r="G319">
        <v>0.219707530695574</v>
      </c>
      <c r="H319">
        <v>11.669887158100099</v>
      </c>
      <c r="I319">
        <v>1.81743462639399</v>
      </c>
      <c r="J319">
        <v>-6.3176843372521203</v>
      </c>
      <c r="K319">
        <v>9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s">
        <v>10</v>
      </c>
      <c r="R319">
        <f>SUM(M319+P319)</f>
        <v>2</v>
      </c>
    </row>
    <row r="320" spans="1:18" x14ac:dyDescent="0.2">
      <c r="A320">
        <v>31236</v>
      </c>
      <c r="B320" t="s">
        <v>10</v>
      </c>
      <c r="C320">
        <v>40</v>
      </c>
      <c r="D320">
        <v>391</v>
      </c>
      <c r="E320">
        <v>3.7570889284924899E-2</v>
      </c>
      <c r="F320">
        <v>0.26016767821375802</v>
      </c>
      <c r="G320">
        <v>0.20258184763052201</v>
      </c>
      <c r="H320">
        <v>12.2934343703004</v>
      </c>
      <c r="I320">
        <v>2.4905116892084198</v>
      </c>
      <c r="J320">
        <v>-4.92102226788215</v>
      </c>
      <c r="K320">
        <v>9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s">
        <v>10</v>
      </c>
      <c r="R320">
        <f>SUM(M320+P320)</f>
        <v>2</v>
      </c>
    </row>
    <row r="321" spans="1:18" x14ac:dyDescent="0.2">
      <c r="A321">
        <v>31403</v>
      </c>
      <c r="B321" t="s">
        <v>10</v>
      </c>
      <c r="C321">
        <v>157</v>
      </c>
      <c r="D321">
        <v>394</v>
      </c>
      <c r="E321">
        <v>6.1192627301814101E-2</v>
      </c>
      <c r="F321">
        <v>0.22790531569819</v>
      </c>
      <c r="G321">
        <v>9.6560849673042196E-2</v>
      </c>
      <c r="H321">
        <v>5.2491840727363597</v>
      </c>
      <c r="I321">
        <v>0.98601663487230296</v>
      </c>
      <c r="J321">
        <v>-5.2615658417430504</v>
      </c>
      <c r="K321">
        <v>16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s">
        <v>10</v>
      </c>
      <c r="R321">
        <f>SUM(M321+P321)</f>
        <v>2</v>
      </c>
    </row>
    <row r="322" spans="1:18" x14ac:dyDescent="0.2">
      <c r="A322">
        <v>31406</v>
      </c>
      <c r="B322" t="s">
        <v>10</v>
      </c>
      <c r="C322">
        <v>4302</v>
      </c>
      <c r="D322">
        <v>277</v>
      </c>
      <c r="E322">
        <v>0.10316756997721201</v>
      </c>
      <c r="F322">
        <v>0.27117517839226701</v>
      </c>
      <c r="G322">
        <v>0.208823702483521</v>
      </c>
      <c r="H322">
        <v>14.735548534177401</v>
      </c>
      <c r="I322">
        <v>2.2601007373586901</v>
      </c>
      <c r="J322">
        <v>-6.4742162693600003</v>
      </c>
      <c r="K322" s="5">
        <v>12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s">
        <v>10</v>
      </c>
      <c r="R322">
        <f>SUM(M322+P322)</f>
        <v>2</v>
      </c>
    </row>
    <row r="323" spans="1:18" x14ac:dyDescent="0.2">
      <c r="A323">
        <v>38815</v>
      </c>
      <c r="B323" t="s">
        <v>10</v>
      </c>
      <c r="C323">
        <v>997</v>
      </c>
      <c r="D323">
        <v>341</v>
      </c>
      <c r="E323">
        <v>0.100878925849666</v>
      </c>
      <c r="F323">
        <v>0.205884527812913</v>
      </c>
      <c r="G323">
        <v>0.200782719680175</v>
      </c>
      <c r="H323">
        <v>9.5605444372902699</v>
      </c>
      <c r="I323">
        <v>1.6102606670361399</v>
      </c>
      <c r="J323">
        <v>-5.8746175107488297</v>
      </c>
      <c r="K323">
        <v>23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s">
        <v>10</v>
      </c>
      <c r="R323">
        <f>SUM(M323+P323)</f>
        <v>2</v>
      </c>
    </row>
    <row r="324" spans="1:18" x14ac:dyDescent="0.2">
      <c r="A324">
        <v>39200</v>
      </c>
      <c r="B324" t="s">
        <v>10</v>
      </c>
      <c r="C324">
        <v>146.5</v>
      </c>
      <c r="D324">
        <v>294</v>
      </c>
      <c r="E324">
        <v>6.1489514180755898E-2</v>
      </c>
      <c r="F324">
        <v>0.30070396112099401</v>
      </c>
      <c r="G324">
        <v>0.34516046391459498</v>
      </c>
      <c r="H324">
        <v>25.589619613561499</v>
      </c>
      <c r="I324">
        <v>4.3814949159334899</v>
      </c>
      <c r="J324">
        <v>-5.8263516423462196</v>
      </c>
      <c r="K324">
        <v>25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s">
        <v>10</v>
      </c>
      <c r="R324">
        <f>SUM(M324+P324)</f>
        <v>2</v>
      </c>
    </row>
    <row r="325" spans="1:18" x14ac:dyDescent="0.2">
      <c r="A325">
        <v>39208</v>
      </c>
      <c r="B325" t="s">
        <v>10</v>
      </c>
      <c r="C325">
        <v>33</v>
      </c>
      <c r="D325">
        <v>268</v>
      </c>
      <c r="E325">
        <v>1.3026566857478401E-2</v>
      </c>
      <c r="F325">
        <v>0.228280549217801</v>
      </c>
      <c r="G325">
        <v>0.19512759648775099</v>
      </c>
      <c r="H325">
        <v>9.9444071425317695</v>
      </c>
      <c r="I325">
        <v>2.1681114996775701</v>
      </c>
      <c r="J325">
        <v>-4.5806595173501101</v>
      </c>
      <c r="K325">
        <v>42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s">
        <v>10</v>
      </c>
      <c r="R325">
        <f>SUM(M325+P325)</f>
        <v>2</v>
      </c>
    </row>
    <row r="326" spans="1:18" x14ac:dyDescent="0.2">
      <c r="A326">
        <v>39216</v>
      </c>
      <c r="B326" t="s">
        <v>10</v>
      </c>
      <c r="C326">
        <v>41.5</v>
      </c>
      <c r="D326">
        <v>431</v>
      </c>
      <c r="E326">
        <v>7.5609061358533599E-3</v>
      </c>
      <c r="F326">
        <v>0.243059803095766</v>
      </c>
      <c r="G326">
        <v>0.176815654394121</v>
      </c>
      <c r="H326">
        <v>9.4558854199987206</v>
      </c>
      <c r="I326">
        <v>1.9913927041900099</v>
      </c>
      <c r="J326">
        <v>-4.7445812641489704</v>
      </c>
      <c r="K326">
        <v>17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s">
        <v>10</v>
      </c>
      <c r="R326">
        <f>SUM(M326+P326)</f>
        <v>2</v>
      </c>
    </row>
    <row r="327" spans="1:18" x14ac:dyDescent="0.2">
      <c r="A327">
        <v>39217</v>
      </c>
      <c r="B327" t="s">
        <v>10</v>
      </c>
      <c r="C327">
        <v>36.5</v>
      </c>
      <c r="D327">
        <v>363</v>
      </c>
      <c r="E327">
        <v>0.18318190554129599</v>
      </c>
      <c r="F327">
        <v>0.202664809573502</v>
      </c>
      <c r="G327">
        <v>0.32588811358150799</v>
      </c>
      <c r="H327">
        <v>11.034285295598099</v>
      </c>
      <c r="I327">
        <v>2.1940425234432399</v>
      </c>
      <c r="J327">
        <v>-4.94571243451903</v>
      </c>
      <c r="K327">
        <v>17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s">
        <v>10</v>
      </c>
      <c r="R327">
        <f>SUM(M327+P327)</f>
        <v>2</v>
      </c>
    </row>
    <row r="328" spans="1:18" x14ac:dyDescent="0.2">
      <c r="A328">
        <v>39236</v>
      </c>
      <c r="B328" t="s">
        <v>10</v>
      </c>
      <c r="C328">
        <v>379</v>
      </c>
      <c r="D328">
        <v>308</v>
      </c>
      <c r="E328">
        <v>0.17226846674671101</v>
      </c>
      <c r="F328">
        <v>0.234282567673675</v>
      </c>
      <c r="G328">
        <v>0.23331680517272199</v>
      </c>
      <c r="H328">
        <v>14.595138124191999</v>
      </c>
      <c r="I328">
        <v>2.2522736295457202</v>
      </c>
      <c r="J328">
        <v>-6.4036933471331103</v>
      </c>
      <c r="K328">
        <v>24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s">
        <v>10</v>
      </c>
      <c r="R328">
        <f>SUM(M328+P328)</f>
        <v>2</v>
      </c>
    </row>
    <row r="329" spans="1:18" x14ac:dyDescent="0.2">
      <c r="A329">
        <v>39254</v>
      </c>
      <c r="B329" t="s">
        <v>10</v>
      </c>
      <c r="C329">
        <v>113.5</v>
      </c>
      <c r="D329">
        <v>429</v>
      </c>
      <c r="E329">
        <v>0.20094968887339401</v>
      </c>
      <c r="F329">
        <v>0.30350441404707001</v>
      </c>
      <c r="G329">
        <v>0.32372330823777001</v>
      </c>
      <c r="H329">
        <v>26.0214434455423</v>
      </c>
      <c r="I329">
        <v>4.1310879551433004</v>
      </c>
      <c r="J329">
        <v>-6.2502890369404502</v>
      </c>
      <c r="K329">
        <v>20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s">
        <v>10</v>
      </c>
      <c r="R329">
        <f>SUM(M329+P329)</f>
        <v>2</v>
      </c>
    </row>
    <row r="330" spans="1:18" x14ac:dyDescent="0.2">
      <c r="A330">
        <v>39386</v>
      </c>
      <c r="B330" t="s">
        <v>11</v>
      </c>
      <c r="C330">
        <v>186.5</v>
      </c>
      <c r="D330">
        <v>344</v>
      </c>
      <c r="E330">
        <v>0.108561283306307</v>
      </c>
      <c r="F330">
        <v>0.23021073474079601</v>
      </c>
      <c r="G330">
        <v>0.126705977359132</v>
      </c>
      <c r="H330">
        <v>7.2727971568789602</v>
      </c>
      <c r="I330">
        <v>1.1635454154685601</v>
      </c>
      <c r="J330">
        <v>-6.1572464455008804</v>
      </c>
      <c r="K330">
        <v>36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s">
        <v>11</v>
      </c>
      <c r="R330">
        <f>SUM(M330+P330)</f>
        <v>2</v>
      </c>
    </row>
    <row r="331" spans="1:18" x14ac:dyDescent="0.2">
      <c r="A331">
        <v>39492</v>
      </c>
      <c r="B331" t="s">
        <v>10</v>
      </c>
      <c r="C331">
        <v>6.5</v>
      </c>
      <c r="D331">
        <v>352</v>
      </c>
      <c r="E331">
        <v>9.9255678106481296E-2</v>
      </c>
      <c r="F331">
        <v>0.226431267816711</v>
      </c>
      <c r="G331">
        <v>0.33294727958451897</v>
      </c>
      <c r="H331">
        <v>19.182798629176201</v>
      </c>
      <c r="I331">
        <v>3.1406110455682499</v>
      </c>
      <c r="J331">
        <v>-6.0763789830003603</v>
      </c>
      <c r="K331">
        <v>42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s">
        <v>10</v>
      </c>
      <c r="R331">
        <f>SUM(M331+P331)</f>
        <v>2</v>
      </c>
    </row>
    <row r="332" spans="1:18" x14ac:dyDescent="0.2">
      <c r="A332">
        <v>39524</v>
      </c>
      <c r="B332" t="s">
        <v>10</v>
      </c>
      <c r="C332">
        <v>518</v>
      </c>
      <c r="D332">
        <v>311</v>
      </c>
      <c r="E332">
        <v>0.10067162329658801</v>
      </c>
      <c r="F332">
        <v>0.29556871561186898</v>
      </c>
      <c r="G332">
        <v>0.14565985484483501</v>
      </c>
      <c r="H332">
        <v>11.086326510130601</v>
      </c>
      <c r="I332">
        <v>1.8045396221566199</v>
      </c>
      <c r="J332">
        <v>-6.0877881272038801</v>
      </c>
      <c r="K332" s="5">
        <v>19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s">
        <v>10</v>
      </c>
      <c r="R332">
        <f>SUM(M332+P332)</f>
        <v>2</v>
      </c>
    </row>
    <row r="333" spans="1:18" x14ac:dyDescent="0.2">
      <c r="A333">
        <v>40048</v>
      </c>
      <c r="B333" t="s">
        <v>10</v>
      </c>
      <c r="C333">
        <v>59.5</v>
      </c>
      <c r="D333">
        <v>385</v>
      </c>
      <c r="E333">
        <v>3.3454839198263198E-2</v>
      </c>
      <c r="F333">
        <v>0.30827984315592899</v>
      </c>
      <c r="G333">
        <v>1.20895314597741E-2</v>
      </c>
      <c r="H333">
        <v>0.91465618215782296</v>
      </c>
      <c r="I333">
        <v>0.152719384264318</v>
      </c>
      <c r="J333">
        <v>-5.7700687257514698</v>
      </c>
      <c r="K333">
        <v>12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s">
        <v>10</v>
      </c>
      <c r="R333">
        <f>SUM(M333+P333)</f>
        <v>2</v>
      </c>
    </row>
    <row r="334" spans="1:18" x14ac:dyDescent="0.2">
      <c r="A334">
        <v>44672</v>
      </c>
      <c r="B334" t="s">
        <v>11</v>
      </c>
      <c r="C334">
        <v>28</v>
      </c>
      <c r="D334">
        <v>318</v>
      </c>
      <c r="E334">
        <v>0.19776203097177</v>
      </c>
      <c r="F334">
        <v>0.24383866642764901</v>
      </c>
      <c r="G334">
        <v>0.23044983383430701</v>
      </c>
      <c r="H334">
        <v>15.297416775669801</v>
      </c>
      <c r="I334">
        <v>2.3330072603201</v>
      </c>
      <c r="J334">
        <v>-6.4721850641074603</v>
      </c>
      <c r="K334">
        <v>34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s">
        <v>11</v>
      </c>
      <c r="R334">
        <f>SUM(M334+P334)</f>
        <v>2</v>
      </c>
    </row>
    <row r="335" spans="1:18" x14ac:dyDescent="0.2">
      <c r="A335">
        <v>44731</v>
      </c>
      <c r="B335" t="s">
        <v>11</v>
      </c>
      <c r="C335">
        <v>69</v>
      </c>
      <c r="D335">
        <v>311</v>
      </c>
      <c r="E335">
        <v>5.6605710947415899E-2</v>
      </c>
      <c r="F335">
        <v>0.17029079515249099</v>
      </c>
      <c r="G335">
        <v>0.270427644227899</v>
      </c>
      <c r="H335">
        <v>10.3128577608448</v>
      </c>
      <c r="I335">
        <v>2.20839657085634</v>
      </c>
      <c r="J335">
        <v>-4.6442075600218597</v>
      </c>
      <c r="K335">
        <v>25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s">
        <v>11</v>
      </c>
      <c r="R335">
        <f>SUM(M335+P335)</f>
        <v>2</v>
      </c>
    </row>
    <row r="336" spans="1:18" x14ac:dyDescent="0.2">
      <c r="A336">
        <v>45727</v>
      </c>
      <c r="B336" t="s">
        <v>10</v>
      </c>
      <c r="C336">
        <v>391</v>
      </c>
      <c r="D336">
        <v>312</v>
      </c>
      <c r="E336">
        <v>8.8233701491828895E-2</v>
      </c>
      <c r="F336">
        <v>0.27442458535869602</v>
      </c>
      <c r="G336">
        <v>0.18458217146616901</v>
      </c>
      <c r="H336">
        <v>12.167284221901101</v>
      </c>
      <c r="I336">
        <v>2.1148656718479</v>
      </c>
      <c r="J336">
        <v>-5.7114977472091599</v>
      </c>
      <c r="K336">
        <v>18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s">
        <v>10</v>
      </c>
      <c r="R336">
        <f>SUM(M336+P336)</f>
        <v>2</v>
      </c>
    </row>
    <row r="337" spans="1:18" x14ac:dyDescent="0.2">
      <c r="A337">
        <v>45728</v>
      </c>
      <c r="B337" t="s">
        <v>10</v>
      </c>
      <c r="C337">
        <v>4.5</v>
      </c>
      <c r="D337">
        <v>357</v>
      </c>
      <c r="E337">
        <v>0.17910277096354199</v>
      </c>
      <c r="F337">
        <v>0.314721981455447</v>
      </c>
      <c r="G337">
        <v>0.32588860520074098</v>
      </c>
      <c r="H337">
        <v>23.173958591965</v>
      </c>
      <c r="I337">
        <v>5.1297641490139698</v>
      </c>
      <c r="J337">
        <v>-4.4826341237192002</v>
      </c>
      <c r="K337">
        <v>31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s">
        <v>10</v>
      </c>
      <c r="R337">
        <f>SUM(M337+P337)</f>
        <v>2</v>
      </c>
    </row>
    <row r="338" spans="1:18" x14ac:dyDescent="0.2">
      <c r="A338">
        <v>45731</v>
      </c>
      <c r="B338" t="s">
        <v>10</v>
      </c>
      <c r="C338">
        <v>309</v>
      </c>
      <c r="D338">
        <v>313</v>
      </c>
      <c r="E338">
        <v>0.19822806446826199</v>
      </c>
      <c r="F338">
        <v>0.18603155646182801</v>
      </c>
      <c r="G338">
        <v>0.18930926183187499</v>
      </c>
      <c r="H338">
        <v>5.76536546437866</v>
      </c>
      <c r="I338">
        <v>0.89419327781718605</v>
      </c>
      <c r="J338">
        <v>-6.2258770424894401</v>
      </c>
      <c r="K338">
        <v>39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s">
        <v>10</v>
      </c>
      <c r="R338">
        <f>SUM(M338+P338)</f>
        <v>2</v>
      </c>
    </row>
    <row r="339" spans="1:18" x14ac:dyDescent="0.2">
      <c r="A339">
        <v>45734</v>
      </c>
      <c r="B339" t="s">
        <v>10</v>
      </c>
      <c r="C339">
        <v>4</v>
      </c>
      <c r="D339">
        <v>306</v>
      </c>
      <c r="E339">
        <v>3.0687760652029199E-2</v>
      </c>
      <c r="F339">
        <v>0.13917971522439199</v>
      </c>
      <c r="G339">
        <v>0.27430227963181603</v>
      </c>
      <c r="H339">
        <v>10.984321992789299</v>
      </c>
      <c r="I339">
        <v>1.6179430187564701</v>
      </c>
      <c r="J339">
        <v>-6.7700988880041804</v>
      </c>
      <c r="K339">
        <v>20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s">
        <v>10</v>
      </c>
      <c r="R339">
        <f>SUM(M339+P339)</f>
        <v>2</v>
      </c>
    </row>
    <row r="340" spans="1:18" x14ac:dyDescent="0.2">
      <c r="A340">
        <v>45743</v>
      </c>
      <c r="B340" t="s">
        <v>10</v>
      </c>
      <c r="C340">
        <v>378</v>
      </c>
      <c r="D340">
        <v>287</v>
      </c>
      <c r="E340">
        <v>4.3654508458150901E-2</v>
      </c>
      <c r="F340">
        <v>8.1132661819871402E-2</v>
      </c>
      <c r="G340">
        <v>0.10220629866048001</v>
      </c>
      <c r="H340">
        <v>2.0877734303122599</v>
      </c>
      <c r="I340">
        <v>0.34139476659751999</v>
      </c>
      <c r="J340">
        <v>-5.9875520126644997</v>
      </c>
      <c r="K340">
        <v>22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s">
        <v>10</v>
      </c>
      <c r="R340">
        <f>SUM(M340+P340)</f>
        <v>2</v>
      </c>
    </row>
    <row r="341" spans="1:18" x14ac:dyDescent="0.2">
      <c r="A341">
        <v>45748</v>
      </c>
      <c r="B341" t="s">
        <v>10</v>
      </c>
      <c r="C341">
        <v>100</v>
      </c>
      <c r="D341">
        <v>258</v>
      </c>
      <c r="E341">
        <v>3.3813268804194399E-2</v>
      </c>
      <c r="F341">
        <v>0.31740952405991701</v>
      </c>
      <c r="G341">
        <v>9.3901571054138405E-3</v>
      </c>
      <c r="H341">
        <v>0.76681136116152404</v>
      </c>
      <c r="I341">
        <v>0.12370121014075</v>
      </c>
      <c r="J341">
        <v>-5.9255531253356901</v>
      </c>
      <c r="K341">
        <v>24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s">
        <v>10</v>
      </c>
      <c r="R341">
        <f>SUM(M341+P341)</f>
        <v>2</v>
      </c>
    </row>
    <row r="342" spans="1:18" x14ac:dyDescent="0.2">
      <c r="A342">
        <v>45759</v>
      </c>
      <c r="B342" t="s">
        <v>10</v>
      </c>
      <c r="C342">
        <v>1023</v>
      </c>
      <c r="D342">
        <v>321</v>
      </c>
      <c r="E342">
        <v>0.10285849771218999</v>
      </c>
      <c r="F342">
        <v>0.27064713791862099</v>
      </c>
      <c r="G342">
        <v>0.29763573627993301</v>
      </c>
      <c r="H342">
        <v>16.884500058076998</v>
      </c>
      <c r="I342">
        <v>3.3425085297025898</v>
      </c>
      <c r="J342">
        <v>-5.0206727705367999</v>
      </c>
      <c r="K342">
        <v>37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s">
        <v>10</v>
      </c>
      <c r="R342">
        <f>SUM(M342+P342)</f>
        <v>2</v>
      </c>
    </row>
    <row r="343" spans="1:18" x14ac:dyDescent="0.2">
      <c r="A343">
        <v>45760</v>
      </c>
      <c r="B343" t="s">
        <v>10</v>
      </c>
      <c r="C343">
        <v>80</v>
      </c>
      <c r="D343">
        <v>268</v>
      </c>
      <c r="E343">
        <v>2.31913549363711E-2</v>
      </c>
      <c r="F343">
        <v>0.26685955980963599</v>
      </c>
      <c r="G343">
        <v>0.141016751245085</v>
      </c>
      <c r="H343">
        <v>8.5578466616475506</v>
      </c>
      <c r="I343">
        <v>1.6691735050366601</v>
      </c>
      <c r="J343">
        <v>-5.1131025510279402</v>
      </c>
      <c r="K343">
        <v>45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s">
        <v>10</v>
      </c>
      <c r="R343">
        <f>SUM(M343+P343)</f>
        <v>2</v>
      </c>
    </row>
    <row r="344" spans="1:18" x14ac:dyDescent="0.2">
      <c r="A344">
        <v>45763</v>
      </c>
      <c r="B344" t="s">
        <v>10</v>
      </c>
      <c r="C344">
        <v>4</v>
      </c>
      <c r="D344">
        <v>348</v>
      </c>
      <c r="E344">
        <v>5.0627972651605201E-2</v>
      </c>
      <c r="F344">
        <v>0.21597399346608101</v>
      </c>
      <c r="G344">
        <v>0.31776515007887302</v>
      </c>
      <c r="H344">
        <v>16.573167652242201</v>
      </c>
      <c r="I344">
        <v>2.8919884128127902</v>
      </c>
      <c r="J344">
        <v>-5.7132108850742496</v>
      </c>
      <c r="K344">
        <v>30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s">
        <v>10</v>
      </c>
      <c r="R344">
        <f>SUM(M344+P344)</f>
        <v>2</v>
      </c>
    </row>
    <row r="345" spans="1:18" x14ac:dyDescent="0.2">
      <c r="A345">
        <v>45775</v>
      </c>
      <c r="B345" t="s">
        <v>10</v>
      </c>
      <c r="C345">
        <v>484.5</v>
      </c>
      <c r="D345">
        <v>370</v>
      </c>
      <c r="E345">
        <v>5.3216282814630797E-2</v>
      </c>
      <c r="F345">
        <v>0.21093377205573599</v>
      </c>
      <c r="G345">
        <v>0.193535375299135</v>
      </c>
      <c r="H345">
        <v>9.7243962235397792</v>
      </c>
      <c r="I345">
        <v>1.7956831205877399</v>
      </c>
      <c r="J345">
        <v>-5.3857943140656799</v>
      </c>
      <c r="K345">
        <v>22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s">
        <v>10</v>
      </c>
      <c r="R345">
        <f>SUM(M345+P345)</f>
        <v>2</v>
      </c>
    </row>
    <row r="346" spans="1:18" x14ac:dyDescent="0.2">
      <c r="A346">
        <v>45791</v>
      </c>
      <c r="B346" t="s">
        <v>10</v>
      </c>
      <c r="C346">
        <v>639.5</v>
      </c>
      <c r="D346">
        <v>294</v>
      </c>
      <c r="E346">
        <v>1.9225278991575199E-2</v>
      </c>
      <c r="F346">
        <v>0.14846891684940799</v>
      </c>
      <c r="G346">
        <v>0.136261070981719</v>
      </c>
      <c r="H346">
        <v>5.6521251377455597</v>
      </c>
      <c r="I346">
        <v>0.85233494885130801</v>
      </c>
      <c r="J346">
        <v>-6.6087866822138901</v>
      </c>
      <c r="K346">
        <v>28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s">
        <v>10</v>
      </c>
      <c r="R346">
        <f>SUM(M346+P346)</f>
        <v>2</v>
      </c>
    </row>
    <row r="347" spans="1:18" x14ac:dyDescent="0.2">
      <c r="A347">
        <v>45819</v>
      </c>
      <c r="B347" t="s">
        <v>10</v>
      </c>
      <c r="C347">
        <v>57</v>
      </c>
      <c r="D347">
        <v>296</v>
      </c>
      <c r="E347">
        <v>0.119449308548851</v>
      </c>
      <c r="F347">
        <v>0.26219047700777498</v>
      </c>
      <c r="G347">
        <v>0.14911832025222299</v>
      </c>
      <c r="H347">
        <v>10.047796650502899</v>
      </c>
      <c r="I347">
        <v>1.59079730851634</v>
      </c>
      <c r="J347">
        <v>-6.2411139928403001</v>
      </c>
      <c r="K347">
        <v>15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s">
        <v>10</v>
      </c>
      <c r="R347">
        <f>SUM(M347+P347)</f>
        <v>2</v>
      </c>
    </row>
    <row r="348" spans="1:18" x14ac:dyDescent="0.2">
      <c r="A348">
        <v>45905</v>
      </c>
      <c r="B348" t="s">
        <v>10</v>
      </c>
      <c r="C348">
        <v>1181.5</v>
      </c>
      <c r="D348">
        <v>323</v>
      </c>
      <c r="E348">
        <v>0.13432192269988699</v>
      </c>
      <c r="F348">
        <v>0.23166053649948101</v>
      </c>
      <c r="G348">
        <v>0.103690068830746</v>
      </c>
      <c r="H348">
        <v>5.1612021830981503</v>
      </c>
      <c r="I348">
        <v>0.94974730187469503</v>
      </c>
      <c r="J348">
        <v>-5.2928607962094301</v>
      </c>
      <c r="K348">
        <v>40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s">
        <v>10</v>
      </c>
      <c r="R348">
        <f>SUM(M348+P348)</f>
        <v>2</v>
      </c>
    </row>
    <row r="349" spans="1:18" x14ac:dyDescent="0.2">
      <c r="A349">
        <v>45948</v>
      </c>
      <c r="B349" t="s">
        <v>11</v>
      </c>
      <c r="C349">
        <v>113.5</v>
      </c>
      <c r="D349">
        <v>311</v>
      </c>
      <c r="E349">
        <v>0.155871380427235</v>
      </c>
      <c r="F349">
        <v>0.22591144493595899</v>
      </c>
      <c r="G349">
        <v>0.28882525756925098</v>
      </c>
      <c r="H349">
        <v>14.1924327134595</v>
      </c>
      <c r="I349">
        <v>2.8867091831100402</v>
      </c>
      <c r="J349">
        <v>-4.8624784980625497</v>
      </c>
      <c r="K349">
        <v>28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s">
        <v>11</v>
      </c>
      <c r="R349">
        <f>SUM(M349+P349)</f>
        <v>2</v>
      </c>
    </row>
    <row r="350" spans="1:18" x14ac:dyDescent="0.2">
      <c r="A350">
        <v>46126</v>
      </c>
      <c r="B350" t="s">
        <v>11</v>
      </c>
      <c r="C350">
        <v>263</v>
      </c>
      <c r="D350">
        <v>251</v>
      </c>
      <c r="E350">
        <v>6.61317896033186E-2</v>
      </c>
      <c r="F350">
        <v>0.31290428908949303</v>
      </c>
      <c r="G350">
        <v>0.15798136764022899</v>
      </c>
      <c r="H350">
        <v>13.7221523346351</v>
      </c>
      <c r="I350">
        <v>2.1771224087542498</v>
      </c>
      <c r="J350">
        <v>-6.2725092948933998</v>
      </c>
      <c r="K350">
        <v>40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s">
        <v>11</v>
      </c>
      <c r="R350">
        <f>SUM(M350+P350)</f>
        <v>2</v>
      </c>
    </row>
    <row r="351" spans="1:18" x14ac:dyDescent="0.2">
      <c r="A351">
        <v>46214</v>
      </c>
      <c r="B351" t="s">
        <v>11</v>
      </c>
      <c r="C351">
        <v>49.5</v>
      </c>
      <c r="D351">
        <v>292</v>
      </c>
      <c r="E351">
        <v>4.1587045312746103E-2</v>
      </c>
      <c r="F351">
        <v>0.32668359735894997</v>
      </c>
      <c r="G351">
        <v>1.9387549835373601E-2</v>
      </c>
      <c r="H351">
        <v>1.5714220789161499</v>
      </c>
      <c r="I351">
        <v>0.27391821155507201</v>
      </c>
      <c r="J351">
        <v>-5.5850066518699597</v>
      </c>
      <c r="K351">
        <v>27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s">
        <v>11</v>
      </c>
      <c r="R351">
        <f>SUM(M351+P351)</f>
        <v>2</v>
      </c>
    </row>
    <row r="352" spans="1:18" x14ac:dyDescent="0.2">
      <c r="A352">
        <v>46288</v>
      </c>
      <c r="B352" t="s">
        <v>10</v>
      </c>
      <c r="C352">
        <v>828</v>
      </c>
      <c r="D352">
        <v>358</v>
      </c>
      <c r="E352">
        <v>9.1850544758419195E-2</v>
      </c>
      <c r="F352">
        <v>0.26584221832066401</v>
      </c>
      <c r="G352">
        <v>0.28081119359142698</v>
      </c>
      <c r="H352">
        <v>18.271748760303598</v>
      </c>
      <c r="I352">
        <v>3.2207188951585999</v>
      </c>
      <c r="J352">
        <v>-5.6446708971941897</v>
      </c>
      <c r="K352">
        <v>19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s">
        <v>10</v>
      </c>
      <c r="R352">
        <f>SUM(M352+P352)</f>
        <v>2</v>
      </c>
    </row>
    <row r="353" spans="1:18" x14ac:dyDescent="0.2">
      <c r="A353">
        <v>46473</v>
      </c>
      <c r="B353" t="s">
        <v>10</v>
      </c>
      <c r="C353">
        <v>8</v>
      </c>
      <c r="D353">
        <v>326</v>
      </c>
      <c r="E353">
        <v>0.116743434333876</v>
      </c>
      <c r="F353">
        <v>0.28522032108888201</v>
      </c>
      <c r="G353">
        <v>0.228662222377299</v>
      </c>
      <c r="H353">
        <v>16.814593583808101</v>
      </c>
      <c r="I353">
        <v>2.57530676680503</v>
      </c>
      <c r="J353">
        <v>-6.4838295634153997</v>
      </c>
      <c r="K353">
        <v>32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s">
        <v>10</v>
      </c>
      <c r="R353">
        <f>SUM(M353+P353)</f>
        <v>2</v>
      </c>
    </row>
    <row r="354" spans="1:18" x14ac:dyDescent="0.2">
      <c r="A354">
        <v>46583</v>
      </c>
      <c r="B354" t="s">
        <v>10</v>
      </c>
      <c r="C354">
        <v>67.5</v>
      </c>
      <c r="D354">
        <v>294</v>
      </c>
      <c r="E354">
        <v>0.12069824974535</v>
      </c>
      <c r="F354">
        <v>0.28484184129429801</v>
      </c>
      <c r="G354">
        <v>0.134194917745491</v>
      </c>
      <c r="H354">
        <v>7.5567080007482001</v>
      </c>
      <c r="I354">
        <v>1.9532443098431</v>
      </c>
      <c r="J354">
        <v>-3.8070044354052999</v>
      </c>
      <c r="K354">
        <v>38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s">
        <v>10</v>
      </c>
      <c r="R354">
        <f>SUM(M354+P354)</f>
        <v>2</v>
      </c>
    </row>
    <row r="355" spans="1:18" x14ac:dyDescent="0.2">
      <c r="A355">
        <v>46603</v>
      </c>
      <c r="B355" t="s">
        <v>10</v>
      </c>
      <c r="C355">
        <v>715</v>
      </c>
      <c r="D355">
        <v>295</v>
      </c>
      <c r="E355">
        <v>0.14498267124883499</v>
      </c>
      <c r="F355">
        <v>0.27325788246111299</v>
      </c>
      <c r="G355">
        <v>0.23526346734057399</v>
      </c>
      <c r="H355">
        <v>16.883057254958398</v>
      </c>
      <c r="I355">
        <v>2.7509859017754099</v>
      </c>
      <c r="J355">
        <v>-6.0843912623860499</v>
      </c>
      <c r="K355">
        <v>30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s">
        <v>10</v>
      </c>
      <c r="R355">
        <f>SUM(M355+P355)</f>
        <v>2</v>
      </c>
    </row>
    <row r="356" spans="1:18" x14ac:dyDescent="0.2">
      <c r="A356">
        <v>46613</v>
      </c>
      <c r="B356" t="s">
        <v>10</v>
      </c>
      <c r="C356">
        <v>43.5</v>
      </c>
      <c r="D356">
        <v>292</v>
      </c>
      <c r="E356">
        <v>0.188243175785547</v>
      </c>
      <c r="F356">
        <v>0.27176423932486898</v>
      </c>
      <c r="G356">
        <v>0.33139272513156898</v>
      </c>
      <c r="H356">
        <v>24.260974561642101</v>
      </c>
      <c r="I356">
        <v>3.9116420455552801</v>
      </c>
      <c r="J356">
        <v>-6.1541243052160004</v>
      </c>
      <c r="K356">
        <v>43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s">
        <v>10</v>
      </c>
      <c r="R356">
        <f>SUM(M356+P356)</f>
        <v>2</v>
      </c>
    </row>
    <row r="357" spans="1:18" x14ac:dyDescent="0.2">
      <c r="A357">
        <v>46636</v>
      </c>
      <c r="B357" t="s">
        <v>10</v>
      </c>
      <c r="C357">
        <v>298</v>
      </c>
      <c r="D357">
        <v>360</v>
      </c>
      <c r="E357">
        <v>0.108810151271514</v>
      </c>
      <c r="F357">
        <v>0.176462823110075</v>
      </c>
      <c r="G357">
        <v>0.219778325242666</v>
      </c>
      <c r="H357">
        <v>10.5219853641832</v>
      </c>
      <c r="I357">
        <v>1.5893458359494199</v>
      </c>
      <c r="J357">
        <v>-6.5518623935559201</v>
      </c>
      <c r="K357">
        <v>39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s">
        <v>10</v>
      </c>
      <c r="R357">
        <f>SUM(M357+P357)</f>
        <v>2</v>
      </c>
    </row>
    <row r="358" spans="1:18" x14ac:dyDescent="0.2">
      <c r="A358">
        <v>46706</v>
      </c>
      <c r="B358" t="s">
        <v>10</v>
      </c>
      <c r="C358">
        <v>4186.5</v>
      </c>
      <c r="D358">
        <v>377</v>
      </c>
      <c r="E358">
        <v>0.13095366847093901</v>
      </c>
      <c r="F358">
        <v>0.13543198595686201</v>
      </c>
      <c r="G358">
        <v>0.159916187436144</v>
      </c>
      <c r="H358">
        <v>5.0578341045836801</v>
      </c>
      <c r="I358">
        <v>0.93593623607461796</v>
      </c>
      <c r="J358">
        <v>-5.2641197618081597</v>
      </c>
      <c r="K358">
        <v>35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s">
        <v>10</v>
      </c>
      <c r="R358">
        <f>SUM(M358+P358)</f>
        <v>2</v>
      </c>
    </row>
    <row r="359" spans="1:18" x14ac:dyDescent="0.2">
      <c r="A359">
        <v>46740</v>
      </c>
      <c r="B359" t="s">
        <v>10</v>
      </c>
      <c r="C359">
        <v>9</v>
      </c>
      <c r="D359">
        <v>366</v>
      </c>
      <c r="E359">
        <v>9.17446864548703E-2</v>
      </c>
      <c r="F359">
        <v>7.9366273342697802E-2</v>
      </c>
      <c r="G359">
        <v>0.18769622198966299</v>
      </c>
      <c r="H359">
        <v>4.0052037443907702</v>
      </c>
      <c r="I359">
        <v>0.60652180035829095</v>
      </c>
      <c r="J359">
        <v>-6.4522974369991397</v>
      </c>
      <c r="K359">
        <v>25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s">
        <v>10</v>
      </c>
      <c r="R359">
        <f>SUM(M359+P359)</f>
        <v>2</v>
      </c>
    </row>
    <row r="360" spans="1:18" x14ac:dyDescent="0.2">
      <c r="A360">
        <v>46742</v>
      </c>
      <c r="B360" t="s">
        <v>10</v>
      </c>
      <c r="C360">
        <v>19.5</v>
      </c>
      <c r="D360">
        <v>325</v>
      </c>
      <c r="E360">
        <v>8.7861576649774106E-2</v>
      </c>
      <c r="F360">
        <v>0.322300361993553</v>
      </c>
      <c r="G360">
        <v>0.23938682029290101</v>
      </c>
      <c r="H360">
        <v>17.396351055982802</v>
      </c>
      <c r="I360">
        <v>2.8918268108709899</v>
      </c>
      <c r="J360">
        <v>-5.9853133023965199</v>
      </c>
      <c r="K360">
        <v>25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s">
        <v>10</v>
      </c>
      <c r="R360">
        <f>SUM(M360+P360)</f>
        <v>2</v>
      </c>
    </row>
    <row r="361" spans="1:18" x14ac:dyDescent="0.2">
      <c r="A361">
        <v>46746</v>
      </c>
      <c r="B361" t="s">
        <v>10</v>
      </c>
      <c r="C361">
        <v>77.5</v>
      </c>
      <c r="D361">
        <v>335</v>
      </c>
      <c r="E361">
        <v>7.4811884686079702E-2</v>
      </c>
      <c r="F361">
        <v>0.29522666337533598</v>
      </c>
      <c r="G361">
        <v>0.123587297480606</v>
      </c>
      <c r="H361">
        <v>8.3706570133394091</v>
      </c>
      <c r="I361">
        <v>1.5231100822499199</v>
      </c>
      <c r="J361">
        <v>-5.4466484237296804</v>
      </c>
      <c r="K361">
        <v>42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s">
        <v>10</v>
      </c>
      <c r="R361">
        <f>SUM(M361+P361)</f>
        <v>2</v>
      </c>
    </row>
    <row r="362" spans="1:18" x14ac:dyDescent="0.2">
      <c r="A362">
        <v>46811</v>
      </c>
      <c r="B362" t="s">
        <v>10</v>
      </c>
      <c r="C362">
        <v>49</v>
      </c>
      <c r="D362">
        <v>364</v>
      </c>
      <c r="E362">
        <v>4.8144588469994601E-2</v>
      </c>
      <c r="F362">
        <v>0.30815994914190398</v>
      </c>
      <c r="G362">
        <v>2.3044099679111502E-2</v>
      </c>
      <c r="H362">
        <v>1.8957286554313899</v>
      </c>
      <c r="I362">
        <v>0.29088034983225702</v>
      </c>
      <c r="J362">
        <v>-6.3516977617320798</v>
      </c>
      <c r="K362">
        <v>42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s">
        <v>10</v>
      </c>
      <c r="R362">
        <f>SUM(M362+P362)</f>
        <v>2</v>
      </c>
    </row>
    <row r="363" spans="1:18" x14ac:dyDescent="0.2">
      <c r="A363">
        <v>46868</v>
      </c>
      <c r="B363" t="s">
        <v>10</v>
      </c>
      <c r="C363">
        <v>59.5</v>
      </c>
      <c r="D363">
        <v>363</v>
      </c>
      <c r="E363">
        <v>0.110070028841057</v>
      </c>
      <c r="F363">
        <v>0.216179173135436</v>
      </c>
      <c r="G363">
        <v>0.24604526636531199</v>
      </c>
      <c r="H363">
        <v>15.0791392425739</v>
      </c>
      <c r="I363">
        <v>2.2200731548027099</v>
      </c>
      <c r="J363">
        <v>-6.7426017837971299</v>
      </c>
      <c r="K363">
        <v>45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s">
        <v>10</v>
      </c>
      <c r="R363">
        <f>SUM(M363+P363)</f>
        <v>2</v>
      </c>
    </row>
    <row r="364" spans="1:18" x14ac:dyDescent="0.2">
      <c r="A364">
        <v>47191</v>
      </c>
      <c r="B364" t="s">
        <v>10</v>
      </c>
      <c r="C364">
        <v>175.5</v>
      </c>
      <c r="D364">
        <v>261</v>
      </c>
      <c r="E364">
        <v>7.2029022417788094E-2</v>
      </c>
      <c r="F364">
        <v>0.29221095416751403</v>
      </c>
      <c r="G364">
        <v>0.156513324529063</v>
      </c>
      <c r="H364">
        <v>5.7812127847524204</v>
      </c>
      <c r="I364">
        <v>1.9518356459738699</v>
      </c>
      <c r="J364">
        <v>-2.9250330447193198</v>
      </c>
      <c r="K364">
        <v>20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s">
        <v>10</v>
      </c>
      <c r="R364">
        <f>SUM(M364+P364)</f>
        <v>2</v>
      </c>
    </row>
    <row r="365" spans="1:18" x14ac:dyDescent="0.2">
      <c r="A365">
        <v>47246</v>
      </c>
      <c r="B365" t="s">
        <v>10</v>
      </c>
      <c r="C365">
        <v>2032</v>
      </c>
      <c r="D365">
        <v>288</v>
      </c>
      <c r="E365">
        <v>0.17836250991779901</v>
      </c>
      <c r="F365">
        <v>0.33203312203973401</v>
      </c>
      <c r="G365">
        <v>5.7439836455522399E-2</v>
      </c>
      <c r="H365">
        <v>4.9422150681049803</v>
      </c>
      <c r="I365">
        <v>0.71439034444106198</v>
      </c>
      <c r="J365">
        <v>-6.6684167769854303</v>
      </c>
      <c r="K365">
        <v>25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s">
        <v>10</v>
      </c>
      <c r="R365">
        <f>SUM(M365+P365)</f>
        <v>2</v>
      </c>
    </row>
    <row r="366" spans="1:18" x14ac:dyDescent="0.2">
      <c r="A366">
        <v>48522</v>
      </c>
      <c r="B366" t="s">
        <v>11</v>
      </c>
      <c r="C366">
        <v>1239.5</v>
      </c>
      <c r="D366">
        <v>284</v>
      </c>
      <c r="E366">
        <v>0.12503450603980401</v>
      </c>
      <c r="F366">
        <v>0.21223379879409099</v>
      </c>
      <c r="G366">
        <v>0.25640563440512298</v>
      </c>
      <c r="H366">
        <v>13.783452740860501</v>
      </c>
      <c r="I366">
        <v>2.58144328727409</v>
      </c>
      <c r="J366">
        <v>-5.2910006980023399</v>
      </c>
      <c r="K366">
        <v>35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s">
        <v>11</v>
      </c>
      <c r="R366">
        <f>SUM(M366+P366)</f>
        <v>2</v>
      </c>
    </row>
    <row r="367" spans="1:18" x14ac:dyDescent="0.2">
      <c r="A367">
        <v>48989</v>
      </c>
      <c r="B367" t="s">
        <v>10</v>
      </c>
      <c r="C367">
        <v>87</v>
      </c>
      <c r="D367">
        <v>246</v>
      </c>
      <c r="E367">
        <v>4.2147935528924499E-2</v>
      </c>
      <c r="F367">
        <v>0.22550611284844199</v>
      </c>
      <c r="G367">
        <v>0.14110057944964099</v>
      </c>
      <c r="H367">
        <v>7.89138310846457</v>
      </c>
      <c r="I367">
        <v>1.44183678163967</v>
      </c>
      <c r="J367">
        <v>-5.4439138138849703</v>
      </c>
      <c r="K367">
        <v>20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s">
        <v>10</v>
      </c>
      <c r="R367">
        <f>SUM(M367+P367)</f>
        <v>2</v>
      </c>
    </row>
    <row r="368" spans="1:18" x14ac:dyDescent="0.2">
      <c r="A368">
        <v>49395</v>
      </c>
      <c r="B368" t="s">
        <v>11</v>
      </c>
      <c r="C368">
        <v>47</v>
      </c>
      <c r="D368">
        <v>191</v>
      </c>
      <c r="E368">
        <v>1.6420565603299499E-2</v>
      </c>
      <c r="F368">
        <v>0.237479189181275</v>
      </c>
      <c r="G368">
        <v>0.244323277844331</v>
      </c>
      <c r="H368">
        <v>15.5384774191832</v>
      </c>
      <c r="I368">
        <v>2.5108314773888498</v>
      </c>
      <c r="J368">
        <v>-6.1820384973515301</v>
      </c>
      <c r="K368">
        <v>22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s">
        <v>11</v>
      </c>
      <c r="R368">
        <f>SUM(M368+P368)</f>
        <v>2</v>
      </c>
    </row>
    <row r="369" spans="1:18" x14ac:dyDescent="0.2">
      <c r="A369">
        <v>49733</v>
      </c>
      <c r="B369" t="s">
        <v>11</v>
      </c>
      <c r="C369">
        <v>0</v>
      </c>
      <c r="D369">
        <v>371</v>
      </c>
      <c r="E369">
        <v>4.0392539579267001E-2</v>
      </c>
      <c r="F369">
        <v>0.29919680767849499</v>
      </c>
      <c r="G369">
        <v>1.7246825465915001E-2</v>
      </c>
      <c r="H369">
        <v>1.07492254546581</v>
      </c>
      <c r="I369">
        <v>0.16668738667973901</v>
      </c>
      <c r="J369">
        <v>-6.2064084541334701</v>
      </c>
      <c r="K369">
        <v>22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s">
        <v>11</v>
      </c>
      <c r="R369">
        <f>SUM(M369+P369)</f>
        <v>2</v>
      </c>
    </row>
    <row r="370" spans="1:18" x14ac:dyDescent="0.2">
      <c r="A370">
        <v>50392</v>
      </c>
      <c r="B370" t="s">
        <v>11</v>
      </c>
      <c r="C370">
        <v>3852</v>
      </c>
      <c r="D370">
        <v>360</v>
      </c>
      <c r="E370">
        <v>0.13900288121585</v>
      </c>
      <c r="F370">
        <v>0.283564067918119</v>
      </c>
      <c r="G370">
        <v>5.9912362430954998E-2</v>
      </c>
      <c r="H370">
        <v>3.6237397371034001</v>
      </c>
      <c r="I370">
        <v>0.68288598380774801</v>
      </c>
      <c r="J370">
        <v>-5.1029556009581301</v>
      </c>
      <c r="K370">
        <v>24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s">
        <v>11</v>
      </c>
      <c r="R370">
        <f>SUM(M370+P370)</f>
        <v>2</v>
      </c>
    </row>
    <row r="371" spans="1:18" x14ac:dyDescent="0.2">
      <c r="A371">
        <v>53343</v>
      </c>
      <c r="B371" t="s">
        <v>10</v>
      </c>
      <c r="C371">
        <v>2291</v>
      </c>
      <c r="D371">
        <v>376</v>
      </c>
      <c r="E371">
        <v>0.100268562602551</v>
      </c>
      <c r="F371">
        <v>0.21984841151607901</v>
      </c>
      <c r="G371">
        <v>0.35454934578692399</v>
      </c>
      <c r="H371">
        <v>16.0043096450101</v>
      </c>
      <c r="I371">
        <v>3.3237847425997802</v>
      </c>
      <c r="J371">
        <v>-4.7849190949615599</v>
      </c>
      <c r="K371">
        <v>41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s">
        <v>10</v>
      </c>
      <c r="R371">
        <f>SUM(M371+P371)</f>
        <v>2</v>
      </c>
    </row>
    <row r="372" spans="1:18" x14ac:dyDescent="0.2">
      <c r="A372">
        <v>53351</v>
      </c>
      <c r="B372" t="s">
        <v>10</v>
      </c>
      <c r="C372">
        <v>34.5</v>
      </c>
      <c r="D372">
        <v>265</v>
      </c>
      <c r="E372">
        <v>0.163057782491004</v>
      </c>
      <c r="F372">
        <v>0.26145345600997799</v>
      </c>
      <c r="G372">
        <v>0.25466164714012801</v>
      </c>
      <c r="H372">
        <v>17.551571391932299</v>
      </c>
      <c r="I372">
        <v>2.6374901742244901</v>
      </c>
      <c r="J372">
        <v>-6.59282592950479</v>
      </c>
      <c r="K372">
        <v>26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s">
        <v>10</v>
      </c>
      <c r="R372">
        <f>SUM(M372+P372)</f>
        <v>2</v>
      </c>
    </row>
    <row r="373" spans="1:18" x14ac:dyDescent="0.2">
      <c r="A373">
        <v>53357</v>
      </c>
      <c r="B373" t="s">
        <v>10</v>
      </c>
      <c r="C373">
        <v>901.5</v>
      </c>
      <c r="D373">
        <v>316</v>
      </c>
      <c r="E373">
        <v>0.12935538800770399</v>
      </c>
      <c r="F373">
        <v>0.20387660200854599</v>
      </c>
      <c r="G373">
        <v>0.27773163334142098</v>
      </c>
      <c r="H373">
        <v>14.762565997842501</v>
      </c>
      <c r="I373">
        <v>2.2668401062181598</v>
      </c>
      <c r="J373">
        <v>-6.4553342645096796</v>
      </c>
      <c r="K373">
        <v>45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s">
        <v>10</v>
      </c>
      <c r="R373">
        <f>SUM(M373+P373)</f>
        <v>2</v>
      </c>
    </row>
    <row r="374" spans="1:18" x14ac:dyDescent="0.2">
      <c r="A374">
        <v>53432</v>
      </c>
      <c r="B374" t="s">
        <v>10</v>
      </c>
      <c r="C374">
        <v>442.5</v>
      </c>
      <c r="D374">
        <v>330</v>
      </c>
      <c r="E374">
        <v>0.17580717735777199</v>
      </c>
      <c r="F374">
        <v>0.22107606395197499</v>
      </c>
      <c r="G374">
        <v>0.28494420388226299</v>
      </c>
      <c r="H374">
        <v>16.2053441321058</v>
      </c>
      <c r="I374">
        <v>2.74532548146321</v>
      </c>
      <c r="J374">
        <v>-5.8388475475791601</v>
      </c>
      <c r="K374">
        <v>39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s">
        <v>10</v>
      </c>
      <c r="R374">
        <f>SUM(M374+P374)</f>
        <v>2</v>
      </c>
    </row>
    <row r="375" spans="1:18" x14ac:dyDescent="0.2">
      <c r="A375">
        <v>53461</v>
      </c>
      <c r="B375" t="s">
        <v>10</v>
      </c>
      <c r="C375">
        <v>35.5</v>
      </c>
      <c r="D375">
        <v>263</v>
      </c>
      <c r="E375">
        <v>0.13808675540946699</v>
      </c>
      <c r="F375">
        <v>0.133532375516806</v>
      </c>
      <c r="G375">
        <v>0.25094678487320599</v>
      </c>
      <c r="H375">
        <v>8.9118638883986705</v>
      </c>
      <c r="I375">
        <v>1.3764348976390699</v>
      </c>
      <c r="J375">
        <v>-6.3742768713859697</v>
      </c>
      <c r="K375" s="5">
        <v>19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s">
        <v>10</v>
      </c>
      <c r="R375">
        <f>SUM(M375+P375)</f>
        <v>2</v>
      </c>
    </row>
    <row r="376" spans="1:18" x14ac:dyDescent="0.2">
      <c r="A376">
        <v>53494</v>
      </c>
      <c r="B376" t="s">
        <v>10</v>
      </c>
      <c r="C376">
        <v>2611.5</v>
      </c>
      <c r="D376">
        <v>261</v>
      </c>
      <c r="E376">
        <v>7.3922103473101505E-2</v>
      </c>
      <c r="F376">
        <v>0.17081778209284501</v>
      </c>
      <c r="G376">
        <v>0.32706956529513598</v>
      </c>
      <c r="H376">
        <v>11.316498528501301</v>
      </c>
      <c r="I376">
        <v>2.6195789345272198</v>
      </c>
      <c r="J376">
        <v>-4.2917494398989398</v>
      </c>
      <c r="K376">
        <v>44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s">
        <v>10</v>
      </c>
      <c r="R376">
        <f>SUM(M376+P376)</f>
        <v>2</v>
      </c>
    </row>
    <row r="377" spans="1:18" x14ac:dyDescent="0.2">
      <c r="A377">
        <v>53725</v>
      </c>
      <c r="B377" t="s">
        <v>10</v>
      </c>
      <c r="C377">
        <v>21.5</v>
      </c>
      <c r="D377">
        <v>275</v>
      </c>
      <c r="E377">
        <v>0.11964204253029501</v>
      </c>
      <c r="F377">
        <v>0.21662283195467399</v>
      </c>
      <c r="G377">
        <v>0.23884891608397901</v>
      </c>
      <c r="H377">
        <v>13.628298259997999</v>
      </c>
      <c r="I377">
        <v>2.22906826978988</v>
      </c>
      <c r="J377">
        <v>-6.06022543165136</v>
      </c>
      <c r="K377">
        <v>41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s">
        <v>10</v>
      </c>
      <c r="R377">
        <f>SUM(M377+P377)</f>
        <v>2</v>
      </c>
    </row>
    <row r="378" spans="1:18" x14ac:dyDescent="0.2">
      <c r="A378">
        <v>53727</v>
      </c>
      <c r="B378" t="s">
        <v>10</v>
      </c>
      <c r="C378">
        <v>501.5</v>
      </c>
      <c r="D378">
        <v>264</v>
      </c>
      <c r="E378">
        <v>0.20159594346898199</v>
      </c>
      <c r="F378">
        <v>0.28158013697025203</v>
      </c>
      <c r="G378">
        <v>3.3682197918100502E-2</v>
      </c>
      <c r="H378">
        <v>2.5270364868906898</v>
      </c>
      <c r="I378">
        <v>0.36710207553662599</v>
      </c>
      <c r="J378">
        <v>-6.3345883839594297</v>
      </c>
      <c r="K378" s="5">
        <v>11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s">
        <v>10</v>
      </c>
      <c r="R378">
        <f>SUM(M378+P378)</f>
        <v>2</v>
      </c>
    </row>
    <row r="379" spans="1:18" x14ac:dyDescent="0.2">
      <c r="A379">
        <v>53730</v>
      </c>
      <c r="B379" t="s">
        <v>10</v>
      </c>
      <c r="C379">
        <v>678</v>
      </c>
      <c r="D379">
        <v>325</v>
      </c>
      <c r="E379">
        <v>0.19753100856779801</v>
      </c>
      <c r="F379">
        <v>0.31465286098567002</v>
      </c>
      <c r="G379">
        <v>0.118947664632157</v>
      </c>
      <c r="H379">
        <v>6.4922478412488198</v>
      </c>
      <c r="I379">
        <v>1.5288521989525501</v>
      </c>
      <c r="J379">
        <v>-4.1172827805027001</v>
      </c>
      <c r="K379">
        <v>25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s">
        <v>10</v>
      </c>
      <c r="R379">
        <f>SUM(M379+P379)</f>
        <v>2</v>
      </c>
    </row>
    <row r="380" spans="1:18" x14ac:dyDescent="0.2">
      <c r="A380">
        <v>53732</v>
      </c>
      <c r="B380" t="s">
        <v>10</v>
      </c>
      <c r="C380">
        <v>0</v>
      </c>
      <c r="D380">
        <v>266</v>
      </c>
      <c r="E380">
        <v>2.8041915838252E-2</v>
      </c>
      <c r="F380">
        <v>0.2463899987206</v>
      </c>
      <c r="G380">
        <v>0.31431598463465299</v>
      </c>
      <c r="H380">
        <v>15.347817936470999</v>
      </c>
      <c r="I380">
        <v>2.7463893651070101</v>
      </c>
      <c r="J380">
        <v>-5.5781515233313597</v>
      </c>
      <c r="K380">
        <v>9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s">
        <v>10</v>
      </c>
      <c r="R380">
        <f>SUM(M380+P380)</f>
        <v>2</v>
      </c>
    </row>
    <row r="381" spans="1:18" x14ac:dyDescent="0.2">
      <c r="A381">
        <v>53751</v>
      </c>
      <c r="B381" t="s">
        <v>10</v>
      </c>
      <c r="C381">
        <v>5</v>
      </c>
      <c r="D381">
        <v>450</v>
      </c>
      <c r="E381">
        <v>5.8862018478315799E-2</v>
      </c>
      <c r="F381">
        <v>0.34067611950986199</v>
      </c>
      <c r="G381">
        <v>0.216944308267356</v>
      </c>
      <c r="H381">
        <v>15.494786675417799</v>
      </c>
      <c r="I381">
        <v>2.81241723266902</v>
      </c>
      <c r="J381">
        <v>-5.4884902843133796</v>
      </c>
      <c r="K381" s="5">
        <v>13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s">
        <v>10</v>
      </c>
      <c r="R381">
        <f>SUM(M381+P381)</f>
        <v>2</v>
      </c>
    </row>
    <row r="382" spans="1:18" x14ac:dyDescent="0.2">
      <c r="A382">
        <v>53759</v>
      </c>
      <c r="B382" t="s">
        <v>10</v>
      </c>
      <c r="C382">
        <v>12</v>
      </c>
      <c r="D382">
        <v>334</v>
      </c>
      <c r="E382">
        <v>3.4930665344230998E-2</v>
      </c>
      <c r="F382">
        <v>0.25144837003298098</v>
      </c>
      <c r="G382">
        <v>0.19401148787338199</v>
      </c>
      <c r="H382">
        <v>11.3667701497435</v>
      </c>
      <c r="I382">
        <v>1.95092466611996</v>
      </c>
      <c r="J382">
        <v>-5.8084454418920597</v>
      </c>
      <c r="K382">
        <v>27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s">
        <v>10</v>
      </c>
      <c r="R382">
        <f>SUM(M382+P382)</f>
        <v>2</v>
      </c>
    </row>
    <row r="383" spans="1:18" x14ac:dyDescent="0.2">
      <c r="A383">
        <v>55397</v>
      </c>
      <c r="B383" t="s">
        <v>10</v>
      </c>
      <c r="C383">
        <v>332</v>
      </c>
      <c r="D383">
        <v>395</v>
      </c>
      <c r="E383">
        <v>0.13181872605364001</v>
      </c>
      <c r="F383">
        <v>0.18404140087443099</v>
      </c>
      <c r="G383">
        <v>0.284694366670804</v>
      </c>
      <c r="H383">
        <v>12.426705078125</v>
      </c>
      <c r="I383">
        <v>2.1356444457790098</v>
      </c>
      <c r="J383">
        <v>-5.7569912334291198</v>
      </c>
      <c r="K383">
        <v>27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s">
        <v>10</v>
      </c>
      <c r="R383">
        <f>SUM(M383+P383)</f>
        <v>2</v>
      </c>
    </row>
    <row r="384" spans="1:18" x14ac:dyDescent="0.2">
      <c r="A384">
        <v>55459</v>
      </c>
      <c r="B384" t="s">
        <v>10</v>
      </c>
      <c r="C384">
        <v>0</v>
      </c>
      <c r="D384">
        <v>343</v>
      </c>
      <c r="E384">
        <v>3.5156342959472599E-2</v>
      </c>
      <c r="F384">
        <v>0.25009294715573899</v>
      </c>
      <c r="G384">
        <v>0.116412651981636</v>
      </c>
      <c r="H384">
        <v>6.8607976006416402</v>
      </c>
      <c r="I384">
        <v>1.28640293270767</v>
      </c>
      <c r="J384">
        <v>-5.3059901249721797</v>
      </c>
      <c r="K384">
        <v>28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s">
        <v>10</v>
      </c>
      <c r="R384">
        <f>SUM(M384+P384)</f>
        <v>2</v>
      </c>
    </row>
    <row r="385" spans="1:18" x14ac:dyDescent="0.2">
      <c r="A385">
        <v>55515</v>
      </c>
      <c r="B385" t="s">
        <v>10</v>
      </c>
      <c r="C385">
        <v>913</v>
      </c>
      <c r="D385">
        <v>346</v>
      </c>
      <c r="E385">
        <v>6.6180890344582202E-2</v>
      </c>
      <c r="F385">
        <v>0.22005858631175099</v>
      </c>
      <c r="G385">
        <v>0.18991523790092801</v>
      </c>
      <c r="H385">
        <v>10.4260261766045</v>
      </c>
      <c r="I385">
        <v>1.62721299602542</v>
      </c>
      <c r="J385">
        <v>-6.3666190668121496</v>
      </c>
      <c r="K385">
        <v>29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s">
        <v>10</v>
      </c>
      <c r="R385">
        <f>SUM(M385+P385)</f>
        <v>2</v>
      </c>
    </row>
    <row r="386" spans="1:18" x14ac:dyDescent="0.2">
      <c r="A386">
        <v>56173</v>
      </c>
      <c r="B386" t="s">
        <v>10</v>
      </c>
      <c r="C386">
        <v>169.5</v>
      </c>
      <c r="D386">
        <v>243</v>
      </c>
      <c r="E386">
        <v>0.119705233255518</v>
      </c>
      <c r="F386">
        <v>0.18347401035065899</v>
      </c>
      <c r="G386">
        <v>0.25261599790518002</v>
      </c>
      <c r="H386">
        <v>11.3743187968029</v>
      </c>
      <c r="I386">
        <v>1.9619670109046099</v>
      </c>
      <c r="J386">
        <v>-5.7363928654224399</v>
      </c>
      <c r="K386" s="5">
        <v>13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s">
        <v>10</v>
      </c>
      <c r="R386">
        <f>SUM(M386+P386)</f>
        <v>2</v>
      </c>
    </row>
    <row r="387" spans="1:18" x14ac:dyDescent="0.2">
      <c r="A387">
        <v>59738</v>
      </c>
      <c r="B387" t="s">
        <v>10</v>
      </c>
      <c r="C387">
        <v>26.5</v>
      </c>
      <c r="D387">
        <v>302</v>
      </c>
      <c r="E387">
        <v>0.12804166963215999</v>
      </c>
      <c r="F387">
        <v>0.32298382053401398</v>
      </c>
      <c r="G387">
        <v>4.5788447504800198E-2</v>
      </c>
      <c r="H387">
        <v>2.1167363122086398</v>
      </c>
      <c r="I387">
        <v>0.58075493480907303</v>
      </c>
      <c r="J387">
        <v>-3.4243267226481202</v>
      </c>
      <c r="K387">
        <v>9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s">
        <v>10</v>
      </c>
      <c r="R387">
        <f>SUM(M387+P387)</f>
        <v>2</v>
      </c>
    </row>
    <row r="388" spans="1:18" x14ac:dyDescent="0.2">
      <c r="A388">
        <v>59741</v>
      </c>
      <c r="B388" t="s">
        <v>10</v>
      </c>
      <c r="C388">
        <v>46.5</v>
      </c>
      <c r="D388">
        <v>455</v>
      </c>
      <c r="E388">
        <v>0.113812510955851</v>
      </c>
      <c r="F388">
        <v>0.27505162181795101</v>
      </c>
      <c r="G388">
        <v>0.27944435202124002</v>
      </c>
      <c r="H388">
        <v>16.480697069153301</v>
      </c>
      <c r="I388">
        <v>3.7850835887444001</v>
      </c>
      <c r="J388">
        <v>-4.3240483795040197</v>
      </c>
      <c r="K388">
        <v>11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s">
        <v>10</v>
      </c>
      <c r="R388">
        <f>SUM(M388+P388)</f>
        <v>2</v>
      </c>
    </row>
    <row r="389" spans="1:18" x14ac:dyDescent="0.2">
      <c r="A389">
        <v>59742</v>
      </c>
      <c r="B389" t="s">
        <v>10</v>
      </c>
      <c r="C389">
        <v>163.5</v>
      </c>
      <c r="D389">
        <v>244</v>
      </c>
      <c r="E389">
        <v>0.118373895715964</v>
      </c>
      <c r="F389">
        <v>0.31850785354466798</v>
      </c>
      <c r="G389">
        <v>6.1369587778112099E-2</v>
      </c>
      <c r="H389">
        <v>4.3154832102471596</v>
      </c>
      <c r="I389">
        <v>0.768408403649535</v>
      </c>
      <c r="J389">
        <v>-5.4620814850503097</v>
      </c>
      <c r="K389">
        <v>9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s">
        <v>10</v>
      </c>
      <c r="R389">
        <f>SUM(M389+P389)</f>
        <v>2</v>
      </c>
    </row>
    <row r="390" spans="1:18" x14ac:dyDescent="0.2">
      <c r="A390">
        <v>59749</v>
      </c>
      <c r="B390" t="s">
        <v>10</v>
      </c>
      <c r="C390">
        <v>830</v>
      </c>
      <c r="D390">
        <v>462</v>
      </c>
      <c r="E390">
        <v>0.115726572436956</v>
      </c>
      <c r="F390">
        <v>0.26056931369026198</v>
      </c>
      <c r="G390">
        <v>3.0593088523465602E-2</v>
      </c>
      <c r="H390">
        <v>2.0101990966324101</v>
      </c>
      <c r="I390">
        <v>0.305993453519327</v>
      </c>
      <c r="J390">
        <v>-6.1912191336335001</v>
      </c>
      <c r="K390">
        <v>13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s">
        <v>10</v>
      </c>
      <c r="R390">
        <f>SUM(M390+P390)</f>
        <v>2</v>
      </c>
    </row>
    <row r="391" spans="1:18" x14ac:dyDescent="0.2">
      <c r="A391">
        <v>59750</v>
      </c>
      <c r="B391" t="s">
        <v>10</v>
      </c>
      <c r="C391">
        <v>21.5</v>
      </c>
      <c r="D391">
        <v>374</v>
      </c>
      <c r="E391">
        <v>3.9581743649878903E-2</v>
      </c>
      <c r="F391">
        <v>0.25993044122827302</v>
      </c>
      <c r="G391">
        <v>0.21329957124707299</v>
      </c>
      <c r="H391">
        <v>13.7303782070327</v>
      </c>
      <c r="I391">
        <v>2.2994928180476299</v>
      </c>
      <c r="J391">
        <v>-5.9538331043829196</v>
      </c>
      <c r="K391" s="5">
        <v>19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s">
        <v>10</v>
      </c>
      <c r="R391">
        <f>SUM(M391+P391)</f>
        <v>2</v>
      </c>
    </row>
    <row r="392" spans="1:18" x14ac:dyDescent="0.2">
      <c r="A392">
        <v>59752</v>
      </c>
      <c r="B392" t="s">
        <v>10</v>
      </c>
      <c r="C392">
        <v>620.5</v>
      </c>
      <c r="D392">
        <v>334</v>
      </c>
      <c r="E392">
        <v>8.5574863273187404E-2</v>
      </c>
      <c r="F392">
        <v>0.244259607479133</v>
      </c>
      <c r="G392">
        <v>0.31161989849633498</v>
      </c>
      <c r="H392">
        <v>19.052682225575399</v>
      </c>
      <c r="I392">
        <v>3.32627271307696</v>
      </c>
      <c r="J392">
        <v>-5.7022105516888697</v>
      </c>
      <c r="K392">
        <v>18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s">
        <v>10</v>
      </c>
      <c r="R392">
        <f>SUM(M392+P392)</f>
        <v>2</v>
      </c>
    </row>
    <row r="393" spans="1:18" x14ac:dyDescent="0.2">
      <c r="A393">
        <v>59778</v>
      </c>
      <c r="B393" t="s">
        <v>10</v>
      </c>
      <c r="C393">
        <v>63.379867699997703</v>
      </c>
      <c r="D393">
        <v>351</v>
      </c>
      <c r="E393">
        <v>0.10647549297707801</v>
      </c>
      <c r="F393">
        <v>0.232079652251621</v>
      </c>
      <c r="G393">
        <v>9.2046359423460497E-2</v>
      </c>
      <c r="H393">
        <v>5.6327540114076298</v>
      </c>
      <c r="I393">
        <v>0.89308751069148995</v>
      </c>
      <c r="J393">
        <v>-6.1878354050116799</v>
      </c>
      <c r="K393" s="5">
        <v>9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s">
        <v>10</v>
      </c>
      <c r="R393">
        <f>SUM(M393+P393)</f>
        <v>2</v>
      </c>
    </row>
    <row r="394" spans="1:18" x14ac:dyDescent="0.2">
      <c r="A394">
        <v>59780</v>
      </c>
      <c r="B394" t="s">
        <v>10</v>
      </c>
      <c r="C394">
        <v>19.5</v>
      </c>
      <c r="D394">
        <v>402</v>
      </c>
      <c r="E394">
        <v>2.46101130727444E-2</v>
      </c>
      <c r="F394">
        <v>0.31263327164525101</v>
      </c>
      <c r="G394">
        <v>1.0198552546185E-2</v>
      </c>
      <c r="H394">
        <v>0.83266557739430802</v>
      </c>
      <c r="I394">
        <v>0.13080374456348801</v>
      </c>
      <c r="J394">
        <v>-6.1776172159151104</v>
      </c>
      <c r="K394">
        <v>24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s">
        <v>10</v>
      </c>
      <c r="R394">
        <f>SUM(M394+P394)</f>
        <v>2</v>
      </c>
    </row>
    <row r="395" spans="1:18" x14ac:dyDescent="0.2">
      <c r="A395">
        <v>59791</v>
      </c>
      <c r="B395" t="s">
        <v>10</v>
      </c>
      <c r="C395">
        <v>60.5</v>
      </c>
      <c r="D395">
        <v>306</v>
      </c>
      <c r="E395">
        <v>0.16982034868759599</v>
      </c>
      <c r="F395">
        <v>0.30353596559512103</v>
      </c>
      <c r="G395">
        <v>0.302661188136154</v>
      </c>
      <c r="H395">
        <v>23.074865000160798</v>
      </c>
      <c r="I395">
        <v>3.5693486621676098</v>
      </c>
      <c r="J395">
        <v>-6.4171496873503404</v>
      </c>
      <c r="K395">
        <v>17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s">
        <v>10</v>
      </c>
      <c r="R395">
        <f>SUM(M395+P395)</f>
        <v>2</v>
      </c>
    </row>
    <row r="396" spans="1:18" x14ac:dyDescent="0.2">
      <c r="A396">
        <v>59798</v>
      </c>
      <c r="B396" t="s">
        <v>10</v>
      </c>
      <c r="C396">
        <v>474</v>
      </c>
      <c r="D396">
        <v>369</v>
      </c>
      <c r="E396">
        <v>4.4893486939822799E-2</v>
      </c>
      <c r="F396">
        <v>0.24067847030189099</v>
      </c>
      <c r="G396">
        <v>0.19900745061706401</v>
      </c>
      <c r="H396">
        <v>11.243531473435301</v>
      </c>
      <c r="I396">
        <v>2.2607919793870201</v>
      </c>
      <c r="J396">
        <v>-4.9534137101511799</v>
      </c>
      <c r="K396">
        <v>9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s">
        <v>10</v>
      </c>
      <c r="R396">
        <f>SUM(M396+P396)</f>
        <v>2</v>
      </c>
    </row>
    <row r="397" spans="1:18" x14ac:dyDescent="0.2">
      <c r="A397">
        <v>59808</v>
      </c>
      <c r="B397" t="s">
        <v>10</v>
      </c>
      <c r="C397">
        <v>114</v>
      </c>
      <c r="D397">
        <v>415</v>
      </c>
      <c r="E397">
        <v>9.5112574930112007E-2</v>
      </c>
      <c r="F397">
        <v>0.27752658109473899</v>
      </c>
      <c r="G397">
        <v>0.14732600888398101</v>
      </c>
      <c r="H397">
        <v>10.2033651047531</v>
      </c>
      <c r="I397">
        <v>1.66977095459485</v>
      </c>
      <c r="J397">
        <v>-6.0536761057001502</v>
      </c>
      <c r="K397">
        <v>19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s">
        <v>10</v>
      </c>
      <c r="R397">
        <f>SUM(M397+P397)</f>
        <v>2</v>
      </c>
    </row>
    <row r="398" spans="1:18" x14ac:dyDescent="0.2">
      <c r="A398">
        <v>59813</v>
      </c>
      <c r="B398" t="s">
        <v>10</v>
      </c>
      <c r="C398">
        <v>20</v>
      </c>
      <c r="D398">
        <v>318</v>
      </c>
      <c r="E398">
        <v>2.9402914068231801E-2</v>
      </c>
      <c r="F398">
        <v>0.196623848536366</v>
      </c>
      <c r="G398">
        <v>0.16928020892769799</v>
      </c>
      <c r="H398">
        <v>8.5251347512954005</v>
      </c>
      <c r="I398">
        <v>1.3601583295489701</v>
      </c>
      <c r="J398">
        <v>-6.2461344776268604</v>
      </c>
      <c r="K398">
        <v>20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s">
        <v>10</v>
      </c>
      <c r="R398">
        <f>SUM(M398+P398)</f>
        <v>2</v>
      </c>
    </row>
    <row r="399" spans="1:18" x14ac:dyDescent="0.2">
      <c r="A399">
        <v>59820</v>
      </c>
      <c r="B399" t="s">
        <v>10</v>
      </c>
      <c r="C399">
        <v>5</v>
      </c>
      <c r="D399">
        <v>337</v>
      </c>
      <c r="E399">
        <v>6.5447515212981699E-2</v>
      </c>
      <c r="F399">
        <v>0.20214776322843001</v>
      </c>
      <c r="G399">
        <v>0.24105455309950599</v>
      </c>
      <c r="H399">
        <v>11.880991615623101</v>
      </c>
      <c r="I399">
        <v>1.84358649483448</v>
      </c>
      <c r="J399">
        <v>-6.4089990534840302</v>
      </c>
      <c r="K399">
        <v>28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s">
        <v>10</v>
      </c>
      <c r="R399">
        <f>SUM(M399+P399)</f>
        <v>2</v>
      </c>
    </row>
    <row r="400" spans="1:18" x14ac:dyDescent="0.2">
      <c r="A400">
        <v>59831</v>
      </c>
      <c r="B400" t="s">
        <v>10</v>
      </c>
      <c r="C400">
        <v>1030.5</v>
      </c>
      <c r="D400">
        <v>304</v>
      </c>
      <c r="E400">
        <v>3.26935600542873E-2</v>
      </c>
      <c r="F400">
        <v>0.14222249748632801</v>
      </c>
      <c r="G400">
        <v>0.177375242119089</v>
      </c>
      <c r="H400">
        <v>6.7933438902951604</v>
      </c>
      <c r="I400">
        <v>1.0394321517154801</v>
      </c>
      <c r="J400">
        <v>-6.5041766498015896</v>
      </c>
      <c r="K400">
        <v>23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s">
        <v>10</v>
      </c>
      <c r="R400">
        <f>SUM(M400+P400)</f>
        <v>2</v>
      </c>
    </row>
    <row r="401" spans="1:18" x14ac:dyDescent="0.2">
      <c r="A401">
        <v>60314</v>
      </c>
      <c r="B401" t="s">
        <v>10</v>
      </c>
      <c r="C401">
        <v>142</v>
      </c>
      <c r="D401">
        <v>330</v>
      </c>
      <c r="E401">
        <v>6.0985825211602097E-2</v>
      </c>
      <c r="F401">
        <v>0.112631177031256</v>
      </c>
      <c r="G401">
        <v>0.23143125274505399</v>
      </c>
      <c r="H401">
        <v>7.15477843698556</v>
      </c>
      <c r="I401">
        <v>1.0484249003988599</v>
      </c>
      <c r="J401">
        <v>-6.7661428196480404</v>
      </c>
      <c r="K401">
        <v>23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s">
        <v>10</v>
      </c>
      <c r="R401">
        <f>SUM(M401+P401)</f>
        <v>2</v>
      </c>
    </row>
    <row r="402" spans="1:18" x14ac:dyDescent="0.2">
      <c r="A402">
        <v>62624</v>
      </c>
      <c r="B402" t="s">
        <v>10</v>
      </c>
      <c r="C402">
        <v>516</v>
      </c>
      <c r="D402">
        <v>341</v>
      </c>
      <c r="E402">
        <v>0.20157854814775</v>
      </c>
      <c r="F402">
        <v>0.27126308112892999</v>
      </c>
      <c r="G402">
        <v>0.33588912028859402</v>
      </c>
      <c r="H402">
        <v>24.924593421115699</v>
      </c>
      <c r="I402">
        <v>3.9185955896009501</v>
      </c>
      <c r="J402">
        <v>-6.30915191620619</v>
      </c>
      <c r="K402">
        <v>29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s">
        <v>10</v>
      </c>
      <c r="R402">
        <f>SUM(M402+P402)</f>
        <v>2</v>
      </c>
    </row>
    <row r="403" spans="1:18" x14ac:dyDescent="0.2">
      <c r="A403">
        <v>62793</v>
      </c>
      <c r="B403" t="s">
        <v>10</v>
      </c>
      <c r="C403">
        <v>741</v>
      </c>
      <c r="D403">
        <v>347</v>
      </c>
      <c r="E403">
        <v>6.6640245975383705E-2</v>
      </c>
      <c r="F403">
        <v>0.244536864545709</v>
      </c>
      <c r="G403">
        <v>0.241930565838374</v>
      </c>
      <c r="H403">
        <v>14.394618169046099</v>
      </c>
      <c r="I403">
        <v>2.3175975690166801</v>
      </c>
      <c r="J403">
        <v>-6.1822544667018304</v>
      </c>
      <c r="K403">
        <v>22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s">
        <v>10</v>
      </c>
      <c r="R403">
        <f>SUM(M403+P403)</f>
        <v>2</v>
      </c>
    </row>
    <row r="404" spans="1:18" x14ac:dyDescent="0.2">
      <c r="A404">
        <v>62797</v>
      </c>
      <c r="B404" t="s">
        <v>10</v>
      </c>
      <c r="C404">
        <v>136</v>
      </c>
      <c r="D404">
        <v>373</v>
      </c>
      <c r="E404">
        <v>5.40695508727118E-2</v>
      </c>
      <c r="F404">
        <v>0.10491490071359499</v>
      </c>
      <c r="G404">
        <v>0.250034189351861</v>
      </c>
      <c r="H404">
        <v>5.1521664671136698</v>
      </c>
      <c r="I404">
        <v>1.1526338721240701</v>
      </c>
      <c r="J404">
        <v>-4.4229976573967704</v>
      </c>
      <c r="K404">
        <v>32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s">
        <v>10</v>
      </c>
      <c r="R404">
        <f>SUM(M404+P404)</f>
        <v>2</v>
      </c>
    </row>
    <row r="405" spans="1:18" x14ac:dyDescent="0.2">
      <c r="A405">
        <v>62812</v>
      </c>
      <c r="B405" t="s">
        <v>10</v>
      </c>
      <c r="C405">
        <v>109</v>
      </c>
      <c r="D405">
        <v>376</v>
      </c>
      <c r="E405">
        <v>8.6393602700517699E-2</v>
      </c>
      <c r="F405">
        <v>0.24877592495526299</v>
      </c>
      <c r="G405">
        <v>0.18670976002610001</v>
      </c>
      <c r="H405">
        <v>11.6121508454988</v>
      </c>
      <c r="I405">
        <v>1.97526653955804</v>
      </c>
      <c r="J405">
        <v>-5.8350389742222601</v>
      </c>
      <c r="K405">
        <v>29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s">
        <v>10</v>
      </c>
      <c r="R405">
        <f>SUM(M405+P405)</f>
        <v>2</v>
      </c>
    </row>
    <row r="406" spans="1:18" x14ac:dyDescent="0.2">
      <c r="A406">
        <v>62816</v>
      </c>
      <c r="B406" t="s">
        <v>10</v>
      </c>
      <c r="C406">
        <v>2</v>
      </c>
      <c r="D406">
        <v>321</v>
      </c>
      <c r="E406">
        <v>6.2077186713949101E-2</v>
      </c>
      <c r="F406">
        <v>0.25231314602729898</v>
      </c>
      <c r="G406">
        <v>0.14493137906921399</v>
      </c>
      <c r="H406">
        <v>7.8712442128247702</v>
      </c>
      <c r="I406">
        <v>1.5503617544191399</v>
      </c>
      <c r="J406">
        <v>-5.0369966905153696</v>
      </c>
      <c r="K406">
        <v>28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s">
        <v>10</v>
      </c>
      <c r="R406">
        <f>SUM(M406+P406)</f>
        <v>2</v>
      </c>
    </row>
    <row r="407" spans="1:18" x14ac:dyDescent="0.2">
      <c r="A407">
        <v>62848</v>
      </c>
      <c r="B407" t="s">
        <v>10</v>
      </c>
      <c r="C407">
        <v>12</v>
      </c>
      <c r="D407">
        <v>294</v>
      </c>
      <c r="E407">
        <v>0.1044092377143</v>
      </c>
      <c r="F407">
        <v>0.30593272763262902</v>
      </c>
      <c r="G407">
        <v>0.26017570428157999</v>
      </c>
      <c r="H407">
        <v>21.208619927696699</v>
      </c>
      <c r="I407">
        <v>3.0465095153519299</v>
      </c>
      <c r="J407">
        <v>-6.9273411370075602</v>
      </c>
      <c r="K407">
        <v>28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s">
        <v>10</v>
      </c>
      <c r="R407">
        <f>SUM(M407+P407)</f>
        <v>2</v>
      </c>
    </row>
    <row r="408" spans="1:18" x14ac:dyDescent="0.2">
      <c r="A408">
        <v>62874</v>
      </c>
      <c r="B408" t="s">
        <v>10</v>
      </c>
      <c r="C408">
        <v>306.42013549804699</v>
      </c>
      <c r="D408">
        <v>356</v>
      </c>
      <c r="E408">
        <v>0.11203525709637301</v>
      </c>
      <c r="F408">
        <v>0.204103352734049</v>
      </c>
      <c r="G408">
        <v>0.140006564364659</v>
      </c>
      <c r="H408">
        <v>7.4570776175716196</v>
      </c>
      <c r="I408">
        <v>1.1118039867282901</v>
      </c>
      <c r="J408">
        <v>-6.6064184407986701</v>
      </c>
      <c r="K408">
        <v>35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s">
        <v>10</v>
      </c>
      <c r="R408">
        <f>SUM(M408+P408)</f>
        <v>2</v>
      </c>
    </row>
    <row r="409" spans="1:18" x14ac:dyDescent="0.2">
      <c r="A409">
        <v>62882</v>
      </c>
      <c r="B409" t="s">
        <v>10</v>
      </c>
      <c r="C409">
        <v>212.43281920198899</v>
      </c>
      <c r="D409">
        <v>454</v>
      </c>
      <c r="E409">
        <v>0.16272327021720501</v>
      </c>
      <c r="F409">
        <v>0.1701352181653</v>
      </c>
      <c r="G409">
        <v>0.23367470758084899</v>
      </c>
      <c r="H409">
        <v>9.5701723450760792</v>
      </c>
      <c r="I409">
        <v>1.8013456778018699</v>
      </c>
      <c r="J409">
        <v>-5.2224562951950997</v>
      </c>
      <c r="K409">
        <v>31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s">
        <v>10</v>
      </c>
      <c r="R409">
        <f>SUM(M409+P409)</f>
        <v>2</v>
      </c>
    </row>
    <row r="410" spans="1:18" x14ac:dyDescent="0.2">
      <c r="A410">
        <v>62886</v>
      </c>
      <c r="B410" t="s">
        <v>10</v>
      </c>
      <c r="C410">
        <v>20</v>
      </c>
      <c r="D410">
        <v>294</v>
      </c>
      <c r="E410">
        <v>6.6500928198480705E-2</v>
      </c>
      <c r="F410">
        <v>0.25877835016620698</v>
      </c>
      <c r="G410">
        <v>0.261414580625288</v>
      </c>
      <c r="H410">
        <v>15.210368987426801</v>
      </c>
      <c r="I410">
        <v>2.7070155344188702</v>
      </c>
      <c r="J410">
        <v>-5.59430408384386</v>
      </c>
      <c r="K410">
        <v>23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s">
        <v>10</v>
      </c>
      <c r="R410">
        <f>SUM(M410+P410)</f>
        <v>2</v>
      </c>
    </row>
    <row r="411" spans="1:18" x14ac:dyDescent="0.2">
      <c r="A411">
        <v>62934</v>
      </c>
      <c r="B411" t="s">
        <v>10</v>
      </c>
      <c r="C411">
        <v>373</v>
      </c>
      <c r="D411">
        <v>313</v>
      </c>
      <c r="E411">
        <v>0.119697076791033</v>
      </c>
      <c r="F411">
        <v>0.30727495865868298</v>
      </c>
      <c r="G411">
        <v>0.187187894430805</v>
      </c>
      <c r="H411">
        <v>14.3829637925986</v>
      </c>
      <c r="I411">
        <v>2.4009556761811401</v>
      </c>
      <c r="J411">
        <v>-5.9406622360034902</v>
      </c>
      <c r="K411" s="5">
        <v>18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s">
        <v>10</v>
      </c>
      <c r="R411">
        <f>SUM(M411+P411)</f>
        <v>2</v>
      </c>
    </row>
    <row r="412" spans="1:18" x14ac:dyDescent="0.2">
      <c r="A412">
        <v>62943</v>
      </c>
      <c r="B412" t="s">
        <v>10</v>
      </c>
      <c r="C412">
        <v>139</v>
      </c>
      <c r="D412">
        <v>317</v>
      </c>
      <c r="E412">
        <v>7.9348256439371295E-2</v>
      </c>
      <c r="F412">
        <v>0.311430715225613</v>
      </c>
      <c r="G412">
        <v>0.178231590593395</v>
      </c>
      <c r="H412">
        <v>14.538650019796201</v>
      </c>
      <c r="I412">
        <v>2.5290026109947199</v>
      </c>
      <c r="J412">
        <v>-5.7173929755927198</v>
      </c>
      <c r="K412">
        <v>42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s">
        <v>10</v>
      </c>
      <c r="R412">
        <f>SUM(M412+P412)</f>
        <v>2</v>
      </c>
    </row>
    <row r="413" spans="1:18" x14ac:dyDescent="0.2">
      <c r="A413">
        <v>63028</v>
      </c>
      <c r="B413" t="s">
        <v>10</v>
      </c>
      <c r="C413">
        <v>47</v>
      </c>
      <c r="D413">
        <v>414</v>
      </c>
      <c r="E413">
        <v>0.11037547362053</v>
      </c>
      <c r="F413">
        <v>0.279843564314393</v>
      </c>
      <c r="G413">
        <v>0.15747230264266701</v>
      </c>
      <c r="H413">
        <v>12.165512574824101</v>
      </c>
      <c r="I413">
        <v>1.8884474544288501</v>
      </c>
      <c r="J413">
        <v>-6.3836232630838801</v>
      </c>
      <c r="K413">
        <v>45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s">
        <v>10</v>
      </c>
      <c r="R413">
        <f>SUM(M413+P413)</f>
        <v>2</v>
      </c>
    </row>
    <row r="414" spans="1:18" x14ac:dyDescent="0.2">
      <c r="A414">
        <v>63156</v>
      </c>
      <c r="B414" t="s">
        <v>10</v>
      </c>
      <c r="C414">
        <v>5</v>
      </c>
      <c r="D414">
        <v>330</v>
      </c>
      <c r="E414">
        <v>6.2230133297225702E-2</v>
      </c>
      <c r="F414">
        <v>0.22404152597912799</v>
      </c>
      <c r="G414">
        <v>0.30206791647710801</v>
      </c>
      <c r="H414">
        <v>19.3123636881657</v>
      </c>
      <c r="I414">
        <v>2.7879146209091501</v>
      </c>
      <c r="J414">
        <v>-6.9048504608046199</v>
      </c>
      <c r="K414">
        <v>30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s">
        <v>10</v>
      </c>
      <c r="R414">
        <f>SUM(M414+P414)</f>
        <v>2</v>
      </c>
    </row>
    <row r="415" spans="1:18" x14ac:dyDescent="0.2">
      <c r="A415">
        <v>63170</v>
      </c>
      <c r="B415" t="s">
        <v>10</v>
      </c>
      <c r="C415">
        <v>3</v>
      </c>
      <c r="D415">
        <v>287</v>
      </c>
      <c r="E415">
        <v>3.2843901778974199E-2</v>
      </c>
      <c r="F415">
        <v>0.235807208694675</v>
      </c>
      <c r="G415">
        <v>0.30144471438047299</v>
      </c>
      <c r="H415">
        <v>13.5258834782578</v>
      </c>
      <c r="I415">
        <v>2.6971507637459999</v>
      </c>
      <c r="J415">
        <v>-5.0027012793822001</v>
      </c>
      <c r="K415">
        <v>35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s">
        <v>10</v>
      </c>
      <c r="R415">
        <f>SUM(M415+P415)</f>
        <v>2</v>
      </c>
    </row>
    <row r="416" spans="1:18" x14ac:dyDescent="0.2">
      <c r="A416">
        <v>63309</v>
      </c>
      <c r="B416" t="s">
        <v>10</v>
      </c>
      <c r="C416">
        <v>59.5</v>
      </c>
      <c r="D416">
        <v>270</v>
      </c>
      <c r="E416">
        <v>3.2937365811418297E-2</v>
      </c>
      <c r="F416">
        <v>0.15404123095823799</v>
      </c>
      <c r="G416">
        <v>0.20487313869409501</v>
      </c>
      <c r="H416">
        <v>7.8186980945962796</v>
      </c>
      <c r="I416">
        <v>1.3184152847902699</v>
      </c>
      <c r="J416">
        <v>-5.9053932540105603</v>
      </c>
      <c r="K416">
        <v>29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s">
        <v>10</v>
      </c>
      <c r="R416">
        <f>SUM(M416+P416)</f>
        <v>2</v>
      </c>
    </row>
    <row r="417" spans="1:18" x14ac:dyDescent="0.2">
      <c r="A417">
        <v>63482</v>
      </c>
      <c r="B417" t="s">
        <v>10</v>
      </c>
      <c r="C417">
        <v>1289</v>
      </c>
      <c r="D417">
        <v>323</v>
      </c>
      <c r="E417">
        <v>3.3478865406006697E-2</v>
      </c>
      <c r="F417">
        <v>0.158966088760681</v>
      </c>
      <c r="G417">
        <v>0.20876441524723999</v>
      </c>
      <c r="H417">
        <v>8.0138281618465008</v>
      </c>
      <c r="I417">
        <v>1.4605951682501199</v>
      </c>
      <c r="J417">
        <v>-5.4637653676490103</v>
      </c>
      <c r="K417">
        <v>41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s">
        <v>10</v>
      </c>
      <c r="R417">
        <f>SUM(M417+P417)</f>
        <v>2</v>
      </c>
    </row>
    <row r="418" spans="1:18" x14ac:dyDescent="0.2">
      <c r="A418">
        <v>63742</v>
      </c>
      <c r="B418" t="s">
        <v>10</v>
      </c>
      <c r="C418">
        <v>1762</v>
      </c>
      <c r="D418">
        <v>292</v>
      </c>
      <c r="E418">
        <v>8.2855434218073898E-2</v>
      </c>
      <c r="F418">
        <v>0.203341430908663</v>
      </c>
      <c r="G418">
        <v>4.49579993446345E-2</v>
      </c>
      <c r="H418">
        <v>1.98044195464569</v>
      </c>
      <c r="I418">
        <v>0.37210083265278698</v>
      </c>
      <c r="J418">
        <v>-5.0996567433061299</v>
      </c>
      <c r="K418">
        <v>22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s">
        <v>10</v>
      </c>
      <c r="R418">
        <f>SUM(M418+P418)</f>
        <v>2</v>
      </c>
    </row>
    <row r="419" spans="1:18" x14ac:dyDescent="0.2">
      <c r="A419">
        <v>30984</v>
      </c>
      <c r="B419" t="s">
        <v>10</v>
      </c>
      <c r="C419">
        <v>531.5</v>
      </c>
      <c r="D419">
        <v>350</v>
      </c>
      <c r="E419">
        <v>0.17430933387250899</v>
      </c>
      <c r="F419">
        <v>0.21532433363859799</v>
      </c>
      <c r="G419">
        <v>0.31789274524174799</v>
      </c>
      <c r="H419">
        <v>16.922016668696202</v>
      </c>
      <c r="I419">
        <v>2.74389218742935</v>
      </c>
      <c r="J419">
        <v>-6.1036316993613502</v>
      </c>
      <c r="K419">
        <v>25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s">
        <v>10</v>
      </c>
      <c r="R419">
        <f>SUM(M419+P419)</f>
        <v>2</v>
      </c>
    </row>
    <row r="420" spans="1:18" x14ac:dyDescent="0.2">
      <c r="A420">
        <v>35430</v>
      </c>
      <c r="B420" t="s">
        <v>11</v>
      </c>
      <c r="C420">
        <v>78</v>
      </c>
      <c r="D420">
        <v>310</v>
      </c>
      <c r="E420">
        <v>3.9314614921528303E-2</v>
      </c>
      <c r="F420">
        <v>0.33024800180228298</v>
      </c>
      <c r="G420">
        <v>1.01773866267762E-2</v>
      </c>
      <c r="H420">
        <v>0.81716231257087701</v>
      </c>
      <c r="I420">
        <v>0.12669705052741201</v>
      </c>
      <c r="J420">
        <v>-6.1394301951887602</v>
      </c>
      <c r="K420">
        <v>35</v>
      </c>
      <c r="L420" t="b">
        <v>0</v>
      </c>
      <c r="M420" t="b">
        <v>1</v>
      </c>
      <c r="N420" t="b">
        <v>1</v>
      </c>
      <c r="O420" t="b">
        <v>1</v>
      </c>
      <c r="P420" t="b">
        <v>1</v>
      </c>
      <c r="Q420" t="s">
        <v>11</v>
      </c>
      <c r="R420">
        <f>SUM(M420+P420)</f>
        <v>2</v>
      </c>
    </row>
    <row r="421" spans="1:18" x14ac:dyDescent="0.2">
      <c r="A421">
        <v>37578</v>
      </c>
      <c r="B421" t="s">
        <v>11</v>
      </c>
      <c r="C421">
        <v>195</v>
      </c>
      <c r="D421">
        <v>225</v>
      </c>
      <c r="E421">
        <v>0.107996081608738</v>
      </c>
      <c r="F421">
        <v>0.176420704509926</v>
      </c>
      <c r="G421">
        <v>0.21482259750848101</v>
      </c>
      <c r="H421">
        <v>8.7547025716159208</v>
      </c>
      <c r="I421">
        <v>1.79174253800425</v>
      </c>
      <c r="J421">
        <v>-4.8258643787284399</v>
      </c>
      <c r="K421">
        <v>12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s">
        <v>11</v>
      </c>
      <c r="R421">
        <f>SUM(M421+P421)</f>
        <v>2</v>
      </c>
    </row>
    <row r="422" spans="1:18" x14ac:dyDescent="0.2">
      <c r="A422">
        <v>37652</v>
      </c>
      <c r="B422" t="s">
        <v>11</v>
      </c>
      <c r="C422">
        <v>39.5</v>
      </c>
      <c r="D422">
        <v>304</v>
      </c>
      <c r="E422">
        <v>3.0230760254390601E-2</v>
      </c>
      <c r="F422">
        <v>4.8700276596918099E-2</v>
      </c>
      <c r="G422">
        <v>6.1501944768682502E-2</v>
      </c>
      <c r="H422">
        <v>0.86055728619668603</v>
      </c>
      <c r="I422">
        <v>0.12342563972236199</v>
      </c>
      <c r="J422">
        <v>-6.7273422913590801</v>
      </c>
      <c r="K422">
        <v>26</v>
      </c>
      <c r="L422" t="b">
        <v>0</v>
      </c>
      <c r="M422" t="b">
        <v>1</v>
      </c>
      <c r="N422" t="b">
        <v>0</v>
      </c>
      <c r="O422" t="b">
        <v>1</v>
      </c>
      <c r="P422" t="b">
        <v>1</v>
      </c>
      <c r="Q422" t="s">
        <v>11</v>
      </c>
      <c r="R422">
        <f>SUM(M422+P422)</f>
        <v>2</v>
      </c>
    </row>
    <row r="423" spans="1:18" x14ac:dyDescent="0.2">
      <c r="A423">
        <v>39381</v>
      </c>
      <c r="B423" t="s">
        <v>10</v>
      </c>
      <c r="C423">
        <v>46.590162029970102</v>
      </c>
      <c r="D423">
        <v>404</v>
      </c>
      <c r="E423">
        <v>4.7279747487381202E-2</v>
      </c>
      <c r="F423">
        <v>0.28887493515776802</v>
      </c>
      <c r="G423">
        <v>0.33080936033851499</v>
      </c>
      <c r="H423">
        <v>26.0920702779535</v>
      </c>
      <c r="I423">
        <v>3.9852164203691398</v>
      </c>
      <c r="J423">
        <v>-6.5353516053348102</v>
      </c>
      <c r="K423">
        <v>32</v>
      </c>
      <c r="L423" t="b">
        <v>0</v>
      </c>
      <c r="M423" t="b">
        <v>1</v>
      </c>
      <c r="N423" t="b">
        <v>1</v>
      </c>
      <c r="O423" t="b">
        <v>1</v>
      </c>
      <c r="P423" t="b">
        <v>1</v>
      </c>
      <c r="Q423" t="s">
        <v>10</v>
      </c>
      <c r="R423">
        <f>SUM(M423+P423)</f>
        <v>2</v>
      </c>
    </row>
    <row r="424" spans="1:18" x14ac:dyDescent="0.2">
      <c r="A424">
        <v>42698</v>
      </c>
      <c r="B424" t="s">
        <v>11</v>
      </c>
      <c r="C424">
        <v>14.5</v>
      </c>
      <c r="D424">
        <v>438</v>
      </c>
      <c r="E424">
        <v>0.19996768908731999</v>
      </c>
      <c r="F424">
        <v>0.29191611862342898</v>
      </c>
      <c r="G424">
        <v>5.8485747536775101E-2</v>
      </c>
      <c r="H424">
        <v>4.0741966828852396</v>
      </c>
      <c r="I424">
        <v>0.64271375118216301</v>
      </c>
      <c r="J424">
        <v>-6.0279229854222596</v>
      </c>
      <c r="K424">
        <v>36</v>
      </c>
      <c r="L424" t="b">
        <v>0</v>
      </c>
      <c r="M424" t="b">
        <v>1</v>
      </c>
      <c r="N424" t="b">
        <v>1</v>
      </c>
      <c r="O424" t="b">
        <v>1</v>
      </c>
      <c r="P424" t="b">
        <v>1</v>
      </c>
      <c r="Q424" t="s">
        <v>11</v>
      </c>
      <c r="R424">
        <f>SUM(M424+P424)</f>
        <v>2</v>
      </c>
    </row>
    <row r="425" spans="1:18" x14ac:dyDescent="0.2">
      <c r="A425">
        <v>44133</v>
      </c>
      <c r="B425" t="s">
        <v>11</v>
      </c>
      <c r="C425">
        <v>1.5</v>
      </c>
      <c r="D425">
        <v>342</v>
      </c>
      <c r="E425">
        <v>3.7995177540660202E-2</v>
      </c>
      <c r="F425">
        <v>0.291721227707328</v>
      </c>
      <c r="G425">
        <v>0.29383220750265299</v>
      </c>
      <c r="H425">
        <v>17.189505816648101</v>
      </c>
      <c r="I425">
        <v>3.2791641800657301</v>
      </c>
      <c r="J425">
        <v>-5.2304519375311296</v>
      </c>
      <c r="K425">
        <v>34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s">
        <v>11</v>
      </c>
      <c r="R425">
        <f>SUM(M425+P425)</f>
        <v>2</v>
      </c>
    </row>
    <row r="426" spans="1:18" x14ac:dyDescent="0.2">
      <c r="A426">
        <v>44183</v>
      </c>
      <c r="B426" t="s">
        <v>11</v>
      </c>
      <c r="C426">
        <v>1</v>
      </c>
      <c r="D426">
        <v>265</v>
      </c>
      <c r="E426">
        <v>5.3570607936796598E-2</v>
      </c>
      <c r="F426">
        <v>0.25767791187202599</v>
      </c>
      <c r="G426">
        <v>1.5420943271358199E-2</v>
      </c>
      <c r="H426">
        <v>0.931101712374099</v>
      </c>
      <c r="I426">
        <v>0.15131927321150301</v>
      </c>
      <c r="J426">
        <v>-5.7992024797181898</v>
      </c>
      <c r="K426">
        <v>21</v>
      </c>
      <c r="L426" t="b">
        <v>0</v>
      </c>
      <c r="M426" t="b">
        <v>1</v>
      </c>
      <c r="N426" t="b">
        <v>1</v>
      </c>
      <c r="O426" t="b">
        <v>1</v>
      </c>
      <c r="P426" t="b">
        <v>1</v>
      </c>
      <c r="Q426" t="s">
        <v>11</v>
      </c>
      <c r="R426">
        <f>SUM(M426+P426)</f>
        <v>2</v>
      </c>
    </row>
    <row r="427" spans="1:18" x14ac:dyDescent="0.2">
      <c r="A427">
        <v>44296</v>
      </c>
      <c r="B427" t="s">
        <v>11</v>
      </c>
      <c r="C427">
        <v>12</v>
      </c>
      <c r="D427">
        <v>488</v>
      </c>
      <c r="E427">
        <v>5.2904520190562597E-2</v>
      </c>
      <c r="F427">
        <v>2.0949800130875999E-2</v>
      </c>
      <c r="G427">
        <v>4.8374358175539901E-2</v>
      </c>
      <c r="H427">
        <v>0.24677980637775801</v>
      </c>
      <c r="I427">
        <v>4.3065064133484703E-2</v>
      </c>
      <c r="J427">
        <v>-4.5019156499165698</v>
      </c>
      <c r="K427">
        <v>22</v>
      </c>
      <c r="L427" t="b">
        <v>0</v>
      </c>
      <c r="M427" t="b">
        <v>1</v>
      </c>
      <c r="N427" t="b">
        <v>0</v>
      </c>
      <c r="O427" t="b">
        <v>1</v>
      </c>
      <c r="P427" t="b">
        <v>1</v>
      </c>
      <c r="Q427" t="s">
        <v>11</v>
      </c>
      <c r="R427">
        <f>SUM(M427+P427)</f>
        <v>2</v>
      </c>
    </row>
    <row r="428" spans="1:18" x14ac:dyDescent="0.2">
      <c r="A428">
        <v>44298</v>
      </c>
      <c r="B428" t="s">
        <v>11</v>
      </c>
      <c r="C428">
        <v>133</v>
      </c>
      <c r="D428">
        <v>311</v>
      </c>
      <c r="E428">
        <v>0.13151048521540801</v>
      </c>
      <c r="F428">
        <v>0.31327418314359901</v>
      </c>
      <c r="G428">
        <v>0.21610827321394899</v>
      </c>
      <c r="H428">
        <v>15.8803183271914</v>
      </c>
      <c r="I428">
        <v>3.4778794771619501</v>
      </c>
      <c r="J428">
        <v>-4.5282787817671704</v>
      </c>
      <c r="K428">
        <v>25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s">
        <v>11</v>
      </c>
      <c r="R428">
        <f>SUM(M428+P428)</f>
        <v>2</v>
      </c>
    </row>
    <row r="429" spans="1:18" x14ac:dyDescent="0.2">
      <c r="A429">
        <v>44306</v>
      </c>
      <c r="B429" t="s">
        <v>11</v>
      </c>
      <c r="C429">
        <v>19.5</v>
      </c>
      <c r="D429">
        <v>306</v>
      </c>
      <c r="E429">
        <v>8.6873230051640896E-2</v>
      </c>
      <c r="F429">
        <v>0.26145218988343699</v>
      </c>
      <c r="G429">
        <v>0.32065965809434099</v>
      </c>
      <c r="H429">
        <v>20.826358674829301</v>
      </c>
      <c r="I429">
        <v>3.9882988977565401</v>
      </c>
      <c r="J429">
        <v>-5.2000830370170501</v>
      </c>
      <c r="K429">
        <v>9</v>
      </c>
      <c r="L429" t="b">
        <v>0</v>
      </c>
      <c r="M429" t="b">
        <v>1</v>
      </c>
      <c r="N429" t="b">
        <v>1</v>
      </c>
      <c r="O429" t="b">
        <v>1</v>
      </c>
      <c r="P429" t="b">
        <v>1</v>
      </c>
      <c r="Q429" t="s">
        <v>11</v>
      </c>
      <c r="R429">
        <f>SUM(M429+P429)</f>
        <v>2</v>
      </c>
    </row>
    <row r="430" spans="1:18" x14ac:dyDescent="0.2">
      <c r="A430">
        <v>44307</v>
      </c>
      <c r="B430" t="s">
        <v>11</v>
      </c>
      <c r="C430">
        <v>4</v>
      </c>
      <c r="D430">
        <v>289</v>
      </c>
      <c r="E430">
        <v>4.4819604086845502E-2</v>
      </c>
      <c r="F430">
        <v>0.25459195925234701</v>
      </c>
      <c r="G430">
        <v>0.29701124055686101</v>
      </c>
      <c r="H430">
        <v>18.043902642428801</v>
      </c>
      <c r="I430">
        <v>3.6074526415915198</v>
      </c>
      <c r="J430">
        <v>-4.9894163074587699</v>
      </c>
      <c r="K430">
        <v>26</v>
      </c>
      <c r="L430" t="b">
        <v>0</v>
      </c>
      <c r="M430" t="b">
        <v>1</v>
      </c>
      <c r="N430" t="b">
        <v>1</v>
      </c>
      <c r="O430" t="b">
        <v>1</v>
      </c>
      <c r="P430" t="b">
        <v>1</v>
      </c>
      <c r="Q430" t="s">
        <v>11</v>
      </c>
      <c r="R430">
        <f>SUM(M430+P430)</f>
        <v>2</v>
      </c>
    </row>
    <row r="431" spans="1:18" x14ac:dyDescent="0.2">
      <c r="A431">
        <v>44308</v>
      </c>
      <c r="B431" t="s">
        <v>11</v>
      </c>
      <c r="C431">
        <v>178</v>
      </c>
      <c r="D431">
        <v>416</v>
      </c>
      <c r="E431">
        <v>3.0100676995655998E-2</v>
      </c>
      <c r="F431">
        <v>0.30478228115577799</v>
      </c>
      <c r="G431">
        <v>1.20794637395585E-2</v>
      </c>
      <c r="H431">
        <v>0.86003838941493604</v>
      </c>
      <c r="I431">
        <v>0.134380675779842</v>
      </c>
      <c r="J431">
        <v>-6.1760197856050203</v>
      </c>
      <c r="K431">
        <v>19</v>
      </c>
      <c r="L431" t="b">
        <v>0</v>
      </c>
      <c r="M431" t="b">
        <v>1</v>
      </c>
      <c r="N431" t="b">
        <v>1</v>
      </c>
      <c r="O431" t="b">
        <v>1</v>
      </c>
      <c r="P431" t="b">
        <v>1</v>
      </c>
      <c r="Q431" t="s">
        <v>11</v>
      </c>
      <c r="R431">
        <f>SUM(M431+P431)</f>
        <v>2</v>
      </c>
    </row>
    <row r="432" spans="1:18" x14ac:dyDescent="0.2">
      <c r="A432">
        <v>44309</v>
      </c>
      <c r="B432" t="s">
        <v>11</v>
      </c>
      <c r="C432">
        <v>590</v>
      </c>
      <c r="D432">
        <v>469</v>
      </c>
      <c r="E432">
        <v>8.5915814609473104E-2</v>
      </c>
      <c r="F432">
        <v>0.26784080851174102</v>
      </c>
      <c r="G432">
        <v>2.9457028160764901E-2</v>
      </c>
      <c r="H432">
        <v>2.08813031043689</v>
      </c>
      <c r="I432">
        <v>0.30977906897163898</v>
      </c>
      <c r="J432">
        <v>-6.4633627522804904</v>
      </c>
      <c r="K432">
        <v>9</v>
      </c>
      <c r="L432" t="b">
        <v>0</v>
      </c>
      <c r="M432" t="b">
        <v>1</v>
      </c>
      <c r="N432" t="b">
        <v>1</v>
      </c>
      <c r="O432" t="b">
        <v>1</v>
      </c>
      <c r="P432" t="b">
        <v>1</v>
      </c>
      <c r="Q432" t="s">
        <v>11</v>
      </c>
      <c r="R432">
        <f>SUM(M432+P432)</f>
        <v>2</v>
      </c>
    </row>
    <row r="433" spans="1:18" x14ac:dyDescent="0.2">
      <c r="A433">
        <v>44351</v>
      </c>
      <c r="B433" t="s">
        <v>11</v>
      </c>
      <c r="C433">
        <v>2</v>
      </c>
      <c r="D433">
        <v>272</v>
      </c>
      <c r="E433">
        <v>3.6757148964859501E-2</v>
      </c>
      <c r="F433">
        <v>0.33767088785244398</v>
      </c>
      <c r="G433">
        <v>9.7992931414605002E-3</v>
      </c>
      <c r="H433">
        <v>0.85850646140627795</v>
      </c>
      <c r="I433">
        <v>0.13190547930484001</v>
      </c>
      <c r="J433">
        <v>-6.2298345510144904</v>
      </c>
      <c r="K433">
        <v>20</v>
      </c>
      <c r="L433" t="b">
        <v>0</v>
      </c>
      <c r="M433" t="b">
        <v>1</v>
      </c>
      <c r="N433" t="b">
        <v>1</v>
      </c>
      <c r="O433" t="b">
        <v>1</v>
      </c>
      <c r="P433" t="b">
        <v>1</v>
      </c>
      <c r="Q433" t="s">
        <v>11</v>
      </c>
      <c r="R433">
        <f>SUM(M433+P433)</f>
        <v>2</v>
      </c>
    </row>
    <row r="434" spans="1:18" x14ac:dyDescent="0.2">
      <c r="A434">
        <v>44427</v>
      </c>
      <c r="B434" t="s">
        <v>11</v>
      </c>
      <c r="C434">
        <v>221.99999999997101</v>
      </c>
      <c r="D434">
        <v>386</v>
      </c>
      <c r="E434">
        <v>5.1282963504453799E-2</v>
      </c>
      <c r="F434">
        <v>0.28686179935150802</v>
      </c>
      <c r="G434">
        <v>1.9475487513553099E-2</v>
      </c>
      <c r="H434">
        <v>1.41720179179999</v>
      </c>
      <c r="I434">
        <v>0.232684937810506</v>
      </c>
      <c r="J434">
        <v>-5.8702503099186796</v>
      </c>
      <c r="K434">
        <v>10</v>
      </c>
      <c r="L434" t="b">
        <v>0</v>
      </c>
      <c r="M434" t="b">
        <v>1</v>
      </c>
      <c r="N434" t="b">
        <v>1</v>
      </c>
      <c r="O434" t="b">
        <v>1</v>
      </c>
      <c r="P434" t="b">
        <v>1</v>
      </c>
      <c r="Q434" t="s">
        <v>11</v>
      </c>
      <c r="R434">
        <f>SUM(M434+P434)</f>
        <v>2</v>
      </c>
    </row>
    <row r="435" spans="1:18" x14ac:dyDescent="0.2">
      <c r="A435">
        <v>44627</v>
      </c>
      <c r="B435" t="s">
        <v>11</v>
      </c>
      <c r="C435">
        <v>93.5</v>
      </c>
      <c r="D435">
        <v>398</v>
      </c>
      <c r="E435">
        <v>4.5254901422247903E-2</v>
      </c>
      <c r="F435">
        <v>0.31196614676961998</v>
      </c>
      <c r="G435">
        <v>8.0513685838078403E-3</v>
      </c>
      <c r="H435">
        <v>0.57513833099877798</v>
      </c>
      <c r="I435">
        <v>8.0930774920166801E-2</v>
      </c>
      <c r="J435">
        <v>-6.5473663152147896</v>
      </c>
      <c r="K435">
        <v>41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 t="s">
        <v>11</v>
      </c>
      <c r="R435">
        <f>SUM(M435+P435)</f>
        <v>2</v>
      </c>
    </row>
    <row r="436" spans="1:18" x14ac:dyDescent="0.2">
      <c r="A436">
        <v>44685</v>
      </c>
      <c r="B436" t="s">
        <v>11</v>
      </c>
      <c r="C436">
        <v>587.5</v>
      </c>
      <c r="D436">
        <v>385</v>
      </c>
      <c r="E436">
        <v>8.1681580047565594E-2</v>
      </c>
      <c r="F436">
        <v>0.25310802796010901</v>
      </c>
      <c r="G436">
        <v>2.08337013808493E-2</v>
      </c>
      <c r="H436">
        <v>1.23595526674865</v>
      </c>
      <c r="I436">
        <v>0.19175228944612199</v>
      </c>
      <c r="J436">
        <v>-6.0196083709624197</v>
      </c>
      <c r="K436">
        <v>44</v>
      </c>
      <c r="L436" t="b">
        <v>0</v>
      </c>
      <c r="M436" t="b">
        <v>1</v>
      </c>
      <c r="N436" t="b">
        <v>1</v>
      </c>
      <c r="O436" t="b">
        <v>1</v>
      </c>
      <c r="P436" t="b">
        <v>1</v>
      </c>
      <c r="Q436" t="s">
        <v>11</v>
      </c>
      <c r="R436">
        <f>SUM(M436+P436)</f>
        <v>2</v>
      </c>
    </row>
    <row r="437" spans="1:18" x14ac:dyDescent="0.2">
      <c r="A437">
        <v>44695</v>
      </c>
      <c r="B437" t="s">
        <v>11</v>
      </c>
      <c r="C437">
        <v>0</v>
      </c>
      <c r="D437">
        <v>265</v>
      </c>
      <c r="E437">
        <v>0.100414668922474</v>
      </c>
      <c r="F437">
        <v>0.30803462695521899</v>
      </c>
      <c r="G437">
        <v>0.34569450319905798</v>
      </c>
      <c r="H437">
        <v>28.699978851810201</v>
      </c>
      <c r="I437">
        <v>4.45990415273429</v>
      </c>
      <c r="J437">
        <v>-6.4125961463440602</v>
      </c>
      <c r="K437">
        <v>10</v>
      </c>
      <c r="L437" t="b">
        <v>0</v>
      </c>
      <c r="M437" t="b">
        <v>1</v>
      </c>
      <c r="N437" t="b">
        <v>1</v>
      </c>
      <c r="O437" t="b">
        <v>1</v>
      </c>
      <c r="P437" t="b">
        <v>1</v>
      </c>
      <c r="Q437" t="s">
        <v>11</v>
      </c>
      <c r="R437">
        <f>SUM(M437+P437)</f>
        <v>2</v>
      </c>
    </row>
    <row r="438" spans="1:18" x14ac:dyDescent="0.2">
      <c r="A438">
        <v>44773</v>
      </c>
      <c r="B438" t="s">
        <v>11</v>
      </c>
      <c r="C438">
        <v>3</v>
      </c>
      <c r="D438">
        <v>368</v>
      </c>
      <c r="E438">
        <v>0.178192962459431</v>
      </c>
      <c r="F438">
        <v>0.284818728397225</v>
      </c>
      <c r="G438">
        <v>0.250599480495316</v>
      </c>
      <c r="H438">
        <v>15.576439755592601</v>
      </c>
      <c r="I438">
        <v>2.6412968741434302</v>
      </c>
      <c r="J438">
        <v>-5.8298054050159802</v>
      </c>
      <c r="K438">
        <v>31</v>
      </c>
      <c r="L438" t="b">
        <v>0</v>
      </c>
      <c r="M438" t="b">
        <v>1</v>
      </c>
      <c r="N438" t="b">
        <v>1</v>
      </c>
      <c r="O438" t="b">
        <v>1</v>
      </c>
      <c r="P438" t="b">
        <v>1</v>
      </c>
      <c r="Q438" t="s">
        <v>11</v>
      </c>
      <c r="R438">
        <f>SUM(M438+P438)</f>
        <v>2</v>
      </c>
    </row>
    <row r="439" spans="1:18" x14ac:dyDescent="0.2">
      <c r="A439">
        <v>44784</v>
      </c>
      <c r="B439" t="s">
        <v>11</v>
      </c>
      <c r="C439">
        <v>139.5</v>
      </c>
      <c r="D439">
        <v>270</v>
      </c>
      <c r="E439">
        <v>7.1090935515913903E-2</v>
      </c>
      <c r="F439">
        <v>0.32726694997080502</v>
      </c>
      <c r="G439">
        <v>0.27948159126452998</v>
      </c>
      <c r="H439">
        <v>18.041554530754301</v>
      </c>
      <c r="I439">
        <v>3.8768466517220799</v>
      </c>
      <c r="J439">
        <v>-4.6353300013184802</v>
      </c>
      <c r="K439">
        <v>27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s">
        <v>11</v>
      </c>
      <c r="R439">
        <f>SUM(M439+P439)</f>
        <v>2</v>
      </c>
    </row>
    <row r="440" spans="1:18" x14ac:dyDescent="0.2">
      <c r="A440">
        <v>44787</v>
      </c>
      <c r="B440" t="s">
        <v>11</v>
      </c>
      <c r="C440">
        <v>162</v>
      </c>
      <c r="D440">
        <v>417</v>
      </c>
      <c r="E440">
        <v>4.8171027808625498E-2</v>
      </c>
      <c r="F440">
        <v>0.292411624687064</v>
      </c>
      <c r="G440">
        <v>1.9388038126191501E-2</v>
      </c>
      <c r="H440">
        <v>1.4594867017111099</v>
      </c>
      <c r="I440">
        <v>0.22250420436368601</v>
      </c>
      <c r="J440">
        <v>-6.34287193780695</v>
      </c>
      <c r="K440" s="5">
        <v>18</v>
      </c>
      <c r="L440" t="b">
        <v>0</v>
      </c>
      <c r="M440" t="b">
        <v>1</v>
      </c>
      <c r="N440" t="b">
        <v>1</v>
      </c>
      <c r="O440" t="b">
        <v>1</v>
      </c>
      <c r="P440" t="b">
        <v>1</v>
      </c>
      <c r="Q440" t="s">
        <v>11</v>
      </c>
      <c r="R440">
        <f>SUM(M440+P440)</f>
        <v>2</v>
      </c>
    </row>
    <row r="441" spans="1:18" x14ac:dyDescent="0.2">
      <c r="A441">
        <v>44833</v>
      </c>
      <c r="B441" t="s">
        <v>11</v>
      </c>
      <c r="C441">
        <v>0</v>
      </c>
      <c r="D441">
        <v>386</v>
      </c>
      <c r="E441">
        <v>2.8510542716768301E-2</v>
      </c>
      <c r="F441">
        <v>0.220342814823871</v>
      </c>
      <c r="G441">
        <v>8.9217336454188306E-3</v>
      </c>
      <c r="H441">
        <v>0.50366586155718296</v>
      </c>
      <c r="I441">
        <v>8.2807102249404102E-2</v>
      </c>
      <c r="J441">
        <v>-5.7380986163398102</v>
      </c>
      <c r="K441">
        <v>19</v>
      </c>
      <c r="L441" t="b">
        <v>0</v>
      </c>
      <c r="M441" t="b">
        <v>1</v>
      </c>
      <c r="N441" t="b">
        <v>1</v>
      </c>
      <c r="O441" t="b">
        <v>1</v>
      </c>
      <c r="P441" t="b">
        <v>1</v>
      </c>
      <c r="Q441" t="s">
        <v>11</v>
      </c>
      <c r="R441">
        <f>SUM(M441+P441)</f>
        <v>2</v>
      </c>
    </row>
    <row r="442" spans="1:18" x14ac:dyDescent="0.2">
      <c r="A442">
        <v>44871</v>
      </c>
      <c r="B442" t="s">
        <v>11</v>
      </c>
      <c r="C442">
        <v>4026</v>
      </c>
      <c r="D442">
        <v>226</v>
      </c>
      <c r="E442">
        <v>0.15089549976821301</v>
      </c>
      <c r="F442">
        <v>0.11219246171095699</v>
      </c>
      <c r="G442">
        <v>6.0297268118020601E-2</v>
      </c>
      <c r="H442">
        <v>1.64562029182862</v>
      </c>
      <c r="I442">
        <v>0.24420351171645799</v>
      </c>
      <c r="J442">
        <v>-6.1208161240364101</v>
      </c>
      <c r="K442">
        <v>36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s">
        <v>11</v>
      </c>
      <c r="R442">
        <f>SUM(M442+P442)</f>
        <v>2</v>
      </c>
    </row>
    <row r="443" spans="1:18" x14ac:dyDescent="0.2">
      <c r="A443">
        <v>44973</v>
      </c>
      <c r="B443" t="s">
        <v>11</v>
      </c>
      <c r="C443">
        <v>625</v>
      </c>
      <c r="D443">
        <v>496</v>
      </c>
      <c r="E443">
        <v>0.141974254633669</v>
      </c>
      <c r="F443">
        <v>0.245093457827641</v>
      </c>
      <c r="G443">
        <v>0.234275752927427</v>
      </c>
      <c r="H443">
        <v>12.840680861222401</v>
      </c>
      <c r="I443">
        <v>2.3583669115383601</v>
      </c>
      <c r="J443">
        <v>-5.3845339096558797</v>
      </c>
      <c r="K443">
        <v>38</v>
      </c>
      <c r="L443" t="b">
        <v>0</v>
      </c>
      <c r="M443" t="b">
        <v>1</v>
      </c>
      <c r="N443" t="b">
        <v>1</v>
      </c>
      <c r="O443" t="b">
        <v>1</v>
      </c>
      <c r="P443" t="b">
        <v>1</v>
      </c>
      <c r="Q443" t="s">
        <v>11</v>
      </c>
      <c r="R443">
        <f>SUM(M443+P443)</f>
        <v>2</v>
      </c>
    </row>
    <row r="444" spans="1:18" x14ac:dyDescent="0.2">
      <c r="A444">
        <v>45169</v>
      </c>
      <c r="B444" t="s">
        <v>11</v>
      </c>
      <c r="C444">
        <v>0</v>
      </c>
      <c r="D444">
        <v>384</v>
      </c>
      <c r="E444">
        <v>4.7850044018110299E-2</v>
      </c>
      <c r="F444">
        <v>0.33495369734249297</v>
      </c>
      <c r="G444">
        <v>1.34820226557233E-2</v>
      </c>
      <c r="H444">
        <v>1.1548977874111099</v>
      </c>
      <c r="I444">
        <v>0.16965253449061399</v>
      </c>
      <c r="J444">
        <v>-6.5253828757521202</v>
      </c>
      <c r="K444">
        <v>40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s">
        <v>11</v>
      </c>
      <c r="R444">
        <f>SUM(M444+P444)</f>
        <v>2</v>
      </c>
    </row>
    <row r="445" spans="1:18" x14ac:dyDescent="0.2">
      <c r="A445">
        <v>45292</v>
      </c>
      <c r="B445" t="s">
        <v>11</v>
      </c>
      <c r="C445">
        <v>29890</v>
      </c>
      <c r="D445">
        <v>253</v>
      </c>
      <c r="E445">
        <v>0.185207991242474</v>
      </c>
      <c r="F445">
        <v>0.313329205074456</v>
      </c>
      <c r="G445">
        <v>4.6242841933835502E-2</v>
      </c>
      <c r="H445">
        <v>3.9889700973492799</v>
      </c>
      <c r="I445">
        <v>0.58667946505016</v>
      </c>
      <c r="J445">
        <v>-6.4835439668603296</v>
      </c>
      <c r="K445">
        <v>26</v>
      </c>
      <c r="L445" t="b">
        <v>0</v>
      </c>
      <c r="M445" t="b">
        <v>1</v>
      </c>
      <c r="N445" t="b">
        <v>1</v>
      </c>
      <c r="O445" t="b">
        <v>1</v>
      </c>
      <c r="P445" t="b">
        <v>1</v>
      </c>
      <c r="Q445" t="s">
        <v>11</v>
      </c>
      <c r="R445">
        <f>SUM(M445+P445)</f>
        <v>2</v>
      </c>
    </row>
    <row r="446" spans="1:18" x14ac:dyDescent="0.2">
      <c r="A446">
        <v>45299</v>
      </c>
      <c r="B446" t="s">
        <v>11</v>
      </c>
      <c r="C446">
        <v>33</v>
      </c>
      <c r="D446">
        <v>299</v>
      </c>
      <c r="E446">
        <v>8.94254480027631E-2</v>
      </c>
      <c r="F446">
        <v>0.298604361993204</v>
      </c>
      <c r="G446">
        <v>3.9751152037777598E-2</v>
      </c>
      <c r="H446">
        <v>1.53920594231186</v>
      </c>
      <c r="I446">
        <v>0.45437356888590302</v>
      </c>
      <c r="J446">
        <v>-3.1907236546876501</v>
      </c>
      <c r="K446">
        <v>28</v>
      </c>
      <c r="L446" t="b">
        <v>0</v>
      </c>
      <c r="M446" t="b">
        <v>1</v>
      </c>
      <c r="N446" t="b">
        <v>1</v>
      </c>
      <c r="O446" t="b">
        <v>1</v>
      </c>
      <c r="P446" t="b">
        <v>1</v>
      </c>
      <c r="Q446" t="s">
        <v>11</v>
      </c>
      <c r="R446">
        <f>SUM(M446+P446)</f>
        <v>2</v>
      </c>
    </row>
    <row r="447" spans="1:18" x14ac:dyDescent="0.2">
      <c r="A447">
        <v>45300</v>
      </c>
      <c r="B447" t="s">
        <v>11</v>
      </c>
      <c r="C447">
        <v>25</v>
      </c>
      <c r="D447">
        <v>203</v>
      </c>
      <c r="E447">
        <v>1.8817550180133799E-2</v>
      </c>
      <c r="F447">
        <v>0.26403991277567201</v>
      </c>
      <c r="G447">
        <v>0.18781611187063599</v>
      </c>
      <c r="H447">
        <v>11.3645227440872</v>
      </c>
      <c r="I447">
        <v>2.34190411259326</v>
      </c>
      <c r="J447">
        <v>-4.8446497586716202</v>
      </c>
      <c r="K447">
        <v>42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s">
        <v>11</v>
      </c>
      <c r="R447">
        <f>SUM(M447+P447)</f>
        <v>2</v>
      </c>
    </row>
    <row r="448" spans="1:18" x14ac:dyDescent="0.2">
      <c r="A448">
        <v>45369</v>
      </c>
      <c r="B448" t="s">
        <v>11</v>
      </c>
      <c r="C448">
        <v>6.5</v>
      </c>
      <c r="D448">
        <v>393</v>
      </c>
      <c r="E448">
        <v>4.5272337715892501E-2</v>
      </c>
      <c r="F448">
        <v>0.31535634667689699</v>
      </c>
      <c r="G448">
        <v>1.5484223990695E-2</v>
      </c>
      <c r="H448">
        <v>1.1722744084332499</v>
      </c>
      <c r="I448">
        <v>0.17801446948683999</v>
      </c>
      <c r="J448">
        <v>-6.3309576685881499</v>
      </c>
      <c r="K448">
        <v>45</v>
      </c>
      <c r="L448" t="b">
        <v>0</v>
      </c>
      <c r="M448" t="b">
        <v>1</v>
      </c>
      <c r="N448" t="b">
        <v>1</v>
      </c>
      <c r="O448" t="b">
        <v>1</v>
      </c>
      <c r="P448" t="b">
        <v>1</v>
      </c>
      <c r="Q448" t="s">
        <v>11</v>
      </c>
      <c r="R448">
        <f>SUM(M448+P448)</f>
        <v>2</v>
      </c>
    </row>
    <row r="449" spans="1:18" x14ac:dyDescent="0.2">
      <c r="A449">
        <v>45376</v>
      </c>
      <c r="B449" t="s">
        <v>11</v>
      </c>
      <c r="C449">
        <v>0</v>
      </c>
      <c r="D449">
        <v>364</v>
      </c>
      <c r="E449">
        <v>0.19281961337869299</v>
      </c>
      <c r="F449">
        <v>0.33830027285658698</v>
      </c>
      <c r="G449">
        <v>5.6175639991075298E-2</v>
      </c>
      <c r="H449">
        <v>4.8518571624855698</v>
      </c>
      <c r="I449">
        <v>0.813379999823309</v>
      </c>
      <c r="J449">
        <v>-5.7279962011838901</v>
      </c>
      <c r="K449">
        <v>20</v>
      </c>
      <c r="L449" t="b">
        <v>0</v>
      </c>
      <c r="M449" t="b">
        <v>1</v>
      </c>
      <c r="N449" t="b">
        <v>1</v>
      </c>
      <c r="O449" t="b">
        <v>1</v>
      </c>
      <c r="P449" t="b">
        <v>1</v>
      </c>
      <c r="Q449" t="s">
        <v>11</v>
      </c>
      <c r="R449">
        <f>SUM(M449+P449)</f>
        <v>2</v>
      </c>
    </row>
    <row r="450" spans="1:18" x14ac:dyDescent="0.2">
      <c r="A450">
        <v>45475</v>
      </c>
      <c r="B450" t="s">
        <v>11</v>
      </c>
      <c r="C450">
        <v>430</v>
      </c>
      <c r="D450">
        <v>410</v>
      </c>
      <c r="E450">
        <v>0.12590840192667199</v>
      </c>
      <c r="F450">
        <v>0.30597184779073799</v>
      </c>
      <c r="G450">
        <v>2.5092699210797001E-2</v>
      </c>
      <c r="H450">
        <v>1.9171912001454099</v>
      </c>
      <c r="I450">
        <v>0.31788245586334901</v>
      </c>
      <c r="J450">
        <v>-5.6350476887871102</v>
      </c>
      <c r="K450">
        <v>26</v>
      </c>
      <c r="L450" t="b">
        <v>0</v>
      </c>
      <c r="M450" t="b">
        <v>1</v>
      </c>
      <c r="N450" t="b">
        <v>1</v>
      </c>
      <c r="O450" t="b">
        <v>1</v>
      </c>
      <c r="P450" t="b">
        <v>1</v>
      </c>
      <c r="Q450" t="s">
        <v>11</v>
      </c>
      <c r="R450">
        <f>SUM(M450+P450)</f>
        <v>2</v>
      </c>
    </row>
    <row r="451" spans="1:18" x14ac:dyDescent="0.2">
      <c r="A451">
        <v>45720</v>
      </c>
      <c r="B451" t="s">
        <v>11</v>
      </c>
      <c r="C451">
        <v>7</v>
      </c>
      <c r="D451">
        <v>160</v>
      </c>
      <c r="E451">
        <v>1.7537234311102101E-2</v>
      </c>
      <c r="F451">
        <v>0.31128676628338398</v>
      </c>
      <c r="G451">
        <v>7.7476411807257006E-2</v>
      </c>
      <c r="H451">
        <v>2.5758547442823199</v>
      </c>
      <c r="I451">
        <v>0.92511658312131295</v>
      </c>
      <c r="J451">
        <v>-2.7654001199930298</v>
      </c>
      <c r="K451">
        <v>23</v>
      </c>
      <c r="L451" t="b">
        <v>0</v>
      </c>
      <c r="M451" t="b">
        <v>1</v>
      </c>
      <c r="N451" t="b">
        <v>1</v>
      </c>
      <c r="O451" t="b">
        <v>1</v>
      </c>
      <c r="P451" t="b">
        <v>1</v>
      </c>
      <c r="Q451" t="s">
        <v>11</v>
      </c>
      <c r="R451">
        <f>SUM(M451+P451)</f>
        <v>2</v>
      </c>
    </row>
    <row r="452" spans="1:18" x14ac:dyDescent="0.2">
      <c r="A452">
        <v>45782</v>
      </c>
      <c r="B452" t="s">
        <v>10</v>
      </c>
      <c r="C452">
        <v>563.5</v>
      </c>
      <c r="D452">
        <v>429</v>
      </c>
      <c r="E452">
        <v>0.12436445767054601</v>
      </c>
      <c r="F452">
        <v>0.117014109600552</v>
      </c>
      <c r="G452">
        <v>0.22156658663751699</v>
      </c>
      <c r="H452">
        <v>6.2994751993923703</v>
      </c>
      <c r="I452">
        <v>0.983651865144475</v>
      </c>
      <c r="J452">
        <v>-6.2777400831897499</v>
      </c>
      <c r="K452" s="5">
        <v>18</v>
      </c>
      <c r="L452" t="b">
        <v>0</v>
      </c>
      <c r="M452" t="b">
        <v>1</v>
      </c>
      <c r="N452" t="b">
        <v>1</v>
      </c>
      <c r="O452" t="b">
        <v>1</v>
      </c>
      <c r="P452" t="b">
        <v>1</v>
      </c>
      <c r="Q452" t="s">
        <v>10</v>
      </c>
      <c r="R452">
        <f>SUM(M452+P452)</f>
        <v>2</v>
      </c>
    </row>
    <row r="453" spans="1:18" x14ac:dyDescent="0.2">
      <c r="A453">
        <v>46293</v>
      </c>
      <c r="B453" t="s">
        <v>11</v>
      </c>
      <c r="C453">
        <v>39</v>
      </c>
      <c r="D453">
        <v>283</v>
      </c>
      <c r="E453">
        <v>0.13962664075683801</v>
      </c>
      <c r="F453">
        <v>0.26020597136820001</v>
      </c>
      <c r="G453">
        <v>2.8272858457792E-2</v>
      </c>
      <c r="H453">
        <v>1.8464940156279801</v>
      </c>
      <c r="I453">
        <v>0.288320481088504</v>
      </c>
      <c r="J453">
        <v>-5.9200351235096704</v>
      </c>
      <c r="K453">
        <v>14</v>
      </c>
      <c r="L453" t="b">
        <v>0</v>
      </c>
      <c r="M453" t="b">
        <v>1</v>
      </c>
      <c r="N453" t="b">
        <v>1</v>
      </c>
      <c r="O453" t="b">
        <v>1</v>
      </c>
      <c r="P453" t="b">
        <v>1</v>
      </c>
      <c r="Q453" t="s">
        <v>11</v>
      </c>
      <c r="R453">
        <f>SUM(M453+P453)</f>
        <v>2</v>
      </c>
    </row>
    <row r="454" spans="1:18" x14ac:dyDescent="0.2">
      <c r="A454">
        <v>46299</v>
      </c>
      <c r="B454" t="s">
        <v>11</v>
      </c>
      <c r="C454">
        <v>0</v>
      </c>
      <c r="D454">
        <v>337</v>
      </c>
      <c r="E454">
        <v>5.5653928787932801E-2</v>
      </c>
      <c r="F454">
        <v>0.26261243373335802</v>
      </c>
      <c r="G454">
        <v>0.39789688752448699</v>
      </c>
      <c r="H454">
        <v>25.7463739558446</v>
      </c>
      <c r="I454">
        <v>4.0991014215345496</v>
      </c>
      <c r="J454">
        <v>-6.2674028732470397</v>
      </c>
      <c r="K454">
        <v>11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s">
        <v>11</v>
      </c>
      <c r="R454">
        <f>SUM(M454+P454)</f>
        <v>2</v>
      </c>
    </row>
    <row r="455" spans="1:18" x14ac:dyDescent="0.2">
      <c r="A455">
        <v>46308</v>
      </c>
      <c r="B455" t="s">
        <v>11</v>
      </c>
      <c r="C455">
        <v>235</v>
      </c>
      <c r="D455">
        <v>364</v>
      </c>
      <c r="E455">
        <v>0.11692219228532399</v>
      </c>
      <c r="F455">
        <v>0.304625947786549</v>
      </c>
      <c r="G455">
        <v>2.90754178109459E-2</v>
      </c>
      <c r="H455">
        <v>2.30484442619368</v>
      </c>
      <c r="I455">
        <v>0.34726209333615299</v>
      </c>
      <c r="J455">
        <v>-6.3004925556053397</v>
      </c>
      <c r="K455">
        <v>9</v>
      </c>
      <c r="L455" t="b">
        <v>0</v>
      </c>
      <c r="M455" t="b">
        <v>1</v>
      </c>
      <c r="N455" t="b">
        <v>1</v>
      </c>
      <c r="O455" t="b">
        <v>1</v>
      </c>
      <c r="P455" t="b">
        <v>1</v>
      </c>
      <c r="Q455" t="s">
        <v>11</v>
      </c>
      <c r="R455">
        <f>SUM(M455+P455)</f>
        <v>2</v>
      </c>
    </row>
    <row r="456" spans="1:18" x14ac:dyDescent="0.2">
      <c r="A456">
        <v>46358</v>
      </c>
      <c r="B456" t="s">
        <v>11</v>
      </c>
      <c r="C456">
        <v>174.5</v>
      </c>
      <c r="D456">
        <v>475</v>
      </c>
      <c r="E456">
        <v>2.1699922143535999E-2</v>
      </c>
      <c r="F456">
        <v>2.1384129834921401E-2</v>
      </c>
      <c r="G456">
        <v>1.83112123852332E-2</v>
      </c>
      <c r="H456">
        <v>9.7060512396354798E-2</v>
      </c>
      <c r="I456">
        <v>1.5497143034372701E-2</v>
      </c>
      <c r="J456">
        <v>-4.8628698906416998</v>
      </c>
      <c r="K456">
        <v>18</v>
      </c>
      <c r="L456" t="b">
        <v>0</v>
      </c>
      <c r="M456" t="b">
        <v>1</v>
      </c>
      <c r="N456" t="b">
        <v>0</v>
      </c>
      <c r="O456" t="b">
        <v>1</v>
      </c>
      <c r="P456" t="b">
        <v>1</v>
      </c>
      <c r="Q456" t="s">
        <v>11</v>
      </c>
      <c r="R456">
        <f>SUM(M456+P456)</f>
        <v>2</v>
      </c>
    </row>
    <row r="457" spans="1:18" x14ac:dyDescent="0.2">
      <c r="A457">
        <v>46439</v>
      </c>
      <c r="B457" t="s">
        <v>11</v>
      </c>
      <c r="C457">
        <v>24</v>
      </c>
      <c r="D457">
        <v>324</v>
      </c>
      <c r="E457">
        <v>8.2837380723986498E-2</v>
      </c>
      <c r="F457">
        <v>7.7890408092376198E-2</v>
      </c>
      <c r="G457">
        <v>0.115738156113444</v>
      </c>
      <c r="H457">
        <v>2.5464491220275698</v>
      </c>
      <c r="I457">
        <v>0.36916292126651201</v>
      </c>
      <c r="J457">
        <v>-6.67350808919677</v>
      </c>
      <c r="K457">
        <v>17</v>
      </c>
      <c r="L457" t="b">
        <v>0</v>
      </c>
      <c r="M457" t="b">
        <v>1</v>
      </c>
      <c r="N457" t="b">
        <v>1</v>
      </c>
      <c r="O457" t="b">
        <v>1</v>
      </c>
      <c r="P457" t="b">
        <v>1</v>
      </c>
      <c r="Q457" t="s">
        <v>11</v>
      </c>
      <c r="R457">
        <f>SUM(M457+P457)</f>
        <v>2</v>
      </c>
    </row>
    <row r="458" spans="1:18" x14ac:dyDescent="0.2">
      <c r="A458">
        <v>46555</v>
      </c>
      <c r="B458" t="s">
        <v>11</v>
      </c>
      <c r="C458">
        <v>3373</v>
      </c>
      <c r="D458">
        <v>312</v>
      </c>
      <c r="E458">
        <v>0.193224143862022</v>
      </c>
      <c r="F458">
        <v>0.26470055822773197</v>
      </c>
      <c r="G458">
        <v>4.5365310140020598E-2</v>
      </c>
      <c r="H458">
        <v>2.7491154924424399</v>
      </c>
      <c r="I458">
        <v>0.48873611203335199</v>
      </c>
      <c r="J458">
        <v>-5.2295938148437902</v>
      </c>
      <c r="K458">
        <v>10</v>
      </c>
      <c r="L458" t="b">
        <v>0</v>
      </c>
      <c r="M458" t="b">
        <v>1</v>
      </c>
      <c r="N458" t="b">
        <v>1</v>
      </c>
      <c r="O458" t="b">
        <v>1</v>
      </c>
      <c r="P458" t="b">
        <v>1</v>
      </c>
      <c r="Q458" t="s">
        <v>11</v>
      </c>
      <c r="R458">
        <f>SUM(M458+P458)</f>
        <v>2</v>
      </c>
    </row>
    <row r="459" spans="1:18" x14ac:dyDescent="0.2">
      <c r="A459">
        <v>46604</v>
      </c>
      <c r="B459" t="s">
        <v>11</v>
      </c>
      <c r="C459">
        <v>42</v>
      </c>
      <c r="D459">
        <v>254</v>
      </c>
      <c r="E459">
        <v>1.7472378406007901E-2</v>
      </c>
      <c r="F459">
        <v>0.303519621954425</v>
      </c>
      <c r="G459">
        <v>1.0365790234688E-2</v>
      </c>
      <c r="H459">
        <v>0.62551419064657299</v>
      </c>
      <c r="I459">
        <v>0.112081772577872</v>
      </c>
      <c r="J459">
        <v>-5.4249839046586201</v>
      </c>
      <c r="K459" s="5">
        <v>14</v>
      </c>
      <c r="L459" t="b">
        <v>0</v>
      </c>
      <c r="M459" t="b">
        <v>1</v>
      </c>
      <c r="N459" t="b">
        <v>1</v>
      </c>
      <c r="O459" t="b">
        <v>1</v>
      </c>
      <c r="P459" t="b">
        <v>1</v>
      </c>
      <c r="Q459" t="s">
        <v>11</v>
      </c>
      <c r="R459">
        <f>SUM(M459+P459)</f>
        <v>2</v>
      </c>
    </row>
    <row r="460" spans="1:18" x14ac:dyDescent="0.2">
      <c r="A460">
        <v>46802</v>
      </c>
      <c r="B460" t="s">
        <v>10</v>
      </c>
      <c r="C460">
        <v>687</v>
      </c>
      <c r="D460">
        <v>436</v>
      </c>
      <c r="E460">
        <v>9.2839976330500298E-2</v>
      </c>
      <c r="F460">
        <v>0.222674872231613</v>
      </c>
      <c r="G460">
        <v>1.72456542307413E-2</v>
      </c>
      <c r="H460">
        <v>0.93114520048000204</v>
      </c>
      <c r="I460">
        <v>0.142471160399186</v>
      </c>
      <c r="J460">
        <v>-5.88403450776058</v>
      </c>
      <c r="K460" s="5">
        <v>15</v>
      </c>
      <c r="L460" t="b">
        <v>0</v>
      </c>
      <c r="M460" t="b">
        <v>1</v>
      </c>
      <c r="N460" t="b">
        <v>1</v>
      </c>
      <c r="O460" t="b">
        <v>1</v>
      </c>
      <c r="P460" t="b">
        <v>1</v>
      </c>
      <c r="Q460" t="s">
        <v>10</v>
      </c>
      <c r="R460">
        <f>SUM(M460+P460)</f>
        <v>2</v>
      </c>
    </row>
    <row r="461" spans="1:18" x14ac:dyDescent="0.2">
      <c r="A461">
        <v>48249</v>
      </c>
      <c r="B461" t="s">
        <v>11</v>
      </c>
      <c r="C461">
        <v>548.14784226585402</v>
      </c>
      <c r="D461">
        <v>392</v>
      </c>
      <c r="E461">
        <v>4.5289181831270203E-2</v>
      </c>
      <c r="F461">
        <v>0.29010740617428898</v>
      </c>
      <c r="G461">
        <v>3.0827958320043099E-2</v>
      </c>
      <c r="H461">
        <v>1.6316190659355201</v>
      </c>
      <c r="I461">
        <v>0.34657040643658199</v>
      </c>
      <c r="J461">
        <v>-4.5772225632730903</v>
      </c>
      <c r="K461">
        <v>18</v>
      </c>
      <c r="L461" t="b">
        <v>0</v>
      </c>
      <c r="M461" t="b">
        <v>1</v>
      </c>
      <c r="N461" t="b">
        <v>1</v>
      </c>
      <c r="O461" t="b">
        <v>1</v>
      </c>
      <c r="P461" t="b">
        <v>1</v>
      </c>
      <c r="Q461" t="s">
        <v>11</v>
      </c>
      <c r="R461">
        <f>SUM(M461+P461)</f>
        <v>2</v>
      </c>
    </row>
    <row r="462" spans="1:18" x14ac:dyDescent="0.2">
      <c r="A462">
        <v>48373</v>
      </c>
      <c r="B462" t="s">
        <v>11</v>
      </c>
      <c r="C462">
        <v>1.5</v>
      </c>
      <c r="D462">
        <v>333</v>
      </c>
      <c r="E462">
        <v>4.1964966533932002E-2</v>
      </c>
      <c r="F462">
        <v>0.30685893027653999</v>
      </c>
      <c r="G462">
        <v>0.31521257866813102</v>
      </c>
      <c r="H462">
        <v>3.6935573009333802</v>
      </c>
      <c r="I462">
        <v>0.64405022481779195</v>
      </c>
      <c r="J462">
        <v>-5.6697322564129502</v>
      </c>
      <c r="K462">
        <v>9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s">
        <v>11</v>
      </c>
      <c r="R462">
        <f>SUM(M462+P462)</f>
        <v>2</v>
      </c>
    </row>
    <row r="463" spans="1:18" x14ac:dyDescent="0.2">
      <c r="A463">
        <v>52269</v>
      </c>
      <c r="B463" t="s">
        <v>11</v>
      </c>
      <c r="C463">
        <v>564</v>
      </c>
      <c r="D463">
        <v>397</v>
      </c>
      <c r="E463">
        <v>4.6170815399629597E-2</v>
      </c>
      <c r="F463">
        <v>0.31060087064824898</v>
      </c>
      <c r="G463">
        <v>1.4939542989576201E-2</v>
      </c>
      <c r="H463">
        <v>1.1427118047301199</v>
      </c>
      <c r="I463">
        <v>0.17333589246436401</v>
      </c>
      <c r="J463">
        <v>-6.3261046153838203</v>
      </c>
      <c r="K463">
        <v>12</v>
      </c>
      <c r="L463" t="b">
        <v>0</v>
      </c>
      <c r="M463" t="b">
        <v>1</v>
      </c>
      <c r="N463" t="b">
        <v>1</v>
      </c>
      <c r="O463" t="b">
        <v>1</v>
      </c>
      <c r="P463" t="b">
        <v>1</v>
      </c>
      <c r="Q463" t="s">
        <v>11</v>
      </c>
      <c r="R463">
        <f>SUM(M463+P463)</f>
        <v>2</v>
      </c>
    </row>
    <row r="464" spans="1:18" x14ac:dyDescent="0.2">
      <c r="A464">
        <v>52783</v>
      </c>
      <c r="B464" t="s">
        <v>11</v>
      </c>
      <c r="C464">
        <v>631</v>
      </c>
      <c r="D464">
        <v>395</v>
      </c>
      <c r="E464">
        <v>4.2188877455964897E-2</v>
      </c>
      <c r="F464">
        <v>0.28146592588109798</v>
      </c>
      <c r="G464">
        <v>1.1748416087976899E-2</v>
      </c>
      <c r="H464">
        <v>0.851523829885663</v>
      </c>
      <c r="I464">
        <v>0.12720691452338301</v>
      </c>
      <c r="J464">
        <v>-6.3623503129692702</v>
      </c>
      <c r="K464">
        <v>15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s">
        <v>11</v>
      </c>
      <c r="R464">
        <f>SUM(M464+P464)</f>
        <v>2</v>
      </c>
    </row>
    <row r="465" spans="1:18" x14ac:dyDescent="0.2">
      <c r="A465">
        <v>52960</v>
      </c>
      <c r="B465" t="s">
        <v>11</v>
      </c>
      <c r="C465">
        <v>3640</v>
      </c>
      <c r="D465">
        <v>143</v>
      </c>
      <c r="E465">
        <v>6.9433821851220601E-2</v>
      </c>
      <c r="F465">
        <v>0.30084293613208202</v>
      </c>
      <c r="G465">
        <v>0.16302875668842001</v>
      </c>
      <c r="H465">
        <v>9.5989250178459606</v>
      </c>
      <c r="I465">
        <v>1.7651986888959399</v>
      </c>
      <c r="J465">
        <v>-5.3985374314746597</v>
      </c>
      <c r="K465">
        <v>10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s">
        <v>11</v>
      </c>
      <c r="R465">
        <f>SUM(M465+P465)</f>
        <v>2</v>
      </c>
    </row>
    <row r="466" spans="1:18" x14ac:dyDescent="0.2">
      <c r="A466">
        <v>53238</v>
      </c>
      <c r="B466" t="s">
        <v>11</v>
      </c>
      <c r="C466">
        <v>87.5</v>
      </c>
      <c r="D466">
        <v>232</v>
      </c>
      <c r="E466">
        <v>0.18094951180323801</v>
      </c>
      <c r="F466">
        <v>0.304981923455242</v>
      </c>
      <c r="G466">
        <v>4.6796177341479797E-2</v>
      </c>
      <c r="H466">
        <v>3.4158212399923098</v>
      </c>
      <c r="I466">
        <v>0.58180525771404401</v>
      </c>
      <c r="J466">
        <v>-5.5600592901121599</v>
      </c>
      <c r="K466" s="5">
        <v>18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s">
        <v>11</v>
      </c>
      <c r="R466">
        <f>SUM(M466+P466)</f>
        <v>2</v>
      </c>
    </row>
    <row r="467" spans="1:18" x14ac:dyDescent="0.2">
      <c r="A467">
        <v>62784</v>
      </c>
      <c r="B467" t="s">
        <v>10</v>
      </c>
      <c r="C467">
        <v>16</v>
      </c>
      <c r="D467">
        <v>311</v>
      </c>
      <c r="E467">
        <v>8.1753954902996806E-2</v>
      </c>
      <c r="F467">
        <v>0.30265875675321402</v>
      </c>
      <c r="G467">
        <v>0.20502026862037501</v>
      </c>
      <c r="H467">
        <v>15.674714633654499</v>
      </c>
      <c r="I467">
        <v>2.7990129764591498</v>
      </c>
      <c r="J467">
        <v>-5.5708783095665302</v>
      </c>
      <c r="K467">
        <v>9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s">
        <v>10</v>
      </c>
      <c r="R467">
        <f>SUM(M467+P467)</f>
        <v>2</v>
      </c>
    </row>
    <row r="468" spans="1:18" x14ac:dyDescent="0.2">
      <c r="A468">
        <v>63233</v>
      </c>
      <c r="B468" t="s">
        <v>10</v>
      </c>
      <c r="C468">
        <v>70.5</v>
      </c>
      <c r="D468">
        <v>209</v>
      </c>
      <c r="E468">
        <v>2.9685863874345599E-2</v>
      </c>
      <c r="F468">
        <v>0.100026400578132</v>
      </c>
      <c r="G468">
        <v>0.119769746837426</v>
      </c>
      <c r="H468">
        <v>2.7461419985557001</v>
      </c>
      <c r="I468">
        <v>0.48141488542788902</v>
      </c>
      <c r="J468">
        <v>-5.6426508961535804</v>
      </c>
      <c r="K468">
        <v>16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s">
        <v>10</v>
      </c>
      <c r="R468">
        <f>SUM(M468+P468)</f>
        <v>2</v>
      </c>
    </row>
  </sheetData>
  <sortState xmlns:xlrd2="http://schemas.microsoft.com/office/spreadsheetml/2017/richdata2" ref="A2:R468">
    <sortCondition ref="R1:R468"/>
  </sortState>
  <conditionalFormatting sqref="L2:P468">
    <cfRule type="containsText" dxfId="3" priority="13" operator="containsText" text="FALSE">
      <formula>NOT(ISERROR(SEARCH("FALSE",L2)))</formula>
    </cfRule>
    <cfRule type="containsText" dxfId="2" priority="14" operator="containsText" text="TRUE">
      <formula>NOT(ISERROR(SEARCH("TRUE",L2)))</formula>
    </cfRule>
    <cfRule type="colorScale" priority="15">
      <colorScale>
        <cfvo type="formula" val="TRUE"/>
        <cfvo type="formula" val="FALSE"/>
        <color rgb="FF00B050"/>
        <color rgb="FFFF0000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468">
    <cfRule type="colorScale" priority="1">
      <colorScale>
        <cfvo type="num" val="0"/>
        <cfvo type="percentile" val="1"/>
        <cfvo type="num" val="2"/>
        <color rgb="FFFF0000"/>
        <color rgb="FFFFC00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4AC4-C2CE-0543-8477-93FD4FEAC296}">
  <dimension ref="A1:C2"/>
  <sheetViews>
    <sheetView workbookViewId="0">
      <selection activeCell="B1" sqref="B1:C2"/>
    </sheetView>
  </sheetViews>
  <sheetFormatPr baseColWidth="10" defaultRowHeight="16" x14ac:dyDescent="0.2"/>
  <sheetData>
    <row r="1" spans="1:3" x14ac:dyDescent="0.2">
      <c r="A1" s="4"/>
      <c r="B1" t="str">
        <f ca="1">_xlfn.FORMULATEXT(WorkingSheet_V2!V32)</f>
        <v>=COUNTIFS(L2:L468,"syns",M2:M468,U32,E2:E468,V31)/COUNTIF(L:L,"syns")</v>
      </c>
      <c r="C1" t="str">
        <f ca="1">_xlfn.FORMULATEXT(WorkingSheet_V2!W32)</f>
        <v>=COUNTIFS(L2:L468,"syns",M2:M468,U32,E2:E468,W31)/COUNTIF(L:L,"syns")</v>
      </c>
    </row>
    <row r="2" spans="1:3" x14ac:dyDescent="0.2">
      <c r="A2" s="4"/>
      <c r="B2" t="str">
        <f ca="1">_xlfn.FORMULATEXT(WorkingSheet_V2!V33)</f>
        <v>=COUNTIFS(L2:L468,"syns",M2:M468,U33,E2:E468,V31)/COUNTIF(L:L,"syns")</v>
      </c>
      <c r="C2" t="str">
        <f ca="1">_xlfn.FORMULATEXT(WorkingSheet_V2!W33)</f>
        <v>=COUNTIFS(L2:L468,"syns",M2:M468,U33,E2:E468,W31)/COUNTIF(L:L,"syns")</v>
      </c>
    </row>
  </sheetData>
  <conditionalFormatting sqref="A1:A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WorkingSheet_V2</vt:lpstr>
      <vt:lpstr>WorkingSheet_V3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Rémy Lachelin</cp:lastModifiedBy>
  <dcterms:created xsi:type="dcterms:W3CDTF">2025-07-02T13:30:52Z</dcterms:created>
  <dcterms:modified xsi:type="dcterms:W3CDTF">2025-07-02T15:56:14Z</dcterms:modified>
</cp:coreProperties>
</file>