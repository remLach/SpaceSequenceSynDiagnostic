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mylachelin/Documents/SpaceSequenceSynDiagnostic/SpaceSequenceSynDiagnostic/ReproduceRothen/"/>
    </mc:Choice>
  </mc:AlternateContent>
  <xr:revisionPtr revIDLastSave="0" documentId="13_ncr:1_{356C663C-8F1B-B345-9A91-9512CDF90796}" xr6:coauthVersionLast="47" xr6:coauthVersionMax="47" xr10:uidLastSave="{00000000-0000-0000-0000-000000000000}"/>
  <bookViews>
    <workbookView minimized="1" xWindow="32760" yWindow="-120" windowWidth="27640" windowHeight="16680" activeTab="1" xr2:uid="{5B9ACCC8-294C-0C42-A647-67386C9A49FB}"/>
  </bookViews>
  <sheets>
    <sheet name="Original" sheetId="1" r:id="rId1"/>
    <sheet name="Rep_noNaN" sheetId="2" r:id="rId2"/>
    <sheet name="Rep_wNaN" sheetId="5" r:id="rId3"/>
    <sheet name="MERGE" sheetId="3" r:id="rId4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9" i="3" l="1"/>
  <c r="AJ29" i="3"/>
  <c r="AI30" i="3"/>
  <c r="AJ30" i="3"/>
  <c r="AI31" i="3"/>
  <c r="AJ31" i="3"/>
  <c r="AI32" i="3"/>
  <c r="AJ32" i="3"/>
  <c r="AI33" i="3"/>
  <c r="AJ33" i="3"/>
  <c r="AI34" i="3"/>
  <c r="AJ34" i="3"/>
  <c r="AI35" i="3"/>
  <c r="AJ35" i="3"/>
  <c r="AI36" i="3"/>
  <c r="AJ36" i="3"/>
  <c r="AI37" i="3"/>
  <c r="AJ37" i="3"/>
  <c r="AI38" i="3"/>
  <c r="AJ38" i="3"/>
  <c r="AI39" i="3"/>
  <c r="AJ39" i="3"/>
  <c r="AI40" i="3"/>
  <c r="AJ40" i="3"/>
  <c r="AI41" i="3"/>
  <c r="AJ41" i="3"/>
  <c r="AI42" i="3"/>
  <c r="AJ42" i="3"/>
  <c r="AI43" i="3"/>
  <c r="AJ43" i="3"/>
  <c r="AI44" i="3"/>
  <c r="AJ44" i="3"/>
  <c r="AI45" i="3"/>
  <c r="AJ45" i="3"/>
  <c r="AI46" i="3"/>
  <c r="AJ46" i="3"/>
  <c r="AI47" i="3"/>
  <c r="AJ47" i="3"/>
  <c r="AI48" i="3"/>
  <c r="AJ48" i="3"/>
  <c r="AI49" i="3"/>
  <c r="AJ49" i="3"/>
  <c r="AI50" i="3"/>
  <c r="AJ50" i="3"/>
  <c r="AI51" i="3"/>
  <c r="AJ51" i="3"/>
  <c r="AI52" i="3"/>
  <c r="AJ52" i="3"/>
  <c r="AI53" i="3"/>
  <c r="AJ53" i="3"/>
  <c r="AI54" i="3"/>
  <c r="AJ54" i="3"/>
  <c r="AI55" i="3"/>
  <c r="AJ55" i="3"/>
  <c r="AI56" i="3"/>
  <c r="AJ56" i="3"/>
  <c r="AI57" i="3"/>
  <c r="AJ57" i="3"/>
  <c r="AI58" i="3"/>
  <c r="AJ58" i="3"/>
  <c r="AI59" i="3"/>
  <c r="AJ59" i="3"/>
  <c r="AI60" i="3"/>
  <c r="AJ60" i="3"/>
  <c r="AI61" i="3"/>
  <c r="AJ61" i="3"/>
  <c r="AI62" i="3"/>
  <c r="AJ62" i="3"/>
  <c r="AI63" i="3"/>
  <c r="AJ63" i="3"/>
  <c r="AI64" i="3"/>
  <c r="AJ64" i="3"/>
  <c r="AI65" i="3"/>
  <c r="AJ65" i="3"/>
  <c r="AI66" i="3"/>
  <c r="AJ66" i="3"/>
  <c r="AI67" i="3"/>
  <c r="AJ67" i="3"/>
  <c r="AI68" i="3"/>
  <c r="AJ68" i="3"/>
  <c r="AI69" i="3"/>
  <c r="AJ69" i="3"/>
  <c r="AI70" i="3"/>
  <c r="AJ70" i="3"/>
  <c r="AI71" i="3"/>
  <c r="AJ71" i="3"/>
  <c r="AI15" i="3"/>
  <c r="AJ15" i="3"/>
  <c r="AI16" i="3"/>
  <c r="AJ16" i="3"/>
  <c r="AI17" i="3"/>
  <c r="AJ17" i="3"/>
  <c r="AI18" i="3"/>
  <c r="AJ18" i="3"/>
  <c r="AI19" i="3"/>
  <c r="AJ19" i="3"/>
  <c r="AI20" i="3"/>
  <c r="AJ20" i="3"/>
  <c r="AI21" i="3"/>
  <c r="AJ21" i="3"/>
  <c r="AI22" i="3"/>
  <c r="AJ22" i="3"/>
  <c r="AI23" i="3"/>
  <c r="AJ23" i="3"/>
  <c r="AI24" i="3"/>
  <c r="AJ24" i="3"/>
  <c r="AI25" i="3"/>
  <c r="AJ25" i="3"/>
  <c r="AI26" i="3"/>
  <c r="AJ26" i="3"/>
  <c r="AI27" i="3"/>
  <c r="AJ27" i="3"/>
  <c r="AI28" i="3"/>
  <c r="AJ28" i="3"/>
  <c r="AI3" i="3"/>
  <c r="AJ3" i="3"/>
  <c r="AI4" i="3"/>
  <c r="AJ4" i="3"/>
  <c r="AI5" i="3"/>
  <c r="AJ5" i="3"/>
  <c r="AI6" i="3"/>
  <c r="AJ6" i="3"/>
  <c r="AI7" i="3"/>
  <c r="AJ7" i="3"/>
  <c r="AI8" i="3"/>
  <c r="AJ8" i="3"/>
  <c r="AI9" i="3"/>
  <c r="AJ9" i="3"/>
  <c r="AI10" i="3"/>
  <c r="AJ10" i="3"/>
  <c r="AI11" i="3"/>
  <c r="AJ11" i="3"/>
  <c r="AI12" i="3"/>
  <c r="AJ12" i="3"/>
  <c r="AI13" i="3"/>
  <c r="AJ13" i="3"/>
  <c r="AI14" i="3"/>
  <c r="AJ14" i="3"/>
  <c r="AJ2" i="3"/>
  <c r="AI2" i="3"/>
  <c r="V27" i="3"/>
  <c r="W27" i="3"/>
  <c r="V28" i="3"/>
  <c r="W28" i="3"/>
  <c r="V29" i="3"/>
  <c r="W29" i="3"/>
  <c r="V30" i="3"/>
  <c r="W30" i="3"/>
  <c r="V31" i="3"/>
  <c r="W31" i="3"/>
  <c r="V32" i="3"/>
  <c r="W32" i="3"/>
  <c r="V33" i="3"/>
  <c r="W33" i="3"/>
  <c r="V34" i="3"/>
  <c r="W34" i="3"/>
  <c r="V35" i="3"/>
  <c r="W35" i="3"/>
  <c r="V36" i="3"/>
  <c r="W36" i="3"/>
  <c r="V37" i="3"/>
  <c r="W37" i="3"/>
  <c r="V38" i="3"/>
  <c r="W38" i="3"/>
  <c r="V39" i="3"/>
  <c r="W39" i="3"/>
  <c r="V40" i="3"/>
  <c r="W40" i="3"/>
  <c r="V41" i="3"/>
  <c r="W41" i="3"/>
  <c r="V42" i="3"/>
  <c r="W42" i="3"/>
  <c r="V43" i="3"/>
  <c r="W43" i="3"/>
  <c r="V44" i="3"/>
  <c r="W44" i="3"/>
  <c r="V45" i="3"/>
  <c r="W45" i="3"/>
  <c r="V46" i="3"/>
  <c r="W46" i="3"/>
  <c r="V47" i="3"/>
  <c r="W47" i="3"/>
  <c r="V48" i="3"/>
  <c r="W48" i="3"/>
  <c r="V49" i="3"/>
  <c r="W49" i="3"/>
  <c r="V50" i="3"/>
  <c r="W50" i="3"/>
  <c r="V51" i="3"/>
  <c r="W51" i="3"/>
  <c r="V52" i="3"/>
  <c r="W52" i="3"/>
  <c r="V53" i="3"/>
  <c r="W53" i="3"/>
  <c r="V54" i="3"/>
  <c r="W54" i="3"/>
  <c r="V55" i="3"/>
  <c r="W55" i="3"/>
  <c r="V56" i="3"/>
  <c r="W56" i="3"/>
  <c r="V57" i="3"/>
  <c r="W57" i="3"/>
  <c r="V58" i="3"/>
  <c r="W58" i="3"/>
  <c r="V59" i="3"/>
  <c r="W59" i="3"/>
  <c r="V60" i="3"/>
  <c r="W60" i="3"/>
  <c r="V61" i="3"/>
  <c r="W61" i="3"/>
  <c r="V62" i="3"/>
  <c r="W62" i="3"/>
  <c r="V63" i="3"/>
  <c r="W63" i="3"/>
  <c r="V64" i="3"/>
  <c r="W64" i="3"/>
  <c r="V65" i="3"/>
  <c r="W65" i="3"/>
  <c r="V66" i="3"/>
  <c r="W66" i="3"/>
  <c r="V67" i="3"/>
  <c r="W67" i="3"/>
  <c r="V68" i="3"/>
  <c r="W68" i="3"/>
  <c r="V69" i="3"/>
  <c r="W69" i="3"/>
  <c r="V70" i="3"/>
  <c r="W70" i="3"/>
  <c r="V71" i="3"/>
  <c r="W71" i="3"/>
  <c r="V14" i="3"/>
  <c r="W14" i="3"/>
  <c r="V15" i="3"/>
  <c r="W15" i="3"/>
  <c r="V16" i="3"/>
  <c r="W16" i="3"/>
  <c r="V17" i="3"/>
  <c r="W17" i="3"/>
  <c r="V18" i="3"/>
  <c r="W18" i="3"/>
  <c r="V19" i="3"/>
  <c r="W19" i="3"/>
  <c r="V20" i="3"/>
  <c r="W20" i="3"/>
  <c r="V21" i="3"/>
  <c r="W21" i="3"/>
  <c r="V22" i="3"/>
  <c r="W22" i="3"/>
  <c r="V23" i="3"/>
  <c r="W23" i="3"/>
  <c r="V24" i="3"/>
  <c r="W24" i="3"/>
  <c r="V25" i="3"/>
  <c r="W25" i="3"/>
  <c r="V26" i="3"/>
  <c r="W26" i="3"/>
  <c r="V3" i="3"/>
  <c r="W3" i="3"/>
  <c r="V4" i="3"/>
  <c r="W4" i="3"/>
  <c r="V5" i="3"/>
  <c r="W5" i="3"/>
  <c r="V6" i="3"/>
  <c r="W6" i="3"/>
  <c r="V7" i="3"/>
  <c r="W7" i="3"/>
  <c r="V8" i="3"/>
  <c r="W8" i="3"/>
  <c r="V9" i="3"/>
  <c r="W9" i="3"/>
  <c r="V10" i="3"/>
  <c r="W10" i="3"/>
  <c r="V11" i="3"/>
  <c r="W11" i="3"/>
  <c r="V12" i="3"/>
  <c r="W12" i="3"/>
  <c r="V13" i="3"/>
  <c r="W13" i="3"/>
  <c r="W2" i="3"/>
  <c r="V2" i="3"/>
  <c r="B2" i="2" a="1"/>
  <c r="B2" i="2"/>
  <c r="U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" i="3"/>
  <c r="U4" i="3"/>
  <c r="U5" i="3"/>
  <c r="U6" i="3"/>
  <c r="U7" i="3"/>
  <c r="U8" i="3"/>
  <c r="U9" i="3"/>
  <c r="U10" i="3"/>
  <c r="U11" i="3"/>
  <c r="U12" i="3"/>
  <c r="U13" i="3"/>
  <c r="U14" i="3"/>
  <c r="B9" i="2" a="1"/>
  <c r="B9" i="2"/>
  <c r="B47" i="2" a="1"/>
  <c r="B47" i="2"/>
  <c r="B48" i="2" a="1"/>
  <c r="B48" i="2"/>
  <c r="B10" i="2" a="1"/>
  <c r="B10" i="2"/>
  <c r="B6" i="2" a="1"/>
  <c r="B6" i="2"/>
  <c r="B49" i="2" a="1"/>
  <c r="B49" i="2"/>
  <c r="B50" i="2" a="1"/>
  <c r="B50" i="2"/>
  <c r="B51" i="2" a="1"/>
  <c r="B51" i="2"/>
  <c r="B52" i="2" a="1"/>
  <c r="B52" i="2"/>
  <c r="B53" i="2" a="1"/>
  <c r="B53" i="2"/>
  <c r="B7" i="2" a="1"/>
  <c r="B7" i="2"/>
  <c r="B8" i="2" a="1"/>
  <c r="B8" i="2"/>
  <c r="B11" i="2" a="1"/>
  <c r="B11" i="2"/>
  <c r="B12" i="2" a="1"/>
  <c r="B12" i="2"/>
  <c r="B13" i="2" a="1"/>
  <c r="B13" i="2"/>
  <c r="B14" i="2" a="1"/>
  <c r="B14" i="2"/>
  <c r="B15" i="2" a="1"/>
  <c r="B15" i="2"/>
  <c r="B16" i="2" a="1"/>
  <c r="B16" i="2"/>
  <c r="B17" i="2" a="1"/>
  <c r="B17" i="2"/>
  <c r="B18" i="2" a="1"/>
  <c r="B18" i="2"/>
  <c r="B19" i="2" a="1"/>
  <c r="B19" i="2"/>
  <c r="B20" i="2" a="1"/>
  <c r="B20" i="2"/>
  <c r="B54" i="2" a="1"/>
  <c r="B54" i="2"/>
  <c r="B55" i="2" a="1"/>
  <c r="B55" i="2"/>
  <c r="B56" i="2" a="1"/>
  <c r="B56" i="2"/>
  <c r="B57" i="2" a="1"/>
  <c r="B57" i="2"/>
  <c r="B58" i="2" a="1"/>
  <c r="B58" i="2"/>
  <c r="B59" i="2" a="1"/>
  <c r="B59" i="2"/>
  <c r="B60" i="2" a="1"/>
  <c r="B60" i="2"/>
  <c r="B61" i="2" a="1"/>
  <c r="B61" i="2"/>
  <c r="B62" i="2" a="1"/>
  <c r="B62" i="2"/>
  <c r="B63" i="2" a="1"/>
  <c r="B63" i="2"/>
  <c r="B64" i="2" a="1"/>
  <c r="B64" i="2"/>
  <c r="B65" i="2" a="1"/>
  <c r="B65" i="2"/>
  <c r="B66" i="2" a="1"/>
  <c r="B66" i="2"/>
  <c r="B67" i="2" a="1"/>
  <c r="B67" i="2"/>
  <c r="B21" i="2" a="1"/>
  <c r="B21" i="2"/>
  <c r="B68" i="2" a="1"/>
  <c r="B68" i="2"/>
  <c r="B69" i="2" a="1"/>
  <c r="B69" i="2"/>
  <c r="B70" i="2" a="1"/>
  <c r="B70" i="2"/>
  <c r="B71" i="2" a="1"/>
  <c r="B71" i="2"/>
  <c r="B22" i="2" a="1"/>
  <c r="B22" i="2"/>
  <c r="B23" i="2" a="1"/>
  <c r="B23" i="2"/>
  <c r="B24" i="2" a="1"/>
  <c r="B24" i="2"/>
  <c r="B25" i="2" a="1"/>
  <c r="B25" i="2"/>
  <c r="B26" i="2" a="1"/>
  <c r="B26" i="2"/>
  <c r="B27" i="2" a="1"/>
  <c r="B27" i="2"/>
  <c r="B28" i="2" a="1"/>
  <c r="B28" i="2"/>
  <c r="B29" i="2" a="1"/>
  <c r="B29" i="2"/>
  <c r="B30" i="2" a="1"/>
  <c r="B30" i="2"/>
  <c r="B31" i="2" a="1"/>
  <c r="B31" i="2"/>
  <c r="B3" i="2" a="1"/>
  <c r="B3" i="2"/>
  <c r="B32" i="2" a="1"/>
  <c r="B32" i="2"/>
  <c r="B33" i="2" a="1"/>
  <c r="B33" i="2"/>
  <c r="B34" i="2" a="1"/>
  <c r="B34" i="2"/>
  <c r="B35" i="2" a="1"/>
  <c r="B35" i="2"/>
  <c r="B4" i="2" a="1"/>
  <c r="B4" i="2"/>
  <c r="B36" i="2" a="1"/>
  <c r="B36" i="2"/>
  <c r="B37" i="2" a="1"/>
  <c r="B37" i="2"/>
  <c r="B38" i="2" a="1"/>
  <c r="B38" i="2"/>
  <c r="B5" i="2" a="1"/>
  <c r="B5" i="2"/>
  <c r="B39" i="2" a="1"/>
  <c r="B39" i="2"/>
  <c r="B40" i="2" a="1"/>
  <c r="B40" i="2"/>
  <c r="B41" i="2" a="1"/>
  <c r="B41" i="2"/>
  <c r="B42" i="2" a="1"/>
  <c r="B42" i="2"/>
  <c r="B43" i="2" a="1"/>
  <c r="B43" i="2"/>
  <c r="B44" i="2" a="1"/>
  <c r="B44" i="2"/>
  <c r="B45" i="2" a="1"/>
  <c r="B45" i="2"/>
  <c r="B46" i="2" a="1"/>
  <c r="B4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<sst xmlns="http://schemas.openxmlformats.org/spreadsheetml/2006/main" count="501" uniqueCount="114">
  <si>
    <t>ALL INDUCERS</t>
  </si>
  <si>
    <t>NUMBERS</t>
  </si>
  <si>
    <t>DAYS</t>
  </si>
  <si>
    <t>MONTHS</t>
  </si>
  <si>
    <t>ALPHABET</t>
  </si>
  <si>
    <t>subject</t>
  </si>
  <si>
    <t>group</t>
  </si>
  <si>
    <t>X-variability in x coordinates (are they clicking in the same place for all stimuli)</t>
  </si>
  <si>
    <t>y-variability in y coordinates (are they clicking in the same place for all stimuli)</t>
  </si>
  <si>
    <t>angle-variability in degrees (whether everything is on a straight line)</t>
  </si>
  <si>
    <t>length ave</t>
  </si>
  <si>
    <t>length max</t>
  </si>
  <si>
    <t>area</t>
  </si>
  <si>
    <t>yes=1, no=0</t>
  </si>
  <si>
    <t>Con</t>
  </si>
  <si>
    <t>SSS</t>
  </si>
  <si>
    <t>ID...1</t>
  </si>
  <si>
    <t>M_area</t>
  </si>
  <si>
    <t>SD_area</t>
  </si>
  <si>
    <t>M_perim</t>
  </si>
  <si>
    <t>SD_perim</t>
  </si>
  <si>
    <t>ID...6</t>
  </si>
  <si>
    <t>M_area_day</t>
  </si>
  <si>
    <t>M_area_month</t>
  </si>
  <si>
    <t>M_area_number</t>
  </si>
  <si>
    <t>SD_area_day</t>
  </si>
  <si>
    <t>SD_area_month</t>
  </si>
  <si>
    <t>SD_area_number</t>
  </si>
  <si>
    <t>M_perim_day</t>
  </si>
  <si>
    <t>M_perim_month</t>
  </si>
  <si>
    <t>M_perim_number</t>
  </si>
  <si>
    <t>SD_perim_day</t>
  </si>
  <si>
    <t>SD_perim_month</t>
  </si>
  <si>
    <t>SD_perim_number</t>
  </si>
  <si>
    <t>1005_SeMi</t>
  </si>
  <si>
    <t>101_Elin</t>
  </si>
  <si>
    <t>1025_MaJo</t>
  </si>
  <si>
    <t>1027_ReEd</t>
  </si>
  <si>
    <t>103_PG</t>
  </si>
  <si>
    <t>10_AS</t>
  </si>
  <si>
    <t>1107_GeBe</t>
  </si>
  <si>
    <t>1178_AlCa</t>
  </si>
  <si>
    <t>1188_MiBo</t>
  </si>
  <si>
    <t>1198_LiKe</t>
  </si>
  <si>
    <t>1230_FeKe</t>
  </si>
  <si>
    <t>12_CH</t>
  </si>
  <si>
    <t>13_vz</t>
  </si>
  <si>
    <t>146_ChSa</t>
  </si>
  <si>
    <t>147_MeWi</t>
  </si>
  <si>
    <t>148_KaHe</t>
  </si>
  <si>
    <t>149_MaRo</t>
  </si>
  <si>
    <t>150_AnTa</t>
  </si>
  <si>
    <t>156_LoGr</t>
  </si>
  <si>
    <t>157_OlJe</t>
  </si>
  <si>
    <t>158_JuWa</t>
  </si>
  <si>
    <t>160_ToPa</t>
  </si>
  <si>
    <t>161_FrCo</t>
  </si>
  <si>
    <t>1_LD</t>
  </si>
  <si>
    <t>2002_PaKr</t>
  </si>
  <si>
    <t>2006_MeFu</t>
  </si>
  <si>
    <t>2008_SaMa</t>
  </si>
  <si>
    <t>2009_YaAh</t>
  </si>
  <si>
    <t>2010_SoBr</t>
  </si>
  <si>
    <t>2011_CoSc</t>
  </si>
  <si>
    <t>2012_FiDo</t>
  </si>
  <si>
    <t>2013_ChKi</t>
  </si>
  <si>
    <t>2014_DeMl</t>
  </si>
  <si>
    <t>2015_RhPo</t>
  </si>
  <si>
    <t>2016_PaPu</t>
  </si>
  <si>
    <t>2017_MaEl</t>
  </si>
  <si>
    <t>2018_KaAr</t>
  </si>
  <si>
    <t>2019_RiDa</t>
  </si>
  <si>
    <t>201_PaMi</t>
  </si>
  <si>
    <t>2020_FrHa</t>
  </si>
  <si>
    <t>2021_GiBo</t>
  </si>
  <si>
    <t>2022_ChPo</t>
  </si>
  <si>
    <t>2023_ChHu</t>
  </si>
  <si>
    <t>202_NiBl</t>
  </si>
  <si>
    <t>204_KaHo</t>
  </si>
  <si>
    <t>205_ZiLi</t>
  </si>
  <si>
    <t>209_LuSm</t>
  </si>
  <si>
    <t>210_ChWa</t>
  </si>
  <si>
    <t>214_ChKw</t>
  </si>
  <si>
    <t>214_LuBe</t>
  </si>
  <si>
    <t>215_JaWi</t>
  </si>
  <si>
    <t>217_PhKe</t>
  </si>
  <si>
    <t>219_AlMu</t>
  </si>
  <si>
    <t>3_GA</t>
  </si>
  <si>
    <t>410_ChAd</t>
  </si>
  <si>
    <t>424_ToWi</t>
  </si>
  <si>
    <t>480_BeHe</t>
  </si>
  <si>
    <t>482_MiSa</t>
  </si>
  <si>
    <t>4_JB</t>
  </si>
  <si>
    <t>532_DePa</t>
  </si>
  <si>
    <t>538_RoBr</t>
  </si>
  <si>
    <t>593_FrPo</t>
  </si>
  <si>
    <t>6_gks</t>
  </si>
  <si>
    <t>755_FrIn</t>
  </si>
  <si>
    <t>792_AnMa</t>
  </si>
  <si>
    <t>806_AmSq</t>
  </si>
  <si>
    <t>867_SaSe</t>
  </si>
  <si>
    <t>887_MaEi</t>
  </si>
  <si>
    <t>896_MaSc</t>
  </si>
  <si>
    <t>933_ClDa</t>
  </si>
  <si>
    <t>subject_2</t>
  </si>
  <si>
    <t>length ave num</t>
  </si>
  <si>
    <t>area num</t>
  </si>
  <si>
    <t>length ave day</t>
  </si>
  <si>
    <t>area day</t>
  </si>
  <si>
    <t>length ave month</t>
  </si>
  <si>
    <t>area month</t>
  </si>
  <si>
    <t>Compare</t>
  </si>
  <si>
    <t>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</si>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</sst>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47D359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2" fontId="0" fillId="0" borderId="0" xfId="0" applyNumberFormat="1"/>
    <xf numFmtId="0" fontId="0" fillId="4" borderId="0" xfId="0" applyFill="1"/>
    <xf numFmtId="0" fontId="0" fillId="5" borderId="0" xfId="0" applyFill="1"/>
    <xf numFmtId="1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1" fontId="0" fillId="6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8" borderId="0" xfId="0" applyFill="1"/>
    <xf numFmtId="2" fontId="0" fillId="8" borderId="0" xfId="0" applyNumberFormat="1" applyFill="1"/>
    <xf numFmtId="1" fontId="0" fillId="8" borderId="0" xfId="0" applyNumberFormat="1" applyFill="1"/>
    <xf numFmtId="0" fontId="0" fillId="8" borderId="0" xfId="0" applyNumberFormat="1" applyFill="1"/>
    <xf numFmtId="2" fontId="1" fillId="9" borderId="0" xfId="0" applyNumberFormat="1" applyFont="1" applyFill="1"/>
    <xf numFmtId="0" fontId="1" fillId="9" borderId="0" xfId="0" applyFont="1" applyFill="1"/>
    <xf numFmtId="1" fontId="1" fillId="9" borderId="0" xfId="0" applyNumberFormat="1" applyFont="1" applyFill="1"/>
    <xf numFmtId="0" fontId="1" fillId="10" borderId="0" xfId="0" applyFont="1" applyFill="1"/>
    <xf numFmtId="1" fontId="1" fillId="10" borderId="0" xfId="0" applyNumberFormat="1" applyFont="1" applyFill="1"/>
    <xf numFmtId="0" fontId="0" fillId="0" borderId="0" xfId="0" applyFill="1"/>
    <xf numFmtId="1" fontId="0" fillId="0" borderId="0" xfId="0" applyNumberFormat="1" applyFill="1"/>
    <xf numFmtId="2" fontId="0" fillId="0" borderId="0" xfId="0" applyNumberFormat="1" applyFill="1"/>
    <xf numFmtId="0" fontId="1" fillId="0" borderId="0" xfId="0" applyFont="1" applyFill="1"/>
    <xf numFmtId="1" fontId="1" fillId="0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0C1D-ED87-7341-8235-5F079D84AA8E}">
  <dimension ref="A1:AA72"/>
  <sheetViews>
    <sheetView workbookViewId="0">
      <selection activeCell="D24" sqref="A1:AA72"/>
    </sheetView>
  </sheetViews>
  <sheetFormatPr baseColWidth="10" defaultRowHeight="16" x14ac:dyDescent="0.2"/>
  <sheetData>
    <row r="1" spans="1:27" x14ac:dyDescent="0.2">
      <c r="A1" s="11"/>
      <c r="B1" s="11"/>
      <c r="C1" s="12" t="s">
        <v>0</v>
      </c>
      <c r="D1" s="12"/>
      <c r="E1" s="12"/>
      <c r="F1" s="12"/>
      <c r="G1" s="12"/>
      <c r="H1" s="12"/>
      <c r="I1" s="12" t="s">
        <v>1</v>
      </c>
      <c r="J1" s="12"/>
      <c r="K1" s="12"/>
      <c r="L1" s="12"/>
      <c r="M1" s="12"/>
      <c r="N1" s="12"/>
      <c r="O1" s="12" t="s">
        <v>2</v>
      </c>
      <c r="P1" s="12"/>
      <c r="Q1" s="12"/>
      <c r="R1" s="12"/>
      <c r="S1" s="12"/>
      <c r="T1" s="12"/>
      <c r="U1" s="12" t="s">
        <v>3</v>
      </c>
      <c r="V1" s="12"/>
      <c r="W1" s="12"/>
      <c r="X1" s="12"/>
      <c r="Y1" s="12"/>
      <c r="Z1" s="12"/>
      <c r="AA1" s="12" t="s">
        <v>4</v>
      </c>
    </row>
    <row r="2" spans="1:27" x14ac:dyDescent="0.2">
      <c r="A2" s="11" t="s">
        <v>5</v>
      </c>
      <c r="B2" s="11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7</v>
      </c>
      <c r="P2" s="12" t="s">
        <v>8</v>
      </c>
      <c r="Q2" s="12" t="s">
        <v>9</v>
      </c>
      <c r="R2" s="12" t="s">
        <v>10</v>
      </c>
      <c r="S2" s="12" t="s">
        <v>11</v>
      </c>
      <c r="T2" s="12" t="s">
        <v>12</v>
      </c>
      <c r="U2" s="12" t="s">
        <v>7</v>
      </c>
      <c r="V2" s="12" t="s">
        <v>8</v>
      </c>
      <c r="W2" s="12" t="s">
        <v>9</v>
      </c>
      <c r="X2" s="12" t="s">
        <v>10</v>
      </c>
      <c r="Y2" s="12" t="s">
        <v>11</v>
      </c>
      <c r="Z2" s="12" t="s">
        <v>12</v>
      </c>
      <c r="AA2" s="12" t="s">
        <v>13</v>
      </c>
    </row>
    <row r="3" spans="1:27" x14ac:dyDescent="0.2">
      <c r="A3" s="11">
        <v>147</v>
      </c>
      <c r="B3" s="11" t="s">
        <v>14</v>
      </c>
      <c r="C3" s="12">
        <v>181.08777170712014</v>
      </c>
      <c r="D3" s="12">
        <v>114.3690049529351</v>
      </c>
      <c r="E3" s="12">
        <v>80.020406882164721</v>
      </c>
      <c r="F3" s="12">
        <v>653.6410311318424</v>
      </c>
      <c r="G3" s="12">
        <v>304.32447539652469</v>
      </c>
      <c r="H3" s="12">
        <v>9719</v>
      </c>
      <c r="I3" s="12">
        <v>110.63913646860455</v>
      </c>
      <c r="J3" s="12">
        <v>173.88036542830693</v>
      </c>
      <c r="K3" s="12">
        <v>64.556839732383239</v>
      </c>
      <c r="L3" s="12">
        <v>591.52875304613178</v>
      </c>
      <c r="M3" s="12">
        <v>261.69824289676643</v>
      </c>
      <c r="N3" s="12">
        <v>11595.65</v>
      </c>
      <c r="O3" s="12">
        <v>254.6644643800729</v>
      </c>
      <c r="P3" s="12">
        <v>55.122710632852908</v>
      </c>
      <c r="Q3" s="12">
        <v>95.5988225281654</v>
      </c>
      <c r="R3" s="12">
        <v>563.38117667706024</v>
      </c>
      <c r="S3" s="12">
        <v>269.0527434079998</v>
      </c>
      <c r="T3" s="12">
        <v>8417.1428571428569</v>
      </c>
      <c r="U3" s="12">
        <v>170.17207324289294</v>
      </c>
      <c r="V3" s="12">
        <v>33.944795746169376</v>
      </c>
      <c r="W3" s="12">
        <v>83.476590655884337</v>
      </c>
      <c r="X3" s="12">
        <v>758.05284463522457</v>
      </c>
      <c r="Y3" s="12">
        <v>360.42151280629622</v>
      </c>
      <c r="Z3" s="12">
        <v>8914.5416666666661</v>
      </c>
      <c r="AA3" s="12">
        <v>0</v>
      </c>
    </row>
    <row r="4" spans="1:27" x14ac:dyDescent="0.2">
      <c r="A4" s="11">
        <v>146</v>
      </c>
      <c r="B4" s="11" t="s">
        <v>14</v>
      </c>
      <c r="C4" s="12">
        <v>312.88091836190063</v>
      </c>
      <c r="D4" s="12">
        <v>3.2420590536723148</v>
      </c>
      <c r="E4" s="12">
        <v>4.1656693766210973</v>
      </c>
      <c r="F4" s="12">
        <v>148.11209701684669</v>
      </c>
      <c r="G4" s="12">
        <v>72.747486403999616</v>
      </c>
      <c r="H4" s="12">
        <v>167.82758620689654</v>
      </c>
      <c r="I4" s="12">
        <v>321.55053363198203</v>
      </c>
      <c r="J4" s="12">
        <v>3.2690089863881422</v>
      </c>
      <c r="K4" s="12">
        <v>6.8352257675819743</v>
      </c>
      <c r="L4" s="12">
        <v>150.37966923842799</v>
      </c>
      <c r="M4" s="12">
        <v>74.10934705476437</v>
      </c>
      <c r="N4" s="12">
        <v>178.8</v>
      </c>
      <c r="O4" s="12">
        <v>344.54371329393075</v>
      </c>
      <c r="P4" s="12">
        <v>2.2230157313431134</v>
      </c>
      <c r="Q4" s="12">
        <v>1.7225088690327266</v>
      </c>
      <c r="R4" s="12">
        <v>178.26500950926967</v>
      </c>
      <c r="S4" s="12">
        <v>87.862284708450503</v>
      </c>
      <c r="T4" s="12">
        <v>123.21428571428571</v>
      </c>
      <c r="U4" s="12">
        <v>303.31333045380075</v>
      </c>
      <c r="V4" s="12">
        <v>2.0863110033486367</v>
      </c>
      <c r="W4" s="12">
        <v>1.8529962206941935</v>
      </c>
      <c r="X4" s="12">
        <v>128.63325454494876</v>
      </c>
      <c r="Y4" s="12">
        <v>62.79563685076598</v>
      </c>
      <c r="Z4" s="12">
        <v>184.70833333333334</v>
      </c>
      <c r="AA4" s="12">
        <v>0</v>
      </c>
    </row>
    <row r="5" spans="1:27" x14ac:dyDescent="0.2">
      <c r="A5" s="11">
        <v>148</v>
      </c>
      <c r="B5" s="11" t="s">
        <v>14</v>
      </c>
      <c r="C5" s="12">
        <v>326.75042783577078</v>
      </c>
      <c r="D5" s="12">
        <v>21.28440741259454</v>
      </c>
      <c r="E5" s="12">
        <v>22.990533055243667</v>
      </c>
      <c r="F5" s="12">
        <v>248.91750217296163</v>
      </c>
      <c r="G5" s="12">
        <v>115.99454287393993</v>
      </c>
      <c r="H5" s="12">
        <v>1681.4827586206898</v>
      </c>
      <c r="I5" s="12">
        <v>329.88921447534545</v>
      </c>
      <c r="J5" s="12">
        <v>21.367131791320389</v>
      </c>
      <c r="K5" s="12">
        <v>24.62279450198367</v>
      </c>
      <c r="L5" s="12">
        <v>233.86102984765526</v>
      </c>
      <c r="M5" s="12">
        <v>113.6670098178799</v>
      </c>
      <c r="N5" s="12">
        <v>618.85</v>
      </c>
      <c r="O5" s="12">
        <v>387.87721697688744</v>
      </c>
      <c r="P5" s="12">
        <v>24.379603757343535</v>
      </c>
      <c r="Q5" s="12">
        <v>7.7591179935464751</v>
      </c>
      <c r="R5" s="12">
        <v>266.7317779503777</v>
      </c>
      <c r="S5" s="12">
        <v>113.86201355045584</v>
      </c>
      <c r="T5" s="12">
        <v>3164.7857142857142</v>
      </c>
      <c r="U5" s="12">
        <v>308.88526631114638</v>
      </c>
      <c r="V5" s="12">
        <v>20.143654956755867</v>
      </c>
      <c r="W5" s="12">
        <v>28.314216904075575</v>
      </c>
      <c r="X5" s="12">
        <v>251.07290157389093</v>
      </c>
      <c r="Y5" s="12">
        <v>119.17812919268897</v>
      </c>
      <c r="Z5" s="12">
        <v>1701.75</v>
      </c>
      <c r="AA5" s="12">
        <v>0</v>
      </c>
    </row>
    <row r="6" spans="1:27" x14ac:dyDescent="0.2">
      <c r="A6" s="11">
        <v>149</v>
      </c>
      <c r="B6" s="11" t="s">
        <v>14</v>
      </c>
      <c r="C6" s="12">
        <v>29.082856362625154</v>
      </c>
      <c r="D6" s="12">
        <v>27.217574975014319</v>
      </c>
      <c r="E6" s="12">
        <v>108.87962215293933</v>
      </c>
      <c r="F6" s="12">
        <v>267.31065844472306</v>
      </c>
      <c r="G6" s="12">
        <v>119.79080919769039</v>
      </c>
      <c r="H6" s="12">
        <v>2127.6379310344828</v>
      </c>
      <c r="I6" s="12">
        <v>16.219977013577672</v>
      </c>
      <c r="J6" s="12">
        <v>29.011045150782508</v>
      </c>
      <c r="K6" s="12">
        <v>109.70670127325265</v>
      </c>
      <c r="L6" s="12">
        <v>238.66677690820728</v>
      </c>
      <c r="M6" s="12">
        <v>113.14622847551428</v>
      </c>
      <c r="N6" s="12">
        <v>1264.25</v>
      </c>
      <c r="O6" s="12">
        <v>35.788473211563741</v>
      </c>
      <c r="P6" s="12">
        <v>31.321426309025998</v>
      </c>
      <c r="Q6" s="12">
        <v>106.520632022089</v>
      </c>
      <c r="R6" s="12">
        <v>251.58645688418341</v>
      </c>
      <c r="S6" s="12">
        <v>110.35698530270369</v>
      </c>
      <c r="T6" s="12">
        <v>1968.2857142857142</v>
      </c>
      <c r="U6" s="12">
        <v>34.68759081038862</v>
      </c>
      <c r="V6" s="12">
        <v>22.542645705881007</v>
      </c>
      <c r="W6" s="12">
        <v>111.34606701231709</v>
      </c>
      <c r="X6" s="12">
        <v>300.35301063546774</v>
      </c>
      <c r="Y6" s="12">
        <v>130.83102373824599</v>
      </c>
      <c r="Z6" s="12">
        <v>2940.0833333333335</v>
      </c>
      <c r="AA6" s="12">
        <v>0</v>
      </c>
    </row>
    <row r="7" spans="1:27" x14ac:dyDescent="0.2">
      <c r="A7" s="11">
        <v>150</v>
      </c>
      <c r="B7" s="11" t="s">
        <v>14</v>
      </c>
      <c r="C7" s="12">
        <v>240.70678631616005</v>
      </c>
      <c r="D7" s="12">
        <v>201.81327637736709</v>
      </c>
      <c r="E7" s="12">
        <v>66.560266596287804</v>
      </c>
      <c r="F7" s="12">
        <v>560.42757069221034</v>
      </c>
      <c r="G7" s="12">
        <v>264.48563490893446</v>
      </c>
      <c r="H7" s="12">
        <v>6253.2758620689656</v>
      </c>
      <c r="I7" s="12">
        <v>165.74198675302381</v>
      </c>
      <c r="J7" s="12">
        <v>199.92410905820276</v>
      </c>
      <c r="K7" s="12">
        <v>53.692752400862531</v>
      </c>
      <c r="L7" s="12">
        <v>391.61493996443892</v>
      </c>
      <c r="M7" s="12">
        <v>174.76769980806304</v>
      </c>
      <c r="N7" s="12">
        <v>5135.3999999999996</v>
      </c>
      <c r="O7" s="12">
        <v>250.48824281462745</v>
      </c>
      <c r="P7" s="12">
        <v>40.963721205799281</v>
      </c>
      <c r="Q7" s="12">
        <v>74.999105362622231</v>
      </c>
      <c r="R7" s="12">
        <v>796.34586811967438</v>
      </c>
      <c r="S7" s="12">
        <v>391.03916276884928</v>
      </c>
      <c r="T7" s="12">
        <v>8325</v>
      </c>
      <c r="U7" s="12">
        <v>253.53068303275879</v>
      </c>
      <c r="V7" s="12">
        <v>48.231030708790797</v>
      </c>
      <c r="W7" s="12">
        <v>70.458292267153809</v>
      </c>
      <c r="X7" s="12">
        <v>563.48575613266564</v>
      </c>
      <c r="Y7" s="12">
        <v>265.42768957471031</v>
      </c>
      <c r="Z7" s="12">
        <v>5976.333333333333</v>
      </c>
      <c r="AA7" s="12">
        <v>0</v>
      </c>
    </row>
    <row r="8" spans="1:27" x14ac:dyDescent="0.2">
      <c r="A8" s="11">
        <v>156</v>
      </c>
      <c r="B8" s="11" t="s">
        <v>14</v>
      </c>
      <c r="C8" s="12">
        <v>342.76441137859933</v>
      </c>
      <c r="D8" s="12">
        <v>5.1673419761009427</v>
      </c>
      <c r="E8" s="12">
        <v>77.741258324736876</v>
      </c>
      <c r="F8" s="12">
        <v>199.68458658524432</v>
      </c>
      <c r="G8" s="12">
        <v>98.645168534934825</v>
      </c>
      <c r="H8" s="12">
        <v>250.74137931034483</v>
      </c>
      <c r="I8" s="12">
        <v>337.76356695252639</v>
      </c>
      <c r="J8" s="12">
        <v>3.341471546903461</v>
      </c>
      <c r="K8" s="12">
        <v>101.99061183322404</v>
      </c>
      <c r="L8" s="12">
        <v>262.13860536088453</v>
      </c>
      <c r="M8" s="12">
        <v>130.0018015844862</v>
      </c>
      <c r="N8" s="12">
        <v>203.45</v>
      </c>
      <c r="O8" s="12">
        <v>392.80420422539135</v>
      </c>
      <c r="P8" s="12">
        <v>4.6376649844438456</v>
      </c>
      <c r="Q8" s="12">
        <v>6.5807738986602597</v>
      </c>
      <c r="R8" s="12">
        <v>179.51245089985142</v>
      </c>
      <c r="S8" s="12">
        <v>88.400048814019428</v>
      </c>
      <c r="T8" s="12">
        <v>256.21428571428572</v>
      </c>
      <c r="U8" s="12">
        <v>340.23210907722682</v>
      </c>
      <c r="V8" s="12">
        <v>6.8364122159603511</v>
      </c>
      <c r="W8" s="12">
        <v>76.978057577720861</v>
      </c>
      <c r="X8" s="12">
        <v>159.40665008869007</v>
      </c>
      <c r="Y8" s="12">
        <v>78.490960830842639</v>
      </c>
      <c r="Z8" s="12">
        <v>286.95833333333331</v>
      </c>
      <c r="AA8" s="12">
        <v>0</v>
      </c>
    </row>
    <row r="9" spans="1:27" x14ac:dyDescent="0.2">
      <c r="A9" s="11">
        <v>157</v>
      </c>
      <c r="B9" s="11" t="s">
        <v>14</v>
      </c>
      <c r="C9" s="12">
        <v>130.17523556353956</v>
      </c>
      <c r="D9" s="12">
        <v>120.65172638822762</v>
      </c>
      <c r="E9" s="12">
        <v>156.07494576629028</v>
      </c>
      <c r="F9" s="12">
        <v>268.7061719502509</v>
      </c>
      <c r="G9" s="12">
        <v>128.09724955506161</v>
      </c>
      <c r="H9" s="12">
        <v>1650.0862068965516</v>
      </c>
      <c r="I9" s="12">
        <v>23.759832272758779</v>
      </c>
      <c r="J9" s="12">
        <v>120.8264187038171</v>
      </c>
      <c r="K9" s="12">
        <v>166.89173844958941</v>
      </c>
      <c r="L9" s="12">
        <v>262.42184570212112</v>
      </c>
      <c r="M9" s="12">
        <v>128.08417629029367</v>
      </c>
      <c r="N9" s="12">
        <v>1083.3</v>
      </c>
      <c r="O9" s="12">
        <v>37.115863206819036</v>
      </c>
      <c r="P9" s="12">
        <v>117.5766776715313</v>
      </c>
      <c r="Q9" s="12">
        <v>145.89270553609757</v>
      </c>
      <c r="R9" s="12">
        <v>411.12333411287506</v>
      </c>
      <c r="S9" s="12">
        <v>196.96350825236377</v>
      </c>
      <c r="T9" s="12">
        <v>3344.9285714285716</v>
      </c>
      <c r="U9" s="12">
        <v>9.21552635099731</v>
      </c>
      <c r="V9" s="12">
        <v>126.02420803203249</v>
      </c>
      <c r="W9" s="12">
        <v>157.00113189148317</v>
      </c>
      <c r="X9" s="12">
        <v>190.86643256216155</v>
      </c>
      <c r="Y9" s="12">
        <v>87.936159702275404</v>
      </c>
      <c r="Z9" s="12">
        <v>1133.75</v>
      </c>
      <c r="AA9" s="12">
        <v>0</v>
      </c>
    </row>
    <row r="10" spans="1:27" x14ac:dyDescent="0.2">
      <c r="A10" s="11">
        <v>158</v>
      </c>
      <c r="B10" s="11" t="s">
        <v>14</v>
      </c>
      <c r="C10" s="12">
        <v>149.92990243153892</v>
      </c>
      <c r="D10" s="12">
        <v>143.25737380854082</v>
      </c>
      <c r="E10" s="12">
        <v>110.49592532678355</v>
      </c>
      <c r="F10" s="12">
        <v>880.25770473431453</v>
      </c>
      <c r="G10" s="12">
        <v>407.65709416411852</v>
      </c>
      <c r="H10" s="12">
        <v>21837.741379310344</v>
      </c>
      <c r="I10" s="12">
        <v>150.01814293570166</v>
      </c>
      <c r="J10" s="12">
        <v>101.81697449981665</v>
      </c>
      <c r="K10" s="12">
        <v>111.38368796189093</v>
      </c>
      <c r="L10" s="12">
        <v>735.777189319797</v>
      </c>
      <c r="M10" s="12">
        <v>335.50538735778889</v>
      </c>
      <c r="N10" s="12">
        <v>17559.650000000001</v>
      </c>
      <c r="O10" s="12">
        <v>63.233463446745411</v>
      </c>
      <c r="P10" s="12">
        <v>140.51933155150775</v>
      </c>
      <c r="Q10" s="12">
        <v>121.67511662377645</v>
      </c>
      <c r="R10" s="12">
        <v>883.56083385764737</v>
      </c>
      <c r="S10" s="12">
        <v>428.5313158621662</v>
      </c>
      <c r="T10" s="12">
        <v>9373.6428571428569</v>
      </c>
      <c r="U10" s="12">
        <v>180.62405848903546</v>
      </c>
      <c r="V10" s="12">
        <v>143.10646833550638</v>
      </c>
      <c r="W10" s="12">
        <v>113.2990822564464</v>
      </c>
      <c r="X10" s="12">
        <v>998.73130892446841</v>
      </c>
      <c r="Y10" s="12">
        <v>455.60688717886541</v>
      </c>
      <c r="Z10" s="12">
        <v>32673.541666666668</v>
      </c>
      <c r="AA10" s="12">
        <v>0</v>
      </c>
    </row>
    <row r="11" spans="1:27" x14ac:dyDescent="0.2">
      <c r="A11" s="11">
        <v>160</v>
      </c>
      <c r="B11" s="11" t="s">
        <v>14</v>
      </c>
      <c r="C11" s="12">
        <v>94.911359274437302</v>
      </c>
      <c r="D11" s="12">
        <v>245.3603038559105</v>
      </c>
      <c r="E11" s="12">
        <v>88.742028352614867</v>
      </c>
      <c r="F11" s="12">
        <v>376.07464544877178</v>
      </c>
      <c r="G11" s="12">
        <v>177.0197125863393</v>
      </c>
      <c r="H11" s="12">
        <v>3359.1034482758619</v>
      </c>
      <c r="I11" s="12">
        <v>61.198886458036625</v>
      </c>
      <c r="J11" s="12">
        <v>243.88624144348964</v>
      </c>
      <c r="K11" s="12">
        <v>72.27704366972749</v>
      </c>
      <c r="L11" s="12">
        <v>377.62929503557109</v>
      </c>
      <c r="M11" s="12">
        <v>180.75028476637766</v>
      </c>
      <c r="N11" s="12">
        <v>2543.3000000000002</v>
      </c>
      <c r="O11" s="12">
        <v>34.527421814303729</v>
      </c>
      <c r="P11" s="12">
        <v>244.80244707771629</v>
      </c>
      <c r="Q11" s="12">
        <v>93.715120995770462</v>
      </c>
      <c r="R11" s="12">
        <v>419.02526412299591</v>
      </c>
      <c r="S11" s="12">
        <v>203.38538269003666</v>
      </c>
      <c r="T11" s="12">
        <v>3369.6428571428573</v>
      </c>
      <c r="U11" s="12">
        <v>108.83733189864033</v>
      </c>
      <c r="V11" s="12">
        <v>256.59335664315358</v>
      </c>
      <c r="W11" s="12">
        <v>98.308893081455494</v>
      </c>
      <c r="X11" s="12">
        <v>349.72457656647498</v>
      </c>
      <c r="Y11" s="12">
        <v>158.53092820915052</v>
      </c>
      <c r="Z11" s="12">
        <v>4032.7916666666665</v>
      </c>
      <c r="AA11" s="12">
        <v>0</v>
      </c>
    </row>
    <row r="12" spans="1:27" x14ac:dyDescent="0.2">
      <c r="A12" s="11">
        <v>161</v>
      </c>
      <c r="B12" s="11" t="s">
        <v>14</v>
      </c>
      <c r="C12" s="12">
        <v>257.41077335600647</v>
      </c>
      <c r="D12" s="12">
        <v>218.7490652102945</v>
      </c>
      <c r="E12" s="12">
        <v>85.070737174689313</v>
      </c>
      <c r="F12" s="12">
        <v>504.55700511112332</v>
      </c>
      <c r="G12" s="12">
        <v>234.39195328289247</v>
      </c>
      <c r="H12" s="12">
        <v>7641.1724137931033</v>
      </c>
      <c r="I12" s="12">
        <v>231.99280533756883</v>
      </c>
      <c r="J12" s="12">
        <v>216.3451888550812</v>
      </c>
      <c r="K12" s="12">
        <v>80.876636940984994</v>
      </c>
      <c r="L12" s="12">
        <v>508.05353171975651</v>
      </c>
      <c r="M12" s="12">
        <v>233.0094710635255</v>
      </c>
      <c r="N12" s="12">
        <v>9542.75</v>
      </c>
      <c r="O12" s="12">
        <v>292.34393928381496</v>
      </c>
      <c r="P12" s="12">
        <v>230.21123265429864</v>
      </c>
      <c r="Q12" s="12">
        <v>32.716476642723585</v>
      </c>
      <c r="R12" s="12">
        <v>380.97714434655273</v>
      </c>
      <c r="S12" s="12">
        <v>169.07449071844758</v>
      </c>
      <c r="T12" s="12">
        <v>5453.9285714285716</v>
      </c>
      <c r="U12" s="12">
        <v>271.70014046732888</v>
      </c>
      <c r="V12" s="12">
        <v>223.40789498602672</v>
      </c>
      <c r="W12" s="12">
        <v>100.62411345199043</v>
      </c>
      <c r="X12" s="12">
        <v>573.73148504992866</v>
      </c>
      <c r="Y12" s="12">
        <v>273.6458749616246</v>
      </c>
      <c r="Z12" s="12">
        <v>7332.416666666667</v>
      </c>
      <c r="AA12" s="12">
        <v>0</v>
      </c>
    </row>
    <row r="13" spans="1:27" x14ac:dyDescent="0.2">
      <c r="A13" s="11">
        <v>2008</v>
      </c>
      <c r="B13" s="11" t="s">
        <v>14</v>
      </c>
      <c r="C13" s="12">
        <v>309.10599987235446</v>
      </c>
      <c r="D13" s="12">
        <v>18.290440942882029</v>
      </c>
      <c r="E13" s="12">
        <v>61.463657126974688</v>
      </c>
      <c r="F13" s="12">
        <v>192.22536198019191</v>
      </c>
      <c r="G13" s="12">
        <v>90.822108645785761</v>
      </c>
      <c r="H13" s="12">
        <v>790.36206896551721</v>
      </c>
      <c r="I13" s="12">
        <v>302.03776233534632</v>
      </c>
      <c r="J13" s="12">
        <v>23.105261011720962</v>
      </c>
      <c r="K13" s="12">
        <v>31.317718410367743</v>
      </c>
      <c r="L13" s="12">
        <v>197.26739462345199</v>
      </c>
      <c r="M13" s="12">
        <v>95.700038498024639</v>
      </c>
      <c r="N13" s="12">
        <v>536.35</v>
      </c>
      <c r="O13" s="12">
        <v>349.68513425894031</v>
      </c>
      <c r="P13" s="12">
        <v>13.381065355677375</v>
      </c>
      <c r="Q13" s="12">
        <v>103.73653471198818</v>
      </c>
      <c r="R13" s="12">
        <v>198.2770413954072</v>
      </c>
      <c r="S13" s="12">
        <v>89.44895796107005</v>
      </c>
      <c r="T13" s="12">
        <v>1193.6428571428571</v>
      </c>
      <c r="U13" s="12">
        <v>300.70449688098199</v>
      </c>
      <c r="V13" s="12">
        <v>14.104468332270777</v>
      </c>
      <c r="W13" s="12">
        <v>53.218261187511672</v>
      </c>
      <c r="X13" s="12">
        <v>184.49352178526632</v>
      </c>
      <c r="Y13" s="12">
        <v>87.558171668337494</v>
      </c>
      <c r="Z13" s="12">
        <v>766.79166666666663</v>
      </c>
      <c r="AA13" s="12">
        <v>0</v>
      </c>
    </row>
    <row r="14" spans="1:27" x14ac:dyDescent="0.2">
      <c r="A14" s="11">
        <v>2009</v>
      </c>
      <c r="B14" s="11" t="s">
        <v>14</v>
      </c>
      <c r="C14" s="12">
        <v>370.19762433307153</v>
      </c>
      <c r="D14" s="12">
        <v>204.38400181287264</v>
      </c>
      <c r="E14" s="12">
        <v>121.2513872483195</v>
      </c>
      <c r="F14" s="12">
        <v>89.739827001511017</v>
      </c>
      <c r="G14" s="12">
        <v>41.2162113703017</v>
      </c>
      <c r="H14" s="12">
        <v>225.17241379310346</v>
      </c>
      <c r="I14" s="12">
        <v>415.19443013462353</v>
      </c>
      <c r="J14" s="12">
        <v>17.04808015692786</v>
      </c>
      <c r="K14" s="12">
        <v>89.183637758755239</v>
      </c>
      <c r="L14" s="12">
        <v>110.01878881569533</v>
      </c>
      <c r="M14" s="12">
        <v>51.727898481149182</v>
      </c>
      <c r="N14" s="12">
        <v>263.7</v>
      </c>
      <c r="O14" s="12">
        <v>362.65695014995021</v>
      </c>
      <c r="P14" s="12">
        <v>18.020270772942297</v>
      </c>
      <c r="Q14" s="12">
        <v>13.700360181818848</v>
      </c>
      <c r="R14" s="12">
        <v>89.328946162208467</v>
      </c>
      <c r="S14" s="12">
        <v>39.903607094588246</v>
      </c>
      <c r="T14" s="12">
        <v>256</v>
      </c>
      <c r="U14" s="12">
        <v>10.563739517452674</v>
      </c>
      <c r="V14" s="12">
        <v>221.23352532397243</v>
      </c>
      <c r="W14" s="12">
        <v>171.19570723556117</v>
      </c>
      <c r="X14" s="12">
        <v>73.080372645950618</v>
      </c>
      <c r="Y14" s="12">
        <v>33.222157938761633</v>
      </c>
      <c r="Z14" s="12">
        <v>175.08333333333334</v>
      </c>
      <c r="AA14" s="12">
        <v>0</v>
      </c>
    </row>
    <row r="15" spans="1:27" x14ac:dyDescent="0.2">
      <c r="A15" s="11">
        <v>2010</v>
      </c>
      <c r="B15" s="11" t="s">
        <v>14</v>
      </c>
      <c r="C15" s="12">
        <v>327.50381530929616</v>
      </c>
      <c r="D15" s="12">
        <v>33.080419831755627</v>
      </c>
      <c r="E15" s="12">
        <v>59.078053016705006</v>
      </c>
      <c r="F15" s="12">
        <v>236.32965330252549</v>
      </c>
      <c r="G15" s="12">
        <v>109.61910696137545</v>
      </c>
      <c r="H15" s="12">
        <v>1807.155172413793</v>
      </c>
      <c r="I15" s="12">
        <v>296.76216523682632</v>
      </c>
      <c r="J15" s="12">
        <v>35.926966384322611</v>
      </c>
      <c r="K15" s="12">
        <v>55.791402699960052</v>
      </c>
      <c r="L15" s="12">
        <v>316.77464076095583</v>
      </c>
      <c r="M15" s="12">
        <v>148.12588127492171</v>
      </c>
      <c r="N15" s="12">
        <v>2996.95</v>
      </c>
      <c r="O15" s="12">
        <v>383.22460845971324</v>
      </c>
      <c r="P15" s="12">
        <v>9.8276146944215732</v>
      </c>
      <c r="Q15" s="12">
        <v>22.575342493128321</v>
      </c>
      <c r="R15" s="12">
        <v>190.35076235191755</v>
      </c>
      <c r="S15" s="12">
        <v>86.245650609096614</v>
      </c>
      <c r="T15" s="12">
        <v>1174</v>
      </c>
      <c r="U15" s="12">
        <v>318.72128774096552</v>
      </c>
      <c r="V15" s="12">
        <v>19.079556108029905</v>
      </c>
      <c r="W15" s="12">
        <v>74.46890386258768</v>
      </c>
      <c r="X15" s="12">
        <v>196.1131834750214</v>
      </c>
      <c r="Y15" s="12">
        <v>91.164644572249586</v>
      </c>
      <c r="Z15" s="12">
        <v>1185</v>
      </c>
      <c r="AA15" s="12">
        <v>0</v>
      </c>
    </row>
    <row r="16" spans="1:27" x14ac:dyDescent="0.2">
      <c r="A16" s="11">
        <v>2011</v>
      </c>
      <c r="B16" s="11" t="s">
        <v>14</v>
      </c>
      <c r="C16" s="12">
        <v>216.35508858556847</v>
      </c>
      <c r="D16" s="12">
        <v>258.92402619493652</v>
      </c>
      <c r="E16" s="12">
        <v>156.62124804443252</v>
      </c>
      <c r="F16" s="12">
        <v>392.36551089545594</v>
      </c>
      <c r="G16" s="12">
        <v>192.83027883416617</v>
      </c>
      <c r="H16" s="12">
        <v>1700.5</v>
      </c>
      <c r="I16" s="12">
        <v>32.266253440880064</v>
      </c>
      <c r="J16" s="12">
        <v>160.25479712008621</v>
      </c>
      <c r="K16" s="12">
        <v>154.44295208411339</v>
      </c>
      <c r="L16" s="12">
        <v>375.92217061096875</v>
      </c>
      <c r="M16" s="12">
        <v>180.59487603909284</v>
      </c>
      <c r="N16" s="12">
        <v>2438.4499999999998</v>
      </c>
      <c r="O16" s="12">
        <v>344.98468641728698</v>
      </c>
      <c r="P16" s="12">
        <v>336.59850009254399</v>
      </c>
      <c r="Q16" s="12">
        <v>127.13729331670096</v>
      </c>
      <c r="R16" s="12">
        <v>844.80081548100463</v>
      </c>
      <c r="S16" s="12">
        <v>421.03712439413437</v>
      </c>
      <c r="T16" s="12">
        <v>3234.7857142857142</v>
      </c>
      <c r="U16" s="12">
        <v>7.3169583016359345</v>
      </c>
      <c r="V16" s="12">
        <v>256.50944121872669</v>
      </c>
      <c r="W16" s="12">
        <v>183.69643741176768</v>
      </c>
      <c r="X16" s="12">
        <v>142.14770012429236</v>
      </c>
      <c r="Y16" s="12">
        <v>69.905787920079177</v>
      </c>
      <c r="Z16" s="12">
        <v>190.54166666666666</v>
      </c>
      <c r="AA16" s="12">
        <v>0</v>
      </c>
    </row>
    <row r="17" spans="1:27" x14ac:dyDescent="0.2">
      <c r="A17" s="11">
        <v>2012</v>
      </c>
      <c r="B17" s="11" t="s">
        <v>14</v>
      </c>
      <c r="C17" s="12">
        <v>306.56212477038457</v>
      </c>
      <c r="D17" s="12">
        <v>75.310942732368403</v>
      </c>
      <c r="E17" s="12">
        <v>56.559137834212514</v>
      </c>
      <c r="F17" s="12">
        <v>295.79411540379942</v>
      </c>
      <c r="G17" s="12">
        <v>143.51211664057732</v>
      </c>
      <c r="H17" s="12">
        <v>1651.3275862068965</v>
      </c>
      <c r="I17" s="12">
        <v>220.1779302919671</v>
      </c>
      <c r="J17" s="12">
        <v>6.9317662046587571</v>
      </c>
      <c r="K17" s="12">
        <v>73.141976772987675</v>
      </c>
      <c r="L17" s="12">
        <v>411.13066181664283</v>
      </c>
      <c r="M17" s="12">
        <v>203.76165544659165</v>
      </c>
      <c r="N17" s="12">
        <v>1249.75</v>
      </c>
      <c r="O17" s="12">
        <v>335.49230981810888</v>
      </c>
      <c r="P17" s="12">
        <v>158.5107443823795</v>
      </c>
      <c r="Q17" s="12">
        <v>41.894172016305824</v>
      </c>
      <c r="R17" s="12">
        <v>333.72989633138013</v>
      </c>
      <c r="S17" s="12">
        <v>154.41954848633799</v>
      </c>
      <c r="T17" s="12">
        <v>3387.2142857142858</v>
      </c>
      <c r="U17" s="12">
        <v>330.2225897091364</v>
      </c>
      <c r="V17" s="12">
        <v>9.5203132110431969</v>
      </c>
      <c r="W17" s="12">
        <v>47.604162055251805</v>
      </c>
      <c r="X17" s="12">
        <v>177.5511211853412</v>
      </c>
      <c r="Y17" s="12">
        <v>86.941499058871656</v>
      </c>
      <c r="Z17" s="12">
        <v>973.375</v>
      </c>
      <c r="AA17" s="12">
        <v>0</v>
      </c>
    </row>
    <row r="18" spans="1:27" x14ac:dyDescent="0.2">
      <c r="A18" s="11">
        <v>2013</v>
      </c>
      <c r="B18" s="11" t="s">
        <v>14</v>
      </c>
      <c r="C18" s="12">
        <v>10.231288071904231</v>
      </c>
      <c r="D18" s="12">
        <v>222.92564742586455</v>
      </c>
      <c r="E18" s="12">
        <v>162.17983307949297</v>
      </c>
      <c r="F18" s="12">
        <v>147.57711911280421</v>
      </c>
      <c r="G18" s="12">
        <v>63.634521798065094</v>
      </c>
      <c r="H18" s="12">
        <v>839.94827586206895</v>
      </c>
      <c r="I18" s="12">
        <v>12.697817446365907</v>
      </c>
      <c r="J18" s="12">
        <v>220.41509941331768</v>
      </c>
      <c r="K18" s="12">
        <v>161.75699361345355</v>
      </c>
      <c r="L18" s="12">
        <v>136.12736277926385</v>
      </c>
      <c r="M18" s="12">
        <v>57.477244369146582</v>
      </c>
      <c r="N18" s="12">
        <v>781.4</v>
      </c>
      <c r="O18" s="12">
        <v>8.6855715666357778</v>
      </c>
      <c r="P18" s="12">
        <v>238.94860087984154</v>
      </c>
      <c r="Q18" s="12">
        <v>178.03693126179209</v>
      </c>
      <c r="R18" s="12">
        <v>167.38185189720565</v>
      </c>
      <c r="S18" s="12">
        <v>71.180443796281523</v>
      </c>
      <c r="T18" s="12">
        <v>1106.1428571428571</v>
      </c>
      <c r="U18" s="12">
        <v>9.0503176274785062</v>
      </c>
      <c r="V18" s="12">
        <v>227.73173715524169</v>
      </c>
      <c r="W18" s="12">
        <v>170.15367919249624</v>
      </c>
      <c r="X18" s="12">
        <v>145.5658219331871</v>
      </c>
      <c r="Y18" s="12">
        <v>64.363798489870931</v>
      </c>
      <c r="Z18" s="12">
        <v>733.45833333333337</v>
      </c>
      <c r="AA18" s="12">
        <v>0</v>
      </c>
    </row>
    <row r="19" spans="1:27" x14ac:dyDescent="0.2">
      <c r="A19" s="11">
        <v>2015</v>
      </c>
      <c r="B19" s="11" t="s">
        <v>14</v>
      </c>
      <c r="C19" s="12">
        <v>323.92680582758487</v>
      </c>
      <c r="D19" s="12">
        <v>359.9331625451124</v>
      </c>
      <c r="E19" s="12">
        <v>110.70999884262721</v>
      </c>
      <c r="F19" s="12">
        <v>195.01413730336128</v>
      </c>
      <c r="G19" s="12">
        <v>95.222143392727588</v>
      </c>
      <c r="H19" s="12">
        <v>607.32758620689651</v>
      </c>
      <c r="I19" s="12">
        <v>324.71869877377458</v>
      </c>
      <c r="J19" s="12">
        <v>40.066919331180905</v>
      </c>
      <c r="K19" s="12">
        <v>95.052912730077523</v>
      </c>
      <c r="L19" s="12">
        <v>275.02553184356316</v>
      </c>
      <c r="M19" s="12">
        <v>134.90979422670688</v>
      </c>
      <c r="N19" s="12">
        <v>997.95</v>
      </c>
      <c r="O19" s="12">
        <v>9.5118973121134225</v>
      </c>
      <c r="P19" s="12">
        <v>93.524209581144177</v>
      </c>
      <c r="Q19" s="12">
        <v>112.68455537932053</v>
      </c>
      <c r="R19" s="12">
        <v>256.44548731641265</v>
      </c>
      <c r="S19" s="12">
        <v>125.67557709720893</v>
      </c>
      <c r="T19" s="12">
        <v>746.07142857142856</v>
      </c>
      <c r="U19" s="12">
        <v>13.005923281491409</v>
      </c>
      <c r="V19" s="12">
        <v>16.097216230465758</v>
      </c>
      <c r="W19" s="12">
        <v>106.65526655419539</v>
      </c>
      <c r="X19" s="12">
        <v>92.503021012246322</v>
      </c>
      <c r="Y19" s="12">
        <v>44.384598036797406</v>
      </c>
      <c r="Z19" s="12">
        <v>200.875</v>
      </c>
      <c r="AA19" s="12">
        <v>0</v>
      </c>
    </row>
    <row r="20" spans="1:27" x14ac:dyDescent="0.2">
      <c r="A20" s="11">
        <v>2016</v>
      </c>
      <c r="B20" s="11" t="s">
        <v>14</v>
      </c>
      <c r="C20" s="12">
        <v>265.35086241822825</v>
      </c>
      <c r="D20" s="12">
        <v>263.9291823586255</v>
      </c>
      <c r="E20" s="12">
        <v>95.422611984521538</v>
      </c>
      <c r="F20" s="12">
        <v>397.49351989261038</v>
      </c>
      <c r="G20" s="12">
        <v>192.21561031504774</v>
      </c>
      <c r="H20" s="12">
        <v>4244.8448275862065</v>
      </c>
      <c r="I20" s="12">
        <v>252.87105971128105</v>
      </c>
      <c r="J20" s="12">
        <v>242.03841394944007</v>
      </c>
      <c r="K20" s="12">
        <v>106.26338744627114</v>
      </c>
      <c r="L20" s="12">
        <v>522.22680311830914</v>
      </c>
      <c r="M20" s="12">
        <v>256.10507263180051</v>
      </c>
      <c r="N20" s="12">
        <v>4890</v>
      </c>
      <c r="O20" s="12">
        <v>270.50033985641107</v>
      </c>
      <c r="P20" s="12">
        <v>273.91844072517677</v>
      </c>
      <c r="Q20" s="12">
        <v>125.16012625354401</v>
      </c>
      <c r="R20" s="12">
        <v>469.72056447498341</v>
      </c>
      <c r="S20" s="12">
        <v>227.35787634201441</v>
      </c>
      <c r="T20" s="12">
        <v>8402</v>
      </c>
      <c r="U20" s="12">
        <v>289.38159421550495</v>
      </c>
      <c r="V20" s="12">
        <v>288.56629229780992</v>
      </c>
      <c r="W20" s="12">
        <v>66.081736608278845</v>
      </c>
      <c r="X20" s="12">
        <v>251.41667453147707</v>
      </c>
      <c r="Y20" s="12">
        <v>118.47473653535663</v>
      </c>
      <c r="Z20" s="12">
        <v>1282.2083333333333</v>
      </c>
      <c r="AA20" s="12">
        <v>0</v>
      </c>
    </row>
    <row r="21" spans="1:27" x14ac:dyDescent="0.2">
      <c r="A21" s="11">
        <v>2017</v>
      </c>
      <c r="B21" s="11" t="s">
        <v>14</v>
      </c>
      <c r="C21" s="12">
        <v>156.62926133482995</v>
      </c>
      <c r="D21" s="12">
        <v>131.52031420550136</v>
      </c>
      <c r="E21" s="12">
        <v>102.36787851169866</v>
      </c>
      <c r="F21" s="12">
        <v>1054.3182515489098</v>
      </c>
      <c r="G21" s="12">
        <v>501.92521828944825</v>
      </c>
      <c r="H21" s="12">
        <v>26081.017241379312</v>
      </c>
      <c r="I21" s="12">
        <v>142.76030589162932</v>
      </c>
      <c r="J21" s="12">
        <v>107.59623312512404</v>
      </c>
      <c r="K21" s="12">
        <v>100.54715557655729</v>
      </c>
      <c r="L21" s="12">
        <v>941.84337504544601</v>
      </c>
      <c r="M21" s="12">
        <v>449.34676099055025</v>
      </c>
      <c r="N21" s="12">
        <v>19036.55</v>
      </c>
      <c r="O21" s="12">
        <v>138.56753935522894</v>
      </c>
      <c r="P21" s="12">
        <v>171.45496269517619</v>
      </c>
      <c r="Q21" s="12">
        <v>95.323730072005418</v>
      </c>
      <c r="R21" s="12">
        <v>886.47326893060483</v>
      </c>
      <c r="S21" s="12">
        <v>421.17040285810077</v>
      </c>
      <c r="T21" s="12">
        <v>19903.571428571428</v>
      </c>
      <c r="U21" s="12">
        <v>164.59821502851193</v>
      </c>
      <c r="V21" s="12">
        <v>121.20593197582365</v>
      </c>
      <c r="W21" s="12">
        <v>111.67683625835576</v>
      </c>
      <c r="X21" s="12">
        <v>1245.9568884958071</v>
      </c>
      <c r="Y21" s="12">
        <v>592.84757504014908</v>
      </c>
      <c r="Z21" s="12">
        <v>35554.916666666664</v>
      </c>
      <c r="AA21" s="12">
        <v>0</v>
      </c>
    </row>
    <row r="22" spans="1:27" x14ac:dyDescent="0.2">
      <c r="A22" s="11">
        <v>2018</v>
      </c>
      <c r="B22" s="11" t="s">
        <v>14</v>
      </c>
      <c r="C22" s="12">
        <v>285.90889028032063</v>
      </c>
      <c r="D22" s="12">
        <v>10.35698337079705</v>
      </c>
      <c r="E22" s="12">
        <v>11.652490039706437</v>
      </c>
      <c r="F22" s="12">
        <v>302.2694847573693</v>
      </c>
      <c r="G22" s="12">
        <v>139.9490210017353</v>
      </c>
      <c r="H22" s="12">
        <v>2224.8965517241381</v>
      </c>
      <c r="I22" s="12">
        <v>289.43965447092216</v>
      </c>
      <c r="J22" s="12">
        <v>6.4612806894723445</v>
      </c>
      <c r="K22" s="12">
        <v>12.462249844463123</v>
      </c>
      <c r="L22" s="12">
        <v>250.92195058318848</v>
      </c>
      <c r="M22" s="12">
        <v>113.80490106669804</v>
      </c>
      <c r="N22" s="12">
        <v>1628.65</v>
      </c>
      <c r="O22" s="12">
        <v>333.02182269565225</v>
      </c>
      <c r="P22" s="12">
        <v>9.8748786075185464</v>
      </c>
      <c r="Q22" s="12">
        <v>9.3304499116591195</v>
      </c>
      <c r="R22" s="12">
        <v>246.67913947099478</v>
      </c>
      <c r="S22" s="12">
        <v>110.99039821328175</v>
      </c>
      <c r="T22" s="12">
        <v>2569</v>
      </c>
      <c r="U22" s="12">
        <v>265.01276254128652</v>
      </c>
      <c r="V22" s="12">
        <v>13.535182985507751</v>
      </c>
      <c r="W22" s="12">
        <v>12.990805816958135</v>
      </c>
      <c r="X22" s="12">
        <v>377.4867979862384</v>
      </c>
      <c r="Y22" s="12">
        <v>178.62831757419761</v>
      </c>
      <c r="Z22" s="12">
        <v>2521.0416666666665</v>
      </c>
      <c r="AA22" s="12">
        <v>0</v>
      </c>
    </row>
    <row r="23" spans="1:27" x14ac:dyDescent="0.2">
      <c r="A23" s="11">
        <v>2019</v>
      </c>
      <c r="B23" s="11" t="s">
        <v>14</v>
      </c>
      <c r="C23" s="12">
        <v>306.46841328519224</v>
      </c>
      <c r="D23" s="12">
        <v>13.325480035325816</v>
      </c>
      <c r="E23" s="12">
        <v>21.107417946532479</v>
      </c>
      <c r="F23" s="12">
        <v>220.82013763366518</v>
      </c>
      <c r="G23" s="12">
        <v>105.30388572093077</v>
      </c>
      <c r="H23" s="12">
        <v>926.77586206896547</v>
      </c>
      <c r="I23" s="12">
        <v>276.91492877376214</v>
      </c>
      <c r="J23" s="12">
        <v>16.471486773913661</v>
      </c>
      <c r="K23" s="12">
        <v>17.87058570937748</v>
      </c>
      <c r="L23" s="12">
        <v>221.35565795635193</v>
      </c>
      <c r="M23" s="12">
        <v>105.01144563488324</v>
      </c>
      <c r="N23" s="12">
        <v>768.75</v>
      </c>
      <c r="O23" s="12">
        <v>362.90469108956819</v>
      </c>
      <c r="P23" s="12">
        <v>11.938112016500643</v>
      </c>
      <c r="Q23" s="12">
        <v>6.6745329534089137</v>
      </c>
      <c r="R23" s="12">
        <v>228.68309609319314</v>
      </c>
      <c r="S23" s="12">
        <v>107.90045634357035</v>
      </c>
      <c r="T23" s="12">
        <v>1153.1428571428571</v>
      </c>
      <c r="U23" s="12">
        <v>306.00648498882981</v>
      </c>
      <c r="V23" s="12">
        <v>12.046207333061757</v>
      </c>
      <c r="W23" s="12">
        <v>28.09526485549069</v>
      </c>
      <c r="X23" s="12">
        <v>215.78714493003477</v>
      </c>
      <c r="Y23" s="12">
        <v>104.03291959609727</v>
      </c>
      <c r="Z23" s="12">
        <v>926.41666666666663</v>
      </c>
      <c r="AA23" s="12">
        <v>0</v>
      </c>
    </row>
    <row r="24" spans="1:27" x14ac:dyDescent="0.2">
      <c r="A24" s="11">
        <v>2020</v>
      </c>
      <c r="B24" s="11" t="s">
        <v>14</v>
      </c>
      <c r="C24" s="12">
        <v>172.8106010388758</v>
      </c>
      <c r="D24" s="12">
        <v>91.259351816263703</v>
      </c>
      <c r="E24" s="12">
        <v>93.133416495786818</v>
      </c>
      <c r="F24" s="12">
        <v>1296.1741939162214</v>
      </c>
      <c r="G24" s="12">
        <v>579.05180258309997</v>
      </c>
      <c r="H24" s="12">
        <v>55877.413793103449</v>
      </c>
      <c r="I24" s="12">
        <v>187.27361642102002</v>
      </c>
      <c r="J24" s="12">
        <v>66.060662357496255</v>
      </c>
      <c r="K24" s="12">
        <v>100.06077321603551</v>
      </c>
      <c r="L24" s="12">
        <v>1212.2167621189151</v>
      </c>
      <c r="M24" s="12">
        <v>538.30047738036365</v>
      </c>
      <c r="N24" s="12">
        <v>51882.9</v>
      </c>
      <c r="O24" s="12">
        <v>141.14983220774718</v>
      </c>
      <c r="P24" s="12">
        <v>103.02907074214261</v>
      </c>
      <c r="Q24" s="12">
        <v>94.53939079357832</v>
      </c>
      <c r="R24" s="12">
        <v>1272.8123888254072</v>
      </c>
      <c r="S24" s="12">
        <v>582.88102008956196</v>
      </c>
      <c r="T24" s="12">
        <v>49789.642857142855</v>
      </c>
      <c r="U24" s="12">
        <v>189.93526054593772</v>
      </c>
      <c r="V24" s="12">
        <v>108.43406350379999</v>
      </c>
      <c r="W24" s="12">
        <v>89.209805856993086</v>
      </c>
      <c r="X24" s="12">
        <v>1379.7664400502854</v>
      </c>
      <c r="Y24" s="12">
        <v>610.77753003994428</v>
      </c>
      <c r="Z24" s="12">
        <v>62757.375</v>
      </c>
      <c r="AA24" s="12">
        <v>0</v>
      </c>
    </row>
    <row r="25" spans="1:27" x14ac:dyDescent="0.2">
      <c r="A25" s="11">
        <v>2021</v>
      </c>
      <c r="B25" s="11" t="s">
        <v>14</v>
      </c>
      <c r="C25" s="12">
        <v>158.71146791981087</v>
      </c>
      <c r="D25" s="12">
        <v>21.673505299442681</v>
      </c>
      <c r="E25" s="12">
        <v>89.054289155925133</v>
      </c>
      <c r="F25" s="12">
        <v>334.30398542995255</v>
      </c>
      <c r="G25" s="12">
        <v>151.20852013612267</v>
      </c>
      <c r="H25" s="12">
        <v>3597.4137931034484</v>
      </c>
      <c r="I25" s="12">
        <v>157.3277462912578</v>
      </c>
      <c r="J25" s="12">
        <v>28.742449357383034</v>
      </c>
      <c r="K25" s="12">
        <v>92.970668563501533</v>
      </c>
      <c r="L25" s="12">
        <v>335.86750397893275</v>
      </c>
      <c r="M25" s="12">
        <v>151.82491641410579</v>
      </c>
      <c r="N25" s="12">
        <v>3562.95</v>
      </c>
      <c r="O25" s="12">
        <v>179.63264984097125</v>
      </c>
      <c r="P25" s="12">
        <v>18.665391112881238</v>
      </c>
      <c r="Q25" s="12">
        <v>84.715958776156299</v>
      </c>
      <c r="R25" s="12">
        <v>382.71132236038329</v>
      </c>
      <c r="S25" s="12">
        <v>172.68219108482205</v>
      </c>
      <c r="T25" s="12">
        <v>4252.7857142857147</v>
      </c>
      <c r="U25" s="12">
        <v>160.57349870027872</v>
      </c>
      <c r="V25" s="12">
        <v>16.807485906333003</v>
      </c>
      <c r="W25" s="12">
        <v>88.533322245366847</v>
      </c>
      <c r="X25" s="12">
        <v>304.76344009638433</v>
      </c>
      <c r="Y25" s="12">
        <v>138.16854851772874</v>
      </c>
      <c r="Z25" s="12">
        <v>3243.8333333333335</v>
      </c>
      <c r="AA25" s="12">
        <v>0</v>
      </c>
    </row>
    <row r="26" spans="1:27" x14ac:dyDescent="0.2">
      <c r="A26" s="11">
        <v>2022</v>
      </c>
      <c r="B26" s="11" t="s">
        <v>14</v>
      </c>
      <c r="C26" s="12">
        <v>410.41239355797717</v>
      </c>
      <c r="D26" s="12">
        <v>286.22098426496797</v>
      </c>
      <c r="E26" s="12">
        <v>151.1674376064754</v>
      </c>
      <c r="F26" s="12">
        <v>152.27880187498099</v>
      </c>
      <c r="G26" s="12">
        <v>74.664548614380294</v>
      </c>
      <c r="H26" s="12">
        <v>203.36206896551724</v>
      </c>
      <c r="I26" s="12">
        <v>254.60290068464846</v>
      </c>
      <c r="J26" s="12">
        <v>2.7417665747866256</v>
      </c>
      <c r="K26" s="12">
        <v>3.5193934150238917</v>
      </c>
      <c r="L26" s="12">
        <v>231.10128849731478</v>
      </c>
      <c r="M26" s="12">
        <v>114.53605076569451</v>
      </c>
      <c r="N26" s="12">
        <v>262.75</v>
      </c>
      <c r="O26" s="12">
        <v>5.5891050480461768</v>
      </c>
      <c r="P26" s="12">
        <v>102.66499174061559</v>
      </c>
      <c r="Q26" s="12">
        <v>173.83954876701671</v>
      </c>
      <c r="R26" s="12">
        <v>142.67410467378448</v>
      </c>
      <c r="S26" s="12">
        <v>69.27604049186418</v>
      </c>
      <c r="T26" s="12">
        <v>200.92857142857142</v>
      </c>
      <c r="U26" s="12">
        <v>3.9640641662067808</v>
      </c>
      <c r="V26" s="12">
        <v>238.26703711682612</v>
      </c>
      <c r="W26" s="12">
        <v>181.21637353483399</v>
      </c>
      <c r="X26" s="12">
        <v>92.19613639040081</v>
      </c>
      <c r="Y26" s="12">
        <v>44.581593226419521</v>
      </c>
      <c r="Z26" s="12">
        <v>155.29166666666666</v>
      </c>
      <c r="AA26" s="12">
        <v>0</v>
      </c>
    </row>
    <row r="27" spans="1:27" x14ac:dyDescent="0.2">
      <c r="A27" s="11">
        <v>2023</v>
      </c>
      <c r="B27" s="11" t="s">
        <v>14</v>
      </c>
      <c r="C27" s="12">
        <v>299.64580806360857</v>
      </c>
      <c r="D27" s="12">
        <v>59.902276283010764</v>
      </c>
      <c r="E27" s="12">
        <v>60.2113385652844</v>
      </c>
      <c r="F27" s="12">
        <v>287.4635843126901</v>
      </c>
      <c r="G27" s="12">
        <v>135.61764009568853</v>
      </c>
      <c r="H27" s="12">
        <v>2350.7931034482758</v>
      </c>
      <c r="I27" s="12">
        <v>273.70516713887315</v>
      </c>
      <c r="J27" s="12">
        <v>36.328219143977236</v>
      </c>
      <c r="K27" s="12">
        <v>77.392740107591393</v>
      </c>
      <c r="L27" s="12">
        <v>342.975384401361</v>
      </c>
      <c r="M27" s="12">
        <v>157.39414962958838</v>
      </c>
      <c r="N27" s="12">
        <v>3523.5</v>
      </c>
      <c r="O27" s="12">
        <v>329.30801265041691</v>
      </c>
      <c r="P27" s="12">
        <v>31.546807416932985</v>
      </c>
      <c r="Q27" s="12">
        <v>14.51473917483022</v>
      </c>
      <c r="R27" s="12">
        <v>304.88721327399901</v>
      </c>
      <c r="S27" s="12">
        <v>140.74541355623799</v>
      </c>
      <c r="T27" s="12">
        <v>3544.6428571428573</v>
      </c>
      <c r="U27" s="12">
        <v>294.39618481964703</v>
      </c>
      <c r="V27" s="12">
        <v>14.922583612883582</v>
      </c>
      <c r="W27" s="12">
        <v>62.44028347145867</v>
      </c>
      <c r="X27" s="12">
        <v>231.03996734470078</v>
      </c>
      <c r="Y27" s="12">
        <v>114.47934763211816</v>
      </c>
      <c r="Z27" s="12">
        <v>677.125</v>
      </c>
      <c r="AA27" s="12">
        <v>0</v>
      </c>
    </row>
    <row r="28" spans="1:27" x14ac:dyDescent="0.2">
      <c r="A28" s="11">
        <v>201</v>
      </c>
      <c r="B28" s="11" t="s">
        <v>14</v>
      </c>
      <c r="C28" s="12">
        <v>312.42823587589396</v>
      </c>
      <c r="D28" s="12">
        <v>101.69912131043576</v>
      </c>
      <c r="E28" s="12">
        <v>53.516841463981834</v>
      </c>
      <c r="F28" s="12">
        <v>301.24671342358579</v>
      </c>
      <c r="G28" s="12">
        <v>142.76205931641513</v>
      </c>
      <c r="H28" s="12">
        <v>2650.3103448275861</v>
      </c>
      <c r="I28" s="12">
        <v>320.30637532536576</v>
      </c>
      <c r="J28" s="12">
        <v>12.956765714397152</v>
      </c>
      <c r="K28" s="12">
        <v>29.436749164234655</v>
      </c>
      <c r="L28" s="12">
        <v>169.39436557118768</v>
      </c>
      <c r="M28" s="12">
        <v>81.416952144345018</v>
      </c>
      <c r="N28" s="12">
        <v>658.05</v>
      </c>
      <c r="O28" s="12">
        <v>350.37500696060715</v>
      </c>
      <c r="P28" s="12">
        <v>31.502750362837908</v>
      </c>
      <c r="Q28" s="12">
        <v>14.382403449375797</v>
      </c>
      <c r="R28" s="12">
        <v>341.3620615472654</v>
      </c>
      <c r="S28" s="12">
        <v>163.55248281940658</v>
      </c>
      <c r="T28" s="12">
        <v>2289.4285714285716</v>
      </c>
      <c r="U28" s="12">
        <v>293.6878754423106</v>
      </c>
      <c r="V28" s="12">
        <v>27.926475737873332</v>
      </c>
      <c r="W28" s="12">
        <v>70.761486196346922</v>
      </c>
      <c r="X28" s="12">
        <v>387.72305022843773</v>
      </c>
      <c r="Y28" s="12">
        <v>181.75523491639524</v>
      </c>
      <c r="Z28" s="12">
        <v>4521.041666666667</v>
      </c>
      <c r="AA28" s="12">
        <v>1</v>
      </c>
    </row>
    <row r="29" spans="1:27" x14ac:dyDescent="0.2">
      <c r="A29" s="11">
        <v>202</v>
      </c>
      <c r="B29" s="11" t="s">
        <v>14</v>
      </c>
      <c r="C29" s="12">
        <v>293.89295401246329</v>
      </c>
      <c r="D29" s="12">
        <v>123.54749413066256</v>
      </c>
      <c r="E29" s="12">
        <v>81.943378519763158</v>
      </c>
      <c r="F29" s="12">
        <v>294.53902289301368</v>
      </c>
      <c r="G29" s="12">
        <v>139.8486640525359</v>
      </c>
      <c r="H29" s="12">
        <v>1595.6379310344828</v>
      </c>
      <c r="I29" s="12">
        <v>295.26517899326677</v>
      </c>
      <c r="J29" s="12">
        <v>12.696310341839323</v>
      </c>
      <c r="K29" s="12">
        <v>60.097408143915501</v>
      </c>
      <c r="L29" s="12">
        <v>259.88784935583323</v>
      </c>
      <c r="M29" s="12">
        <v>122.4832618833411</v>
      </c>
      <c r="N29" s="12">
        <v>1353.1</v>
      </c>
      <c r="O29" s="12">
        <v>336.45798970447822</v>
      </c>
      <c r="P29" s="12">
        <v>12.223232281496054</v>
      </c>
      <c r="Q29" s="12">
        <v>17.138481844273951</v>
      </c>
      <c r="R29" s="12">
        <v>170.17051005781985</v>
      </c>
      <c r="S29" s="12">
        <v>78.939535365167714</v>
      </c>
      <c r="T29" s="12">
        <v>643.35714285714289</v>
      </c>
      <c r="U29" s="12">
        <v>267.7713278279324</v>
      </c>
      <c r="V29" s="12">
        <v>142.42051359829676</v>
      </c>
      <c r="W29" s="12">
        <v>100.58060168549315</v>
      </c>
      <c r="X29" s="12">
        <v>395.96329999452706</v>
      </c>
      <c r="Y29" s="12">
        <v>189.85015759449632</v>
      </c>
      <c r="Z29" s="12">
        <v>2353.25</v>
      </c>
      <c r="AA29" s="12">
        <v>1</v>
      </c>
    </row>
    <row r="30" spans="1:27" x14ac:dyDescent="0.2">
      <c r="A30" s="11">
        <v>204</v>
      </c>
      <c r="B30" s="11" t="s">
        <v>14</v>
      </c>
      <c r="C30" s="12">
        <v>220.68200751322169</v>
      </c>
      <c r="D30" s="12">
        <v>140.4011796334845</v>
      </c>
      <c r="E30" s="12">
        <v>94.665240460553576</v>
      </c>
      <c r="F30" s="12">
        <v>510.69852174231141</v>
      </c>
      <c r="G30" s="12">
        <v>237.5426272367153</v>
      </c>
      <c r="H30" s="12">
        <v>8102.4310344827591</v>
      </c>
      <c r="I30" s="12">
        <v>225.72587986207111</v>
      </c>
      <c r="J30" s="12">
        <v>76.065079348517799</v>
      </c>
      <c r="K30" s="12">
        <v>104.61867416318564</v>
      </c>
      <c r="L30" s="12">
        <v>419.46583882979098</v>
      </c>
      <c r="M30" s="12">
        <v>203.52811599935328</v>
      </c>
      <c r="N30" s="12">
        <v>4399.6000000000004</v>
      </c>
      <c r="O30" s="12">
        <v>264.28903329819246</v>
      </c>
      <c r="P30" s="12">
        <v>137.21404127017433</v>
      </c>
      <c r="Q30" s="12">
        <v>54.604272218000133</v>
      </c>
      <c r="R30" s="12">
        <v>678.13272545020914</v>
      </c>
      <c r="S30" s="12">
        <v>322.15069316129967</v>
      </c>
      <c r="T30" s="12">
        <v>12150.714285714286</v>
      </c>
      <c r="U30" s="12">
        <v>208.43998886065256</v>
      </c>
      <c r="V30" s="12">
        <v>179.55672129334548</v>
      </c>
      <c r="W30" s="12">
        <v>93.767117467333151</v>
      </c>
      <c r="X30" s="12">
        <v>489.05580533980446</v>
      </c>
      <c r="Y30" s="12">
        <v>216.53334814517595</v>
      </c>
      <c r="Z30" s="12">
        <v>8826.625</v>
      </c>
      <c r="AA30" s="12">
        <v>1</v>
      </c>
    </row>
    <row r="31" spans="1:27" x14ac:dyDescent="0.2">
      <c r="A31" s="11">
        <v>205</v>
      </c>
      <c r="B31" s="11" t="s">
        <v>14</v>
      </c>
      <c r="C31" s="12">
        <v>125.45216412800806</v>
      </c>
      <c r="D31" s="12">
        <v>63.706312504127759</v>
      </c>
      <c r="E31" s="12">
        <v>96.12582213092098</v>
      </c>
      <c r="F31" s="12">
        <v>740.45642408398896</v>
      </c>
      <c r="G31" s="12">
        <v>347.69615282717774</v>
      </c>
      <c r="H31" s="12">
        <v>12684.344827586207</v>
      </c>
      <c r="I31" s="12">
        <v>136.8591643412945</v>
      </c>
      <c r="J31" s="12">
        <v>41.470858428123137</v>
      </c>
      <c r="K31" s="12">
        <v>102.59756690700127</v>
      </c>
      <c r="L31" s="12">
        <v>756.28181877966017</v>
      </c>
      <c r="M31" s="12">
        <v>352.59660929028405</v>
      </c>
      <c r="N31" s="12">
        <v>14109.9</v>
      </c>
      <c r="O31" s="12">
        <v>88.562804666351752</v>
      </c>
      <c r="P31" s="12">
        <v>84.383791918971738</v>
      </c>
      <c r="Q31" s="12">
        <v>77.697286723103403</v>
      </c>
      <c r="R31" s="12">
        <v>840.84982646651224</v>
      </c>
      <c r="S31" s="12">
        <v>395.32576246160437</v>
      </c>
      <c r="T31" s="12">
        <v>14139.428571428571</v>
      </c>
      <c r="U31" s="12">
        <v>142.56321180539325</v>
      </c>
      <c r="V31" s="12">
        <v>34.781024955709647</v>
      </c>
      <c r="W31" s="12">
        <v>105.02454981038197</v>
      </c>
      <c r="X31" s="12">
        <v>668.70577711445765</v>
      </c>
      <c r="Y31" s="12">
        <v>315.82850015450674</v>
      </c>
      <c r="Z31" s="12">
        <v>10647.583333333334</v>
      </c>
      <c r="AA31" s="12">
        <v>1</v>
      </c>
    </row>
    <row r="32" spans="1:27" x14ac:dyDescent="0.2">
      <c r="A32" s="11">
        <v>209</v>
      </c>
      <c r="B32" s="11" t="s">
        <v>14</v>
      </c>
      <c r="C32" s="12">
        <v>164.84908757671906</v>
      </c>
      <c r="D32" s="12">
        <v>154.70444569320358</v>
      </c>
      <c r="E32" s="12">
        <v>106.28947433142895</v>
      </c>
      <c r="F32" s="12">
        <v>182.64950879667018</v>
      </c>
      <c r="G32" s="12">
        <v>84.259661438924468</v>
      </c>
      <c r="H32" s="12">
        <v>1024.5862068965516</v>
      </c>
      <c r="I32" s="12">
        <v>159.86367649259304</v>
      </c>
      <c r="J32" s="12">
        <v>158.47146411348527</v>
      </c>
      <c r="K32" s="12">
        <v>107.50529125641376</v>
      </c>
      <c r="L32" s="12">
        <v>177.20546769084257</v>
      </c>
      <c r="M32" s="12">
        <v>82.515128759184449</v>
      </c>
      <c r="N32" s="12">
        <v>1113.9000000000001</v>
      </c>
      <c r="O32" s="12">
        <v>164.00980742387611</v>
      </c>
      <c r="P32" s="12">
        <v>164.09559737959182</v>
      </c>
      <c r="Q32" s="12">
        <v>94.773483181896623</v>
      </c>
      <c r="R32" s="12">
        <v>140.38834310829543</v>
      </c>
      <c r="S32" s="12">
        <v>65.036640767124339</v>
      </c>
      <c r="T32" s="12">
        <v>589.92857142857144</v>
      </c>
      <c r="U32" s="12">
        <v>164.24903845379615</v>
      </c>
      <c r="V32" s="12">
        <v>156.96119692480488</v>
      </c>
      <c r="W32" s="12">
        <v>120.38084602959722</v>
      </c>
      <c r="X32" s="12">
        <v>211.83855636974511</v>
      </c>
      <c r="Y32" s="12">
        <v>96.92686739725788</v>
      </c>
      <c r="Z32" s="12">
        <v>1203.7083333333333</v>
      </c>
      <c r="AA32" s="12">
        <v>1</v>
      </c>
    </row>
    <row r="33" spans="1:27" x14ac:dyDescent="0.2">
      <c r="A33" s="11">
        <v>210</v>
      </c>
      <c r="B33" s="11" t="s">
        <v>14</v>
      </c>
      <c r="C33" s="12">
        <v>227.91826344364281</v>
      </c>
      <c r="D33" s="12">
        <v>192.90928241656479</v>
      </c>
      <c r="E33" s="12">
        <v>101.95740326318919</v>
      </c>
      <c r="F33" s="12">
        <v>856.41406784759397</v>
      </c>
      <c r="G33" s="12">
        <v>383.75794763675657</v>
      </c>
      <c r="H33" s="12">
        <v>31049.086206896551</v>
      </c>
      <c r="I33" s="12">
        <v>222.76436368592513</v>
      </c>
      <c r="J33" s="12">
        <v>102.74681815985987</v>
      </c>
      <c r="K33" s="12">
        <v>83.052799164520167</v>
      </c>
      <c r="L33" s="12">
        <v>359.49102375805103</v>
      </c>
      <c r="M33" s="12">
        <v>170.88790231540452</v>
      </c>
      <c r="N33" s="12">
        <v>2781.2</v>
      </c>
      <c r="O33" s="12">
        <v>225.29640676111771</v>
      </c>
      <c r="P33" s="12">
        <v>107.73868543204117</v>
      </c>
      <c r="Q33" s="12">
        <v>115.12376938504718</v>
      </c>
      <c r="R33" s="12">
        <v>1171.0924454451567</v>
      </c>
      <c r="S33" s="12">
        <v>508.93396956126719</v>
      </c>
      <c r="T33" s="12">
        <v>55891.785714285717</v>
      </c>
      <c r="U33" s="12">
        <v>242.23919468384449</v>
      </c>
      <c r="V33" s="12">
        <v>153.03603974645785</v>
      </c>
      <c r="W33" s="12">
        <v>111.79219241927795</v>
      </c>
      <c r="X33" s="12">
        <v>1086.9542176569685</v>
      </c>
      <c r="Y33" s="12">
        <v>488.13030594858543</v>
      </c>
      <c r="Z33" s="12">
        <v>40114.083333333336</v>
      </c>
      <c r="AA33" s="12">
        <v>1</v>
      </c>
    </row>
    <row r="34" spans="1:27" x14ac:dyDescent="0.2">
      <c r="A34" s="11">
        <v>214</v>
      </c>
      <c r="B34" s="11" t="s">
        <v>14</v>
      </c>
      <c r="C34" s="12">
        <v>357.13568098975401</v>
      </c>
      <c r="D34" s="12">
        <v>4.2281344542632304</v>
      </c>
      <c r="E34" s="12">
        <v>4.6343831492260676</v>
      </c>
      <c r="F34" s="12">
        <v>182.11385825994719</v>
      </c>
      <c r="G34" s="12">
        <v>90.348774905565847</v>
      </c>
      <c r="H34" s="12">
        <v>260.29310344827587</v>
      </c>
      <c r="I34" s="12">
        <v>348.887878625572</v>
      </c>
      <c r="J34" s="12">
        <v>2.4535185115298686</v>
      </c>
      <c r="K34" s="12">
        <v>2.5813253389383712</v>
      </c>
      <c r="L34" s="12">
        <v>150.61537947756716</v>
      </c>
      <c r="M34" s="12">
        <v>74.740281754310075</v>
      </c>
      <c r="N34" s="12">
        <v>237.05</v>
      </c>
      <c r="O34" s="12">
        <v>404.89911213201111</v>
      </c>
      <c r="P34" s="12">
        <v>2.4332354840078518</v>
      </c>
      <c r="Q34" s="12">
        <v>0.99833842793658634</v>
      </c>
      <c r="R34" s="12">
        <v>231.34706906031738</v>
      </c>
      <c r="S34" s="12">
        <v>114.467235110461</v>
      </c>
      <c r="T34" s="12">
        <v>540.21428571428567</v>
      </c>
      <c r="U34" s="12">
        <v>359.45259892706434</v>
      </c>
      <c r="V34" s="12">
        <v>6.0224048576428482</v>
      </c>
      <c r="W34" s="12">
        <v>6.5216602993717361</v>
      </c>
      <c r="X34" s="12">
        <v>179.64321761171473</v>
      </c>
      <c r="Y34" s="12">
        <v>89.286750745423433</v>
      </c>
      <c r="Z34" s="12">
        <v>116.375</v>
      </c>
      <c r="AA34" s="12">
        <v>1</v>
      </c>
    </row>
    <row r="35" spans="1:27" x14ac:dyDescent="0.2">
      <c r="A35" s="11">
        <v>215</v>
      </c>
      <c r="B35" s="11" t="s">
        <v>14</v>
      </c>
      <c r="C35" s="12">
        <v>267.81232348984008</v>
      </c>
      <c r="D35" s="12">
        <v>190.09155026515842</v>
      </c>
      <c r="E35" s="12">
        <v>96.834180099019846</v>
      </c>
      <c r="F35" s="12">
        <v>476.14288782252044</v>
      </c>
      <c r="G35" s="12">
        <v>224.45831986861077</v>
      </c>
      <c r="H35" s="12">
        <v>4946.7931034482763</v>
      </c>
      <c r="I35" s="12">
        <v>265.08699713373858</v>
      </c>
      <c r="J35" s="12">
        <v>117.0306966168162</v>
      </c>
      <c r="K35" s="12">
        <v>93.36221210322492</v>
      </c>
      <c r="L35" s="12">
        <v>504.94067538012422</v>
      </c>
      <c r="M35" s="12">
        <v>239.9485572059744</v>
      </c>
      <c r="N35" s="12">
        <v>5595.6</v>
      </c>
      <c r="O35" s="12">
        <v>371.23152689507197</v>
      </c>
      <c r="P35" s="12">
        <v>35.073467866011619</v>
      </c>
      <c r="Q35" s="12">
        <v>84.001425620240255</v>
      </c>
      <c r="R35" s="12">
        <v>312.06142439314021</v>
      </c>
      <c r="S35" s="12">
        <v>150.96072795736282</v>
      </c>
      <c r="T35" s="12">
        <v>1880</v>
      </c>
      <c r="U35" s="12">
        <v>196.93745268323218</v>
      </c>
      <c r="V35" s="12">
        <v>167.25710314419709</v>
      </c>
      <c r="W35" s="12">
        <v>110.84332789039756</v>
      </c>
      <c r="X35" s="12">
        <v>547.85891852498889</v>
      </c>
      <c r="Y35" s="12">
        <v>254.42338403570238</v>
      </c>
      <c r="Z35" s="12">
        <v>6195.083333333333</v>
      </c>
      <c r="AA35" s="12">
        <v>1</v>
      </c>
    </row>
    <row r="36" spans="1:27" x14ac:dyDescent="0.2">
      <c r="A36" s="11">
        <v>217</v>
      </c>
      <c r="B36" s="11" t="s">
        <v>14</v>
      </c>
      <c r="C36" s="12">
        <v>100.15190432980656</v>
      </c>
      <c r="D36" s="12">
        <v>70.854687209156083</v>
      </c>
      <c r="E36" s="12">
        <v>101.52131170035526</v>
      </c>
      <c r="F36" s="12">
        <v>402.47434747131706</v>
      </c>
      <c r="G36" s="12">
        <v>190.97706526982796</v>
      </c>
      <c r="H36" s="12">
        <v>4937.4655172413795</v>
      </c>
      <c r="I36" s="12">
        <v>118.08573993208771</v>
      </c>
      <c r="J36" s="12">
        <v>66.815288041355828</v>
      </c>
      <c r="K36" s="12">
        <v>90.908246112735668</v>
      </c>
      <c r="L36" s="12">
        <v>182.95603896965815</v>
      </c>
      <c r="M36" s="12">
        <v>87.346955584956817</v>
      </c>
      <c r="N36" s="12">
        <v>1074.3499999999999</v>
      </c>
      <c r="O36" s="12">
        <v>94.679380992828669</v>
      </c>
      <c r="P36" s="12">
        <v>91.750149575300313</v>
      </c>
      <c r="Q36" s="12">
        <v>101.69705460547647</v>
      </c>
      <c r="R36" s="12">
        <v>638.84987728375643</v>
      </c>
      <c r="S36" s="12">
        <v>311.20822183121163</v>
      </c>
      <c r="T36" s="12">
        <v>6582.7857142857147</v>
      </c>
      <c r="U36" s="12">
        <v>90.316218700016492</v>
      </c>
      <c r="V36" s="12">
        <v>61.653042448022219</v>
      </c>
      <c r="W36" s="12">
        <v>90.615367476978889</v>
      </c>
      <c r="X36" s="12">
        <v>447.52054549877653</v>
      </c>
      <c r="Y36" s="12">
        <v>207.20064867974668</v>
      </c>
      <c r="Z36" s="12">
        <v>7196.958333333333</v>
      </c>
      <c r="AA36" s="12">
        <v>1</v>
      </c>
    </row>
    <row r="37" spans="1:27" x14ac:dyDescent="0.2">
      <c r="A37" s="11">
        <v>219</v>
      </c>
      <c r="B37" s="11" t="s">
        <v>14</v>
      </c>
      <c r="C37" s="12">
        <v>204.68328024225139</v>
      </c>
      <c r="D37" s="12">
        <v>151.79039775124116</v>
      </c>
      <c r="E37" s="12">
        <v>101.24248948363443</v>
      </c>
      <c r="F37" s="12">
        <v>912.67980932099658</v>
      </c>
      <c r="G37" s="12">
        <v>430.94702205372414</v>
      </c>
      <c r="H37" s="12">
        <v>20789.086206896551</v>
      </c>
      <c r="I37" s="12">
        <v>156.67732036274202</v>
      </c>
      <c r="J37" s="12">
        <v>137.5994544921717</v>
      </c>
      <c r="K37" s="12">
        <v>90.030743694275785</v>
      </c>
      <c r="L37" s="12">
        <v>988.67258336315103</v>
      </c>
      <c r="M37" s="12">
        <v>453.58898208877883</v>
      </c>
      <c r="N37" s="12">
        <v>29327.05</v>
      </c>
      <c r="O37" s="12">
        <v>143.17632596718047</v>
      </c>
      <c r="P37" s="12">
        <v>170.05548425401531</v>
      </c>
      <c r="Q37" s="12">
        <v>117.24951027946774</v>
      </c>
      <c r="R37" s="12">
        <v>1148.4676077415079</v>
      </c>
      <c r="S37" s="12">
        <v>553.98624953056901</v>
      </c>
      <c r="T37" s="12">
        <v>25008.714285714286</v>
      </c>
      <c r="U37" s="12">
        <v>222.19499391270122</v>
      </c>
      <c r="V37" s="12">
        <v>156.15612061886654</v>
      </c>
      <c r="W37" s="12">
        <v>104.66076341927335</v>
      </c>
      <c r="X37" s="12">
        <v>711.80961520723736</v>
      </c>
      <c r="Y37" s="12">
        <v>340.30583932968551</v>
      </c>
      <c r="Z37" s="12">
        <v>11212.666666666666</v>
      </c>
      <c r="AA37" s="12">
        <v>1</v>
      </c>
    </row>
    <row r="38" spans="1:27" x14ac:dyDescent="0.2">
      <c r="A38" s="11">
        <v>1</v>
      </c>
      <c r="B38" s="11" t="s">
        <v>14</v>
      </c>
      <c r="C38" s="12">
        <v>224.68724964549455</v>
      </c>
      <c r="D38" s="12">
        <v>154.68138324612212</v>
      </c>
      <c r="E38" s="12">
        <v>107.68856551364664</v>
      </c>
      <c r="F38" s="12">
        <v>665.09802967124301</v>
      </c>
      <c r="G38" s="12">
        <v>309.79959261499056</v>
      </c>
      <c r="H38" s="12">
        <v>14152.103448275862</v>
      </c>
      <c r="I38" s="12">
        <v>63.668130679308405</v>
      </c>
      <c r="J38" s="12">
        <v>75.619327661976726</v>
      </c>
      <c r="K38" s="12">
        <v>94.601492029335716</v>
      </c>
      <c r="L38" s="12">
        <v>598.87461619165276</v>
      </c>
      <c r="M38" s="12">
        <v>273.0739151705593</v>
      </c>
      <c r="N38" s="12">
        <v>13942.2</v>
      </c>
      <c r="O38" s="12">
        <v>66.215816777673211</v>
      </c>
      <c r="P38" s="12">
        <v>265.22951027684144</v>
      </c>
      <c r="Q38" s="12">
        <v>124.83052416141773</v>
      </c>
      <c r="R38" s="12">
        <v>414.91264494608401</v>
      </c>
      <c r="S38" s="12">
        <v>195.76941283907806</v>
      </c>
      <c r="T38" s="12">
        <v>4087.7142857142858</v>
      </c>
      <c r="U38" s="12">
        <v>81.321099427646601</v>
      </c>
      <c r="V38" s="12">
        <v>130.81092261255364</v>
      </c>
      <c r="W38" s="12">
        <v>103.05308608012372</v>
      </c>
      <c r="X38" s="12">
        <v>866.22568199391105</v>
      </c>
      <c r="Y38" s="12">
        <v>406.92192868796559</v>
      </c>
      <c r="Z38" s="12">
        <v>20197.916666666668</v>
      </c>
      <c r="AA38" s="12">
        <v>1</v>
      </c>
    </row>
    <row r="39" spans="1:27" x14ac:dyDescent="0.2">
      <c r="A39" s="11">
        <v>6</v>
      </c>
      <c r="B39" s="11" t="s">
        <v>14</v>
      </c>
      <c r="C39" s="12">
        <v>300.16534487482159</v>
      </c>
      <c r="D39" s="12">
        <v>2.5940967044611711</v>
      </c>
      <c r="E39" s="12">
        <v>35.769078965141347</v>
      </c>
      <c r="F39" s="12">
        <v>126.2175360883364</v>
      </c>
      <c r="G39" s="12">
        <v>62.163630157891355</v>
      </c>
      <c r="H39" s="12">
        <v>135.58620689655172</v>
      </c>
      <c r="I39" s="12">
        <v>289.82572243111207</v>
      </c>
      <c r="J39" s="12">
        <v>3.1902629637347655</v>
      </c>
      <c r="K39" s="12">
        <v>61.500495988373949</v>
      </c>
      <c r="L39" s="12">
        <v>139.58931795344461</v>
      </c>
      <c r="M39" s="12">
        <v>68.603451192905425</v>
      </c>
      <c r="N39" s="12">
        <v>153.80000000000001</v>
      </c>
      <c r="O39" s="12">
        <v>347.01285370274201</v>
      </c>
      <c r="P39" s="12">
        <v>1.9880595947760022</v>
      </c>
      <c r="Q39" s="12">
        <v>1.6747399021708604</v>
      </c>
      <c r="R39" s="12">
        <v>85.321171231174986</v>
      </c>
      <c r="S39" s="12">
        <v>41.726186304070609</v>
      </c>
      <c r="T39" s="12">
        <v>84.071428571428569</v>
      </c>
      <c r="U39" s="12">
        <v>303.01112868629741</v>
      </c>
      <c r="V39" s="12">
        <v>2.4084237688797727</v>
      </c>
      <c r="W39" s="12">
        <v>1.9876917851640328</v>
      </c>
      <c r="X39" s="12">
        <v>138.93059736742373</v>
      </c>
      <c r="Y39" s="12">
        <v>68.718954876775101</v>
      </c>
      <c r="Z39" s="12">
        <v>150.45833333333334</v>
      </c>
      <c r="AA39" s="12">
        <v>1</v>
      </c>
    </row>
    <row r="40" spans="1:27" x14ac:dyDescent="0.2">
      <c r="A40" s="11">
        <v>101</v>
      </c>
      <c r="B40" s="11" t="s">
        <v>15</v>
      </c>
      <c r="C40" s="12">
        <v>261.97458323510773</v>
      </c>
      <c r="D40" s="12">
        <v>157.27893920467838</v>
      </c>
      <c r="E40" s="12">
        <v>103.72598532781035</v>
      </c>
      <c r="F40" s="12">
        <v>164.3898878217156</v>
      </c>
      <c r="G40" s="12">
        <v>77.294159864511514</v>
      </c>
      <c r="H40" s="12">
        <v>777.89473684210532</v>
      </c>
      <c r="I40" s="12"/>
      <c r="J40" s="12"/>
      <c r="K40" s="12"/>
      <c r="L40" s="12"/>
      <c r="M40" s="12"/>
      <c r="N40" s="12"/>
      <c r="O40" s="12">
        <v>250.64952660076014</v>
      </c>
      <c r="P40" s="12">
        <v>11.203268608456524</v>
      </c>
      <c r="Q40" s="12">
        <v>11.539694917643635</v>
      </c>
      <c r="R40" s="12">
        <v>125.1459212459055</v>
      </c>
      <c r="S40" s="12">
        <v>57.621489051889121</v>
      </c>
      <c r="T40" s="12">
        <v>316.92857142857144</v>
      </c>
      <c r="U40" s="12">
        <v>278.62396820188633</v>
      </c>
      <c r="V40" s="12">
        <v>161.60688262504328</v>
      </c>
      <c r="W40" s="12">
        <v>111.39437121264254</v>
      </c>
      <c r="X40" s="12">
        <v>187.2822016576047</v>
      </c>
      <c r="Y40" s="12">
        <v>88.769884505207912</v>
      </c>
      <c r="Z40" s="12">
        <v>1046.7916666666667</v>
      </c>
      <c r="AA40" s="12">
        <v>0</v>
      </c>
    </row>
    <row r="41" spans="1:27" x14ac:dyDescent="0.2">
      <c r="A41" s="11">
        <v>214</v>
      </c>
      <c r="B41" s="11" t="s">
        <v>15</v>
      </c>
      <c r="C41" s="12">
        <v>179.14564698939537</v>
      </c>
      <c r="D41" s="12">
        <v>146.34294958884132</v>
      </c>
      <c r="E41" s="12">
        <v>85.474683433388449</v>
      </c>
      <c r="F41" s="12">
        <v>296.90522461378379</v>
      </c>
      <c r="G41" s="12">
        <v>144.23511390144853</v>
      </c>
      <c r="H41" s="12">
        <v>1429.2413793103449</v>
      </c>
      <c r="I41" s="12">
        <v>133.75690128728053</v>
      </c>
      <c r="J41" s="12">
        <v>7.600276148329371</v>
      </c>
      <c r="K41" s="12">
        <v>63.953824084237127</v>
      </c>
      <c r="L41" s="12">
        <v>211.97852212394037</v>
      </c>
      <c r="M41" s="12">
        <v>105.07155082221402</v>
      </c>
      <c r="N41" s="12">
        <v>471.05</v>
      </c>
      <c r="O41" s="12">
        <v>139.18369347412983</v>
      </c>
      <c r="P41" s="12">
        <v>22.706198021056451</v>
      </c>
      <c r="Q41" s="12">
        <v>111.71992639081421</v>
      </c>
      <c r="R41" s="12">
        <v>393.99495702551104</v>
      </c>
      <c r="S41" s="12">
        <v>185.863644726112</v>
      </c>
      <c r="T41" s="12">
        <v>3289.2857142857142</v>
      </c>
      <c r="U41" s="12">
        <v>203.41158247632268</v>
      </c>
      <c r="V41" s="12">
        <v>33.182639167003302</v>
      </c>
      <c r="W41" s="12">
        <v>78.900244259256382</v>
      </c>
      <c r="X41" s="12">
        <v>311.04179944847999</v>
      </c>
      <c r="Y41" s="12">
        <v>152.58810681975689</v>
      </c>
      <c r="Z41" s="12">
        <v>1142.7083333333333</v>
      </c>
      <c r="AA41" s="12">
        <v>0</v>
      </c>
    </row>
    <row r="42" spans="1:27" x14ac:dyDescent="0.2">
      <c r="A42" s="11">
        <v>410</v>
      </c>
      <c r="B42" s="11" t="s">
        <v>15</v>
      </c>
      <c r="C42" s="12">
        <v>336.02874987772969</v>
      </c>
      <c r="D42" s="12">
        <v>3.3763642866828674</v>
      </c>
      <c r="E42" s="12">
        <v>35.623626352720244</v>
      </c>
      <c r="F42" s="12">
        <v>139.0036524107532</v>
      </c>
      <c r="G42" s="12">
        <v>67.286638960474747</v>
      </c>
      <c r="H42" s="12">
        <v>239.44827586206895</v>
      </c>
      <c r="I42" s="12">
        <v>335.3974682796445</v>
      </c>
      <c r="J42" s="12">
        <v>3.7581187833972765</v>
      </c>
      <c r="K42" s="12">
        <v>3.2928495888922247</v>
      </c>
      <c r="L42" s="12">
        <v>83.238137838538506</v>
      </c>
      <c r="M42" s="12">
        <v>38.47939635395813</v>
      </c>
      <c r="N42" s="12">
        <v>198.45</v>
      </c>
      <c r="O42" s="12">
        <v>384.80416925658267</v>
      </c>
      <c r="P42" s="12">
        <v>3.2227695211174217</v>
      </c>
      <c r="Q42" s="12">
        <v>73.484589277095296</v>
      </c>
      <c r="R42" s="12">
        <v>229.92277842465808</v>
      </c>
      <c r="S42" s="12">
        <v>112.6587627403533</v>
      </c>
      <c r="T42" s="12">
        <v>340.71428571428572</v>
      </c>
      <c r="U42" s="12">
        <v>335.70729895608537</v>
      </c>
      <c r="V42" s="12">
        <v>3.3134508037627772</v>
      </c>
      <c r="W42" s="12">
        <v>4.5783099619062311</v>
      </c>
      <c r="X42" s="12">
        <v>132.4387577128212</v>
      </c>
      <c r="Y42" s="12">
        <v>64.825602260976098</v>
      </c>
      <c r="Z42" s="12">
        <v>214.54166666666666</v>
      </c>
      <c r="AA42" s="12">
        <v>0</v>
      </c>
    </row>
    <row r="43" spans="1:27" x14ac:dyDescent="0.2">
      <c r="A43" s="11">
        <v>424</v>
      </c>
      <c r="B43" s="11" t="s">
        <v>15</v>
      </c>
      <c r="C43" s="12">
        <v>279.25692950492549</v>
      </c>
      <c r="D43" s="12">
        <v>199.86777169696197</v>
      </c>
      <c r="E43" s="12">
        <v>86.706693275167211</v>
      </c>
      <c r="F43" s="12">
        <v>231.37090299121618</v>
      </c>
      <c r="G43" s="12">
        <v>107.72870849902382</v>
      </c>
      <c r="H43" s="12">
        <v>1553.4655172413793</v>
      </c>
      <c r="I43" s="12">
        <v>213.78286260988975</v>
      </c>
      <c r="J43" s="12">
        <v>27.75323360094534</v>
      </c>
      <c r="K43" s="12">
        <v>66.257708457804824</v>
      </c>
      <c r="L43" s="12">
        <v>150.85945464191371</v>
      </c>
      <c r="M43" s="12">
        <v>71.900614202387118</v>
      </c>
      <c r="N43" s="12">
        <v>387.25</v>
      </c>
      <c r="O43" s="12">
        <v>308.96760159599052</v>
      </c>
      <c r="P43" s="12">
        <v>180.47629517943096</v>
      </c>
      <c r="Q43" s="12">
        <v>68.466847500849596</v>
      </c>
      <c r="R43" s="12">
        <v>319.62373625680505</v>
      </c>
      <c r="S43" s="12">
        <v>148.6647361958083</v>
      </c>
      <c r="T43" s="12">
        <v>2553</v>
      </c>
      <c r="U43" s="12">
        <v>270.87407463573226</v>
      </c>
      <c r="V43" s="12">
        <v>268.14945076603823</v>
      </c>
      <c r="W43" s="12">
        <v>104.47306740552453</v>
      </c>
      <c r="X43" s="12">
        <v>246.98295721070849</v>
      </c>
      <c r="Y43" s="12">
        <v>113.70610425643014</v>
      </c>
      <c r="Z43" s="12">
        <v>1942.25</v>
      </c>
      <c r="AA43" s="12">
        <v>0</v>
      </c>
    </row>
    <row r="44" spans="1:27" x14ac:dyDescent="0.2">
      <c r="A44" s="11">
        <v>480</v>
      </c>
      <c r="B44" s="11" t="s">
        <v>15</v>
      </c>
      <c r="C44" s="12">
        <v>200.17541089910677</v>
      </c>
      <c r="D44" s="12">
        <v>189.32441177898073</v>
      </c>
      <c r="E44" s="12">
        <v>104.48111312853426</v>
      </c>
      <c r="F44" s="12">
        <v>164.71249416611761</v>
      </c>
      <c r="G44" s="12">
        <v>78.648449985298399</v>
      </c>
      <c r="H44" s="12">
        <v>823.29310344827582</v>
      </c>
      <c r="I44" s="12">
        <v>258.07998568727817</v>
      </c>
      <c r="J44" s="12">
        <v>176.32751863268695</v>
      </c>
      <c r="K44" s="12">
        <v>8.2105554551895974</v>
      </c>
      <c r="L44" s="12">
        <v>125.41257653619211</v>
      </c>
      <c r="M44" s="12">
        <v>58.061791938125154</v>
      </c>
      <c r="N44" s="12">
        <v>512.15</v>
      </c>
      <c r="O44" s="12">
        <v>2.0158105227158845</v>
      </c>
      <c r="P44" s="12">
        <v>195.38602409767793</v>
      </c>
      <c r="Q44" s="12">
        <v>184.83561572144322</v>
      </c>
      <c r="R44" s="12">
        <v>65.0520277686783</v>
      </c>
      <c r="S44" s="12">
        <v>32.356243041052309</v>
      </c>
      <c r="T44" s="12">
        <v>31.785714285714285</v>
      </c>
      <c r="U44" s="12">
        <v>179.6813748407065</v>
      </c>
      <c r="V44" s="12">
        <v>207.23509316325706</v>
      </c>
      <c r="W44" s="12">
        <v>90.44767102897346</v>
      </c>
      <c r="X44" s="12">
        <v>255.59769758956202</v>
      </c>
      <c r="Y44" s="12">
        <v>122.8077857420863</v>
      </c>
      <c r="Z44" s="12">
        <v>1544.2916666666667</v>
      </c>
      <c r="AA44" s="12">
        <v>0</v>
      </c>
    </row>
    <row r="45" spans="1:27" x14ac:dyDescent="0.2">
      <c r="A45" s="11">
        <v>482</v>
      </c>
      <c r="B45" s="11" t="s">
        <v>15</v>
      </c>
      <c r="C45" s="12">
        <v>228.20234158043036</v>
      </c>
      <c r="D45" s="12">
        <v>185.40191256957249</v>
      </c>
      <c r="E45" s="12">
        <v>50.765797937682393</v>
      </c>
      <c r="F45" s="12">
        <v>218.4714871157376</v>
      </c>
      <c r="G45" s="12">
        <v>106.69855273638558</v>
      </c>
      <c r="H45" s="12">
        <v>501.10344827586209</v>
      </c>
      <c r="I45" s="12">
        <v>158.65583529789882</v>
      </c>
      <c r="J45" s="12">
        <v>123.27440534168305</v>
      </c>
      <c r="K45" s="12">
        <v>81.72538893883106</v>
      </c>
      <c r="L45" s="12">
        <v>214.41849508712642</v>
      </c>
      <c r="M45" s="12">
        <v>104.07316264683834</v>
      </c>
      <c r="N45" s="12">
        <v>363.45</v>
      </c>
      <c r="O45" s="12">
        <v>273.70487717313284</v>
      </c>
      <c r="P45" s="12">
        <v>223.29235587112291</v>
      </c>
      <c r="Q45" s="12">
        <v>7.5287033140354191</v>
      </c>
      <c r="R45" s="12">
        <v>305.74495452650399</v>
      </c>
      <c r="S45" s="12">
        <v>151.36064910972908</v>
      </c>
      <c r="T45" s="12">
        <v>824.42857142857144</v>
      </c>
      <c r="U45" s="12">
        <v>233.60347277295045</v>
      </c>
      <c r="V45" s="12">
        <v>190.470364088379</v>
      </c>
      <c r="W45" s="12">
        <v>9.2264755940082228</v>
      </c>
      <c r="X45" s="12">
        <v>170.9394578166324</v>
      </c>
      <c r="Y45" s="12">
        <v>82.833488259891197</v>
      </c>
      <c r="Z45" s="12">
        <v>427.20833333333331</v>
      </c>
      <c r="AA45" s="12">
        <v>0</v>
      </c>
    </row>
    <row r="46" spans="1:27" x14ac:dyDescent="0.2">
      <c r="A46" s="11">
        <v>532</v>
      </c>
      <c r="B46" s="11" t="s">
        <v>15</v>
      </c>
      <c r="C46" s="12">
        <v>305.94246429911004</v>
      </c>
      <c r="D46" s="12">
        <v>38.772916842297548</v>
      </c>
      <c r="E46" s="12">
        <v>59.817905179399446</v>
      </c>
      <c r="F46" s="12">
        <v>129.75825900058561</v>
      </c>
      <c r="G46" s="12">
        <v>62.79456457639381</v>
      </c>
      <c r="H46" s="12">
        <v>294.67241379310343</v>
      </c>
      <c r="I46" s="12">
        <v>274.43505157115811</v>
      </c>
      <c r="J46" s="12">
        <v>15.123361047819886</v>
      </c>
      <c r="K46" s="12">
        <v>11.214305230408732</v>
      </c>
      <c r="L46" s="12">
        <v>99.930372591112501</v>
      </c>
      <c r="M46" s="12">
        <v>48.388008103523831</v>
      </c>
      <c r="N46" s="12">
        <v>109</v>
      </c>
      <c r="O46" s="12">
        <v>287.80348601232487</v>
      </c>
      <c r="P46" s="12">
        <v>7.2939055519699521</v>
      </c>
      <c r="Q46" s="12">
        <v>13.301376197137239</v>
      </c>
      <c r="R46" s="12">
        <v>158.2713047047047</v>
      </c>
      <c r="S46" s="12">
        <v>77.154350817652016</v>
      </c>
      <c r="T46" s="12">
        <v>359.21428571428572</v>
      </c>
      <c r="U46" s="12">
        <v>326.33394078626094</v>
      </c>
      <c r="V46" s="12">
        <v>55.904741009507255</v>
      </c>
      <c r="W46" s="12">
        <v>85.885826793706201</v>
      </c>
      <c r="X46" s="12">
        <v>137.9822210144103</v>
      </c>
      <c r="Y46" s="12">
        <v>66.423486329718159</v>
      </c>
      <c r="Z46" s="12">
        <v>411.75</v>
      </c>
      <c r="AA46" s="12">
        <v>0</v>
      </c>
    </row>
    <row r="47" spans="1:27" x14ac:dyDescent="0.2">
      <c r="A47" s="11">
        <v>538</v>
      </c>
      <c r="B47" s="11" t="s">
        <v>15</v>
      </c>
      <c r="C47" s="12">
        <v>323.75009367212448</v>
      </c>
      <c r="D47" s="12">
        <v>22.984103642556494</v>
      </c>
      <c r="E47" s="12">
        <v>23.242896255218493</v>
      </c>
      <c r="F47" s="12">
        <v>302.81086568676</v>
      </c>
      <c r="G47" s="12">
        <v>145.14037203423152</v>
      </c>
      <c r="H47" s="12">
        <v>2026.1896551724137</v>
      </c>
      <c r="I47" s="12">
        <v>266.32835020601317</v>
      </c>
      <c r="J47" s="12">
        <v>11.484880022699516</v>
      </c>
      <c r="K47" s="12">
        <v>12.668877711333209</v>
      </c>
      <c r="L47" s="12">
        <v>533.91355215251394</v>
      </c>
      <c r="M47" s="12">
        <v>262.33288829327842</v>
      </c>
      <c r="N47" s="12">
        <v>3804.2</v>
      </c>
      <c r="O47" s="12">
        <v>333.4958730696639</v>
      </c>
      <c r="P47" s="12">
        <v>34.567394491120702</v>
      </c>
      <c r="Q47" s="12">
        <v>30.998831735290256</v>
      </c>
      <c r="R47" s="12">
        <v>245.2421015822064</v>
      </c>
      <c r="S47" s="12">
        <v>112.72027884863424</v>
      </c>
      <c r="T47" s="12">
        <v>1909.4285714285713</v>
      </c>
      <c r="U47" s="12">
        <v>337.45932664255577</v>
      </c>
      <c r="V47" s="12">
        <v>21.246667395638205</v>
      </c>
      <c r="W47" s="12">
        <v>25.730129089014866</v>
      </c>
      <c r="X47" s="12">
        <v>143.8070726929536</v>
      </c>
      <c r="Y47" s="12">
        <v>66.391662843290916</v>
      </c>
      <c r="Z47" s="12">
        <v>612.625</v>
      </c>
      <c r="AA47" s="12">
        <v>0</v>
      </c>
    </row>
    <row r="48" spans="1:27" x14ac:dyDescent="0.2">
      <c r="A48" s="11">
        <v>593</v>
      </c>
      <c r="B48" s="11" t="s">
        <v>15</v>
      </c>
      <c r="C48" s="12">
        <v>323.95193140153503</v>
      </c>
      <c r="D48" s="12">
        <v>33.38940685938482</v>
      </c>
      <c r="E48" s="12">
        <v>39.512793858742057</v>
      </c>
      <c r="F48" s="12">
        <v>210.05944290704548</v>
      </c>
      <c r="G48" s="12">
        <v>100.00926280409846</v>
      </c>
      <c r="H48" s="12">
        <v>713.43103448275861</v>
      </c>
      <c r="I48" s="12">
        <v>325.82170576960851</v>
      </c>
      <c r="J48" s="12">
        <v>24.091620386339855</v>
      </c>
      <c r="K48" s="12">
        <v>24.314084301664032</v>
      </c>
      <c r="L48" s="12">
        <v>203.87299329045152</v>
      </c>
      <c r="M48" s="12">
        <v>97.671022006386721</v>
      </c>
      <c r="N48" s="12">
        <v>683.15</v>
      </c>
      <c r="O48" s="12">
        <v>330.02140382727742</v>
      </c>
      <c r="P48" s="12">
        <v>16.576262750466014</v>
      </c>
      <c r="Q48" s="12">
        <v>13.77029349974611</v>
      </c>
      <c r="R48" s="12">
        <v>181.1243103469389</v>
      </c>
      <c r="S48" s="12">
        <v>86.038361551856298</v>
      </c>
      <c r="T48" s="12">
        <v>722.42857142857144</v>
      </c>
      <c r="U48" s="12">
        <v>337.61837056270224</v>
      </c>
      <c r="V48" s="12">
        <v>40.998757885430777</v>
      </c>
      <c r="W48" s="12">
        <v>57.145799632839079</v>
      </c>
      <c r="X48" s="12">
        <v>232.09364491426891</v>
      </c>
      <c r="Y48" s="12">
        <v>110.1074891993328</v>
      </c>
      <c r="Z48" s="12">
        <v>733.41666666666663</v>
      </c>
      <c r="AA48" s="12">
        <v>0</v>
      </c>
    </row>
    <row r="49" spans="1:27" x14ac:dyDescent="0.2">
      <c r="A49" s="11">
        <v>755</v>
      </c>
      <c r="B49" s="11" t="s">
        <v>15</v>
      </c>
      <c r="C49" s="12">
        <v>263.31050065101164</v>
      </c>
      <c r="D49" s="12">
        <v>189.61654647697748</v>
      </c>
      <c r="E49" s="12">
        <v>93.401400347832663</v>
      </c>
      <c r="F49" s="12">
        <v>206.2677473026788</v>
      </c>
      <c r="G49" s="12">
        <v>96.193597758657319</v>
      </c>
      <c r="H49" s="12">
        <v>1150.6052631578948</v>
      </c>
      <c r="I49" s="12"/>
      <c r="J49" s="12"/>
      <c r="K49" s="12"/>
      <c r="L49" s="12"/>
      <c r="M49" s="12"/>
      <c r="N49" s="12"/>
      <c r="O49" s="12">
        <v>269.03327816815676</v>
      </c>
      <c r="P49" s="12">
        <v>96.767735888542489</v>
      </c>
      <c r="Q49" s="12">
        <v>81.168217143021124</v>
      </c>
      <c r="R49" s="12">
        <v>258.36161873172779</v>
      </c>
      <c r="S49" s="12">
        <v>118.90997892490793</v>
      </c>
      <c r="T49" s="12">
        <v>1802.5</v>
      </c>
      <c r="U49" s="12">
        <v>270.41355658045649</v>
      </c>
      <c r="V49" s="12">
        <v>210.38022336673751</v>
      </c>
      <c r="W49" s="12">
        <v>102.73806208943144</v>
      </c>
      <c r="X49" s="12">
        <v>175.87965563573368</v>
      </c>
      <c r="Y49" s="12">
        <v>82.942375411677801</v>
      </c>
      <c r="Z49" s="12">
        <v>770.33333333333337</v>
      </c>
      <c r="AA49" s="12">
        <v>0</v>
      </c>
    </row>
    <row r="50" spans="1:27" x14ac:dyDescent="0.2">
      <c r="A50" s="11">
        <v>792</v>
      </c>
      <c r="B50" s="11" t="s">
        <v>15</v>
      </c>
      <c r="C50" s="12">
        <v>307.80866913158235</v>
      </c>
      <c r="D50" s="12">
        <v>10.979567528817725</v>
      </c>
      <c r="E50" s="12">
        <v>38.387270107055024</v>
      </c>
      <c r="F50" s="12">
        <v>191.29432740591901</v>
      </c>
      <c r="G50" s="12">
        <v>90.411447130796901</v>
      </c>
      <c r="H50" s="12">
        <v>658.13793103448279</v>
      </c>
      <c r="I50" s="12">
        <v>314.2090677743164</v>
      </c>
      <c r="J50" s="12">
        <v>11.381162690934998</v>
      </c>
      <c r="K50" s="12">
        <v>5.0799203028644726</v>
      </c>
      <c r="L50" s="12">
        <v>171.03243341775752</v>
      </c>
      <c r="M50" s="12">
        <v>79.755532568339433</v>
      </c>
      <c r="N50" s="12">
        <v>684.95</v>
      </c>
      <c r="O50" s="12">
        <v>355.77665992309244</v>
      </c>
      <c r="P50" s="12">
        <v>12.348124978157223</v>
      </c>
      <c r="Q50" s="12">
        <v>17.95615841483237</v>
      </c>
      <c r="R50" s="12">
        <v>230.94793813545931</v>
      </c>
      <c r="S50" s="12">
        <v>110.82669703994863</v>
      </c>
      <c r="T50" s="12">
        <v>721.35714285714289</v>
      </c>
      <c r="U50" s="12">
        <v>291.58686209798304</v>
      </c>
      <c r="V50" s="12">
        <v>10.16530045465127</v>
      </c>
      <c r="W50" s="12">
        <v>57.351053877018963</v>
      </c>
      <c r="X50" s="12">
        <v>185.04796613715482</v>
      </c>
      <c r="Y50" s="12">
        <v>87.38248015250629</v>
      </c>
      <c r="Z50" s="12">
        <v>598.91666666666663</v>
      </c>
      <c r="AA50" s="12">
        <v>0</v>
      </c>
    </row>
    <row r="51" spans="1:27" x14ac:dyDescent="0.2">
      <c r="A51" s="11">
        <v>806</v>
      </c>
      <c r="B51" s="11" t="s">
        <v>15</v>
      </c>
      <c r="C51" s="12">
        <v>219.15423552231073</v>
      </c>
      <c r="D51" s="12">
        <v>162.55829763489322</v>
      </c>
      <c r="E51" s="12">
        <v>83.507632626741653</v>
      </c>
      <c r="F51" s="12">
        <v>152.20690639055371</v>
      </c>
      <c r="G51" s="12">
        <v>73.681300389710898</v>
      </c>
      <c r="H51" s="12">
        <v>322.34210526315792</v>
      </c>
      <c r="I51" s="12"/>
      <c r="J51" s="12"/>
      <c r="K51" s="12"/>
      <c r="L51" s="12"/>
      <c r="M51" s="12"/>
      <c r="N51" s="12"/>
      <c r="O51" s="12">
        <v>261.92761227880135</v>
      </c>
      <c r="P51" s="12">
        <v>17.234608960801701</v>
      </c>
      <c r="Q51" s="12">
        <v>7.5885159368726187</v>
      </c>
      <c r="R51" s="12">
        <v>127.51829831162129</v>
      </c>
      <c r="S51" s="12">
        <v>61.573907975001234</v>
      </c>
      <c r="T51" s="12">
        <v>309.71428571428572</v>
      </c>
      <c r="U51" s="12">
        <v>202.85243678869401</v>
      </c>
      <c r="V51" s="12">
        <v>195.65112520661052</v>
      </c>
      <c r="W51" s="12">
        <v>103.13256045350938</v>
      </c>
      <c r="X51" s="12">
        <v>166.6085944365978</v>
      </c>
      <c r="Y51" s="12">
        <v>80.743945964958229</v>
      </c>
      <c r="Z51" s="12">
        <v>329.70833333333331</v>
      </c>
      <c r="AA51" s="12">
        <v>0</v>
      </c>
    </row>
    <row r="52" spans="1:27" x14ac:dyDescent="0.2">
      <c r="A52" s="11">
        <v>867</v>
      </c>
      <c r="B52" s="11" t="s">
        <v>15</v>
      </c>
      <c r="C52" s="12">
        <v>161.15104151948049</v>
      </c>
      <c r="D52" s="12">
        <v>183.35614725942943</v>
      </c>
      <c r="E52" s="12">
        <v>75.799606497858861</v>
      </c>
      <c r="F52" s="12">
        <v>158.9205632549922</v>
      </c>
      <c r="G52" s="12">
        <v>76.157854999075695</v>
      </c>
      <c r="H52" s="12">
        <v>525.15517241379314</v>
      </c>
      <c r="I52" s="12">
        <v>4.3495423343748048</v>
      </c>
      <c r="J52" s="12">
        <v>108.01829406101508</v>
      </c>
      <c r="K52" s="12">
        <v>15.319146699875153</v>
      </c>
      <c r="L52" s="12">
        <v>70.306140972398708</v>
      </c>
      <c r="M52" s="12">
        <v>33.466461556124941</v>
      </c>
      <c r="N52" s="12">
        <v>124.35</v>
      </c>
      <c r="O52" s="12">
        <v>187.88708192836361</v>
      </c>
      <c r="P52" s="12">
        <v>14.87211801257285</v>
      </c>
      <c r="Q52" s="12">
        <v>78.811395698686241</v>
      </c>
      <c r="R52" s="12">
        <v>312.31193375885096</v>
      </c>
      <c r="S52" s="12">
        <v>154.94663030126338</v>
      </c>
      <c r="T52" s="12">
        <v>1021.0714285714286</v>
      </c>
      <c r="U52" s="12">
        <v>205.10300237317747</v>
      </c>
      <c r="V52" s="12">
        <v>228.4698091733429</v>
      </c>
      <c r="W52" s="12">
        <v>98.040829792721098</v>
      </c>
      <c r="X52" s="12">
        <v>143.28761569656962</v>
      </c>
      <c r="Y52" s="12">
        <v>65.773897275258534</v>
      </c>
      <c r="Z52" s="12">
        <v>569.875</v>
      </c>
      <c r="AA52" s="12">
        <v>0</v>
      </c>
    </row>
    <row r="53" spans="1:27" x14ac:dyDescent="0.2">
      <c r="A53" s="11">
        <v>887</v>
      </c>
      <c r="B53" s="11" t="s">
        <v>15</v>
      </c>
      <c r="C53" s="12">
        <v>185.89061352592392</v>
      </c>
      <c r="D53" s="12">
        <v>4.3254317248005796</v>
      </c>
      <c r="E53" s="12">
        <v>75.30763585606897</v>
      </c>
      <c r="F53" s="12">
        <v>166.24091946449909</v>
      </c>
      <c r="G53" s="12">
        <v>81.541155799668843</v>
      </c>
      <c r="H53" s="12">
        <v>285.84482758620692</v>
      </c>
      <c r="I53" s="12">
        <v>184.5258889795783</v>
      </c>
      <c r="J53" s="12">
        <v>3.5804682775329466</v>
      </c>
      <c r="K53" s="12">
        <v>104.08003247400516</v>
      </c>
      <c r="L53" s="12">
        <v>146.7566886798825</v>
      </c>
      <c r="M53" s="12">
        <v>71.368479180367629</v>
      </c>
      <c r="N53" s="12">
        <v>229</v>
      </c>
      <c r="O53" s="12">
        <v>191.52700225449283</v>
      </c>
      <c r="P53" s="12">
        <v>3.92926881736964</v>
      </c>
      <c r="Q53" s="12">
        <v>73.891878646434407</v>
      </c>
      <c r="R53" s="12">
        <v>271.51394627185198</v>
      </c>
      <c r="S53" s="12">
        <v>135.10007917923977</v>
      </c>
      <c r="T53" s="12">
        <v>399.42857142857144</v>
      </c>
      <c r="U53" s="12">
        <v>194.64337371021114</v>
      </c>
      <c r="V53" s="12">
        <v>4.0795952793258321</v>
      </c>
      <c r="W53" s="12">
        <v>41.845974218140718</v>
      </c>
      <c r="X53" s="12">
        <v>121.0685128140573</v>
      </c>
      <c r="Y53" s="12">
        <v>58.775681011003464</v>
      </c>
      <c r="Z53" s="12">
        <v>266.95833333333331</v>
      </c>
      <c r="AA53" s="12">
        <v>0</v>
      </c>
    </row>
    <row r="54" spans="1:27" x14ac:dyDescent="0.2">
      <c r="A54" s="11">
        <v>896</v>
      </c>
      <c r="B54" s="11" t="s">
        <v>15</v>
      </c>
      <c r="C54" s="12">
        <v>65.634393142760118</v>
      </c>
      <c r="D54" s="12">
        <v>189.93082239624485</v>
      </c>
      <c r="E54" s="12">
        <v>48.278571051968378</v>
      </c>
      <c r="F54" s="12">
        <v>196.41289847507701</v>
      </c>
      <c r="G54" s="12">
        <v>92.690275762018615</v>
      </c>
      <c r="H54" s="12">
        <v>847.39655172413791</v>
      </c>
      <c r="I54" s="12">
        <v>33.850597675121826</v>
      </c>
      <c r="J54" s="12">
        <v>133.82852950190409</v>
      </c>
      <c r="K54" s="12">
        <v>57.243600241984012</v>
      </c>
      <c r="L54" s="12">
        <v>231.67873306399261</v>
      </c>
      <c r="M54" s="12">
        <v>111.50297572640939</v>
      </c>
      <c r="N54" s="12">
        <v>936</v>
      </c>
      <c r="O54" s="12">
        <v>30.809364342954762</v>
      </c>
      <c r="P54" s="12">
        <v>159.42985387586091</v>
      </c>
      <c r="Q54" s="12">
        <v>35.153154640690353</v>
      </c>
      <c r="R54" s="12">
        <v>147.2048147928819</v>
      </c>
      <c r="S54" s="12">
        <v>66.593861985019771</v>
      </c>
      <c r="T54" s="12">
        <v>613.21428571428567</v>
      </c>
      <c r="U54" s="12">
        <v>91.498965054587558</v>
      </c>
      <c r="V54" s="12">
        <v>244.33767411084804</v>
      </c>
      <c r="W54" s="12">
        <v>48.330574784760266</v>
      </c>
      <c r="X54" s="12">
        <v>195.72941846559451</v>
      </c>
      <c r="Y54" s="12">
        <v>92.235933828275677</v>
      </c>
      <c r="Z54" s="12">
        <v>910.16666666666663</v>
      </c>
      <c r="AA54" s="12">
        <v>0</v>
      </c>
    </row>
    <row r="55" spans="1:27" x14ac:dyDescent="0.2">
      <c r="A55" s="11">
        <v>933</v>
      </c>
      <c r="B55" s="11" t="s">
        <v>15</v>
      </c>
      <c r="C55" s="12">
        <v>182.93062652686305</v>
      </c>
      <c r="D55" s="12">
        <v>161.34917447232559</v>
      </c>
      <c r="E55" s="12">
        <v>73.780087838518</v>
      </c>
      <c r="F55" s="12">
        <v>166.35718377172049</v>
      </c>
      <c r="G55" s="12">
        <v>78.416936984228684</v>
      </c>
      <c r="H55" s="12">
        <v>661.86206896551721</v>
      </c>
      <c r="I55" s="12">
        <v>2.7478386568266053</v>
      </c>
      <c r="J55" s="12">
        <v>240.22114297218775</v>
      </c>
      <c r="K55" s="12">
        <v>2.9844742674051394</v>
      </c>
      <c r="L55" s="12">
        <v>91.786319368536596</v>
      </c>
      <c r="M55" s="12">
        <v>45.165844272920687</v>
      </c>
      <c r="N55" s="12">
        <v>58.55</v>
      </c>
      <c r="O55" s="12">
        <v>137.85106217913369</v>
      </c>
      <c r="P55" s="12">
        <v>58.14850537415969</v>
      </c>
      <c r="Q55" s="12">
        <v>71.933953772466779</v>
      </c>
      <c r="R55" s="12">
        <v>173.1969357077796</v>
      </c>
      <c r="S55" s="12">
        <v>83.526988025292368</v>
      </c>
      <c r="T55" s="12">
        <v>316.42857142857144</v>
      </c>
      <c r="U55" s="12">
        <v>128.4827642412416</v>
      </c>
      <c r="V55" s="12">
        <v>121.21034878754632</v>
      </c>
      <c r="W55" s="12">
        <v>97.468655095135091</v>
      </c>
      <c r="X55" s="12">
        <v>224.50971547833899</v>
      </c>
      <c r="Y55" s="12">
        <v>103.1453178030315</v>
      </c>
      <c r="Z55" s="12">
        <v>1366.125</v>
      </c>
      <c r="AA55" s="12">
        <v>0</v>
      </c>
    </row>
    <row r="56" spans="1:27" x14ac:dyDescent="0.2">
      <c r="A56" s="11">
        <v>1025</v>
      </c>
      <c r="B56" s="11" t="s">
        <v>15</v>
      </c>
      <c r="C56" s="12">
        <v>165.32922653673742</v>
      </c>
      <c r="D56" s="12">
        <v>236.9200354014053</v>
      </c>
      <c r="E56" s="12">
        <v>90.21473096973105</v>
      </c>
      <c r="F56" s="12">
        <v>164.6651014707183</v>
      </c>
      <c r="G56" s="12">
        <v>77.764938558499566</v>
      </c>
      <c r="H56" s="12">
        <v>692.56896551724139</v>
      </c>
      <c r="I56" s="12">
        <v>50.567165943968838</v>
      </c>
      <c r="J56" s="12">
        <v>239.6158345104684</v>
      </c>
      <c r="K56" s="12">
        <v>5.9899004598090029</v>
      </c>
      <c r="L56" s="12">
        <v>84.106178380138203</v>
      </c>
      <c r="M56" s="12">
        <v>38.234595362834796</v>
      </c>
      <c r="N56" s="12">
        <v>184.75</v>
      </c>
      <c r="O56" s="12">
        <v>192.23500278642371</v>
      </c>
      <c r="P56" s="12">
        <v>227.71224763913713</v>
      </c>
      <c r="Q56" s="12">
        <v>135.23962946448091</v>
      </c>
      <c r="R56" s="12">
        <v>280.04253261412407</v>
      </c>
      <c r="S56" s="12">
        <v>135.08129709753501</v>
      </c>
      <c r="T56" s="12">
        <v>1565.2857142857142</v>
      </c>
      <c r="U56" s="12">
        <v>209.58939334974428</v>
      </c>
      <c r="V56" s="12">
        <v>258.02687426916947</v>
      </c>
      <c r="W56" s="12">
        <v>105.52116951831216</v>
      </c>
      <c r="X56" s="12">
        <v>164.49403587921481</v>
      </c>
      <c r="Y56" s="12">
        <v>77.272348740449488</v>
      </c>
      <c r="Z56" s="12">
        <v>606.66666666666663</v>
      </c>
      <c r="AA56" s="12">
        <v>0</v>
      </c>
    </row>
    <row r="57" spans="1:27" x14ac:dyDescent="0.2">
      <c r="A57" s="11">
        <v>1027</v>
      </c>
      <c r="B57" s="11" t="s">
        <v>15</v>
      </c>
      <c r="C57" s="12">
        <v>273.59730985227498</v>
      </c>
      <c r="D57" s="12">
        <v>225.65210434395451</v>
      </c>
      <c r="E57" s="12">
        <v>132.96810748152424</v>
      </c>
      <c r="F57" s="12">
        <v>300.38401899194702</v>
      </c>
      <c r="G57" s="12">
        <v>148.16746506277465</v>
      </c>
      <c r="H57" s="12">
        <v>1439.4310344827586</v>
      </c>
      <c r="I57" s="12">
        <v>297.82749170419913</v>
      </c>
      <c r="J57" s="12">
        <v>202.76112564807406</v>
      </c>
      <c r="K57" s="12">
        <v>70.332118072221533</v>
      </c>
      <c r="L57" s="12">
        <v>400.93630266579601</v>
      </c>
      <c r="M57" s="12">
        <v>197.22009320780697</v>
      </c>
      <c r="N57" s="12">
        <v>2980.05</v>
      </c>
      <c r="O57" s="12">
        <v>340.8514781524795</v>
      </c>
      <c r="P57" s="12">
        <v>47.75782159824238</v>
      </c>
      <c r="Q57" s="12">
        <v>27.927730960849861</v>
      </c>
      <c r="R57" s="12">
        <v>295.166840476728</v>
      </c>
      <c r="S57" s="12">
        <v>144.17602473540245</v>
      </c>
      <c r="T57" s="12">
        <v>1402.9285714285713</v>
      </c>
      <c r="U57" s="12">
        <v>6.1651649823228016</v>
      </c>
      <c r="V57" s="12">
        <v>234.87204590186536</v>
      </c>
      <c r="W57" s="12">
        <v>184.03942800526724</v>
      </c>
      <c r="X57" s="12">
        <v>219.63380339761471</v>
      </c>
      <c r="Y57" s="12">
        <v>109.61861513288152</v>
      </c>
      <c r="Z57" s="12">
        <v>176.875</v>
      </c>
      <c r="AA57" s="12">
        <v>0</v>
      </c>
    </row>
    <row r="58" spans="1:27" x14ac:dyDescent="0.2">
      <c r="A58" s="11">
        <v>1107</v>
      </c>
      <c r="B58" s="11" t="s">
        <v>15</v>
      </c>
      <c r="C58" s="12">
        <v>328.07302159524164</v>
      </c>
      <c r="D58" s="12">
        <v>166.29179433996632</v>
      </c>
      <c r="E58" s="12">
        <v>66.519424699054625</v>
      </c>
      <c r="F58" s="12">
        <v>197.59928851564803</v>
      </c>
      <c r="G58" s="12">
        <v>97.145335472064161</v>
      </c>
      <c r="H58" s="12">
        <v>397.62068965517244</v>
      </c>
      <c r="I58" s="12">
        <v>152.3707345284547</v>
      </c>
      <c r="J58" s="12">
        <v>4.5736766958890476</v>
      </c>
      <c r="K58" s="12">
        <v>4.5519834706105673</v>
      </c>
      <c r="L58" s="12">
        <v>48.678475126065308</v>
      </c>
      <c r="M58" s="12">
        <v>23.248881059665763</v>
      </c>
      <c r="N58" s="12">
        <v>43.15</v>
      </c>
      <c r="O58" s="12">
        <v>329.08832702502076</v>
      </c>
      <c r="P58" s="12">
        <v>2.7419917065006776</v>
      </c>
      <c r="Q58" s="12">
        <v>1.7270781555592885</v>
      </c>
      <c r="R58" s="12">
        <v>258.78934538306822</v>
      </c>
      <c r="S58" s="12">
        <v>129.03108572117443</v>
      </c>
      <c r="T58" s="12">
        <v>227.5</v>
      </c>
      <c r="U58" s="12">
        <v>410.06615525241989</v>
      </c>
      <c r="V58" s="12">
        <v>260.04057408095014</v>
      </c>
      <c r="W58" s="12">
        <v>103.12358418450742</v>
      </c>
      <c r="X58" s="12">
        <v>286.00576650097167</v>
      </c>
      <c r="Y58" s="12">
        <v>140.12569317041513</v>
      </c>
      <c r="Z58" s="12">
        <v>792.25</v>
      </c>
      <c r="AA58" s="12">
        <v>0</v>
      </c>
    </row>
    <row r="59" spans="1:27" x14ac:dyDescent="0.2">
      <c r="A59" s="11">
        <v>1178</v>
      </c>
      <c r="B59" s="11" t="s">
        <v>15</v>
      </c>
      <c r="C59" s="12">
        <v>216.92088281996632</v>
      </c>
      <c r="D59" s="12">
        <v>137.47202830377935</v>
      </c>
      <c r="E59" s="12">
        <v>93.689027150609775</v>
      </c>
      <c r="F59" s="12">
        <v>364.17257046954603</v>
      </c>
      <c r="G59" s="12">
        <v>168.18721905861599</v>
      </c>
      <c r="H59" s="12">
        <v>3342.8793103448274</v>
      </c>
      <c r="I59" s="12">
        <v>82.302363346053255</v>
      </c>
      <c r="J59" s="12">
        <v>64.910660350673396</v>
      </c>
      <c r="K59" s="12">
        <v>117.55417884283881</v>
      </c>
      <c r="L59" s="12">
        <v>473.147452476642</v>
      </c>
      <c r="M59" s="12">
        <v>218.14653528264006</v>
      </c>
      <c r="N59" s="12">
        <v>4747.1000000000004</v>
      </c>
      <c r="O59" s="12">
        <v>267.02104429283867</v>
      </c>
      <c r="P59" s="12">
        <v>147.69756744297248</v>
      </c>
      <c r="Q59" s="12">
        <v>60.272774665424699</v>
      </c>
      <c r="R59" s="12">
        <v>348.98519788520701</v>
      </c>
      <c r="S59" s="12">
        <v>157.46781490007314</v>
      </c>
      <c r="T59" s="12">
        <v>3163.6428571428573</v>
      </c>
      <c r="U59" s="12">
        <v>267.03789028616291</v>
      </c>
      <c r="V59" s="12">
        <v>84.373682805531047</v>
      </c>
      <c r="W59" s="12">
        <v>73.998749085858748</v>
      </c>
      <c r="X59" s="12">
        <v>282.21946947116339</v>
      </c>
      <c r="Y59" s="12">
        <v>132.80744129774587</v>
      </c>
      <c r="Z59" s="12">
        <v>2277.25</v>
      </c>
      <c r="AA59" s="12">
        <v>0</v>
      </c>
    </row>
    <row r="60" spans="1:27" x14ac:dyDescent="0.2">
      <c r="A60" s="11">
        <v>1188</v>
      </c>
      <c r="B60" s="11" t="s">
        <v>15</v>
      </c>
      <c r="C60" s="12">
        <v>328.40761471608528</v>
      </c>
      <c r="D60" s="12">
        <v>221.33141923595161</v>
      </c>
      <c r="E60" s="12">
        <v>111.98012050726464</v>
      </c>
      <c r="F60" s="12">
        <v>253.59625794377217</v>
      </c>
      <c r="G60" s="12">
        <v>119.08541186216584</v>
      </c>
      <c r="H60" s="12">
        <v>1488.0526315789473</v>
      </c>
      <c r="I60" s="12"/>
      <c r="J60" s="12"/>
      <c r="K60" s="12"/>
      <c r="L60" s="12"/>
      <c r="M60" s="12"/>
      <c r="N60" s="12"/>
      <c r="O60" s="12">
        <v>150.63751649460215</v>
      </c>
      <c r="P60" s="12">
        <v>245.93132564034397</v>
      </c>
      <c r="Q60" s="12">
        <v>94.158702419695487</v>
      </c>
      <c r="R60" s="12">
        <v>224.5853252673453</v>
      </c>
      <c r="S60" s="12">
        <v>101.4449735861313</v>
      </c>
      <c r="T60" s="12">
        <v>1900.0714285714287</v>
      </c>
      <c r="U60" s="12">
        <v>357.48427480660843</v>
      </c>
      <c r="V60" s="12">
        <v>215.32352918857299</v>
      </c>
      <c r="W60" s="12">
        <v>120.26663776535322</v>
      </c>
      <c r="X60" s="12">
        <v>270.51930200502119</v>
      </c>
      <c r="Y60" s="12">
        <v>129.375667523186</v>
      </c>
      <c r="Z60" s="12">
        <v>1247.7083333333333</v>
      </c>
      <c r="AA60" s="12">
        <v>0</v>
      </c>
    </row>
    <row r="61" spans="1:27" x14ac:dyDescent="0.2">
      <c r="A61" s="11">
        <v>1198</v>
      </c>
      <c r="B61" s="11" t="s">
        <v>15</v>
      </c>
      <c r="C61" s="12">
        <v>125.03996165874094</v>
      </c>
      <c r="D61" s="12">
        <v>89.161780860991982</v>
      </c>
      <c r="E61" s="12">
        <v>115.67681954777655</v>
      </c>
      <c r="F61" s="12">
        <v>119.1841017504579</v>
      </c>
      <c r="G61" s="12">
        <v>55.770311478613372</v>
      </c>
      <c r="H61" s="12">
        <v>394.36842105263156</v>
      </c>
      <c r="I61" s="12"/>
      <c r="J61" s="12"/>
      <c r="K61" s="12"/>
      <c r="L61" s="12"/>
      <c r="M61" s="12"/>
      <c r="N61" s="12"/>
      <c r="O61" s="12">
        <v>127.92452925528052</v>
      </c>
      <c r="P61" s="12">
        <v>77.358736249205023</v>
      </c>
      <c r="Q61" s="12">
        <v>114.27561271603372</v>
      </c>
      <c r="R61" s="12">
        <v>117.67035520035779</v>
      </c>
      <c r="S61" s="12">
        <v>54.62022834419912</v>
      </c>
      <c r="T61" s="12">
        <v>439.35714285714283</v>
      </c>
      <c r="U61" s="12">
        <v>125.13533078272117</v>
      </c>
      <c r="V61" s="12">
        <v>96.180333570104594</v>
      </c>
      <c r="W61" s="12">
        <v>111.1823876351208</v>
      </c>
      <c r="X61" s="12">
        <v>120.06712057134961</v>
      </c>
      <c r="Y61" s="12">
        <v>56.44119330702167</v>
      </c>
      <c r="Z61" s="12">
        <v>368.125</v>
      </c>
      <c r="AA61" s="12">
        <v>0</v>
      </c>
    </row>
    <row r="62" spans="1:27" x14ac:dyDescent="0.2">
      <c r="A62" s="11">
        <v>1230</v>
      </c>
      <c r="B62" s="11" t="s">
        <v>15</v>
      </c>
      <c r="C62" s="12">
        <v>178.1962490475122</v>
      </c>
      <c r="D62" s="12">
        <v>189.17861860011993</v>
      </c>
      <c r="E62" s="12">
        <v>101.41325434648084</v>
      </c>
      <c r="F62" s="12">
        <v>129.44409053335818</v>
      </c>
      <c r="G62" s="12">
        <v>58.434939877243885</v>
      </c>
      <c r="H62" s="12">
        <v>541.40476190476193</v>
      </c>
      <c r="I62" s="12">
        <v>155.71134064331437</v>
      </c>
      <c r="J62" s="12">
        <v>92.033022119746576</v>
      </c>
      <c r="K62" s="12">
        <v>15.592757366248119</v>
      </c>
      <c r="L62" s="12">
        <v>128.95880638465147</v>
      </c>
      <c r="M62" s="12">
        <v>55.637836870909659</v>
      </c>
      <c r="N62" s="12">
        <v>719.5</v>
      </c>
      <c r="O62" s="12"/>
      <c r="P62" s="12"/>
      <c r="Q62" s="12"/>
      <c r="R62" s="12"/>
      <c r="S62" s="12"/>
      <c r="T62" s="12"/>
      <c r="U62" s="12">
        <v>175.8726845716844</v>
      </c>
      <c r="V62" s="12">
        <v>199.181716180492</v>
      </c>
      <c r="W62" s="12">
        <v>124.96672309570421</v>
      </c>
      <c r="X62" s="12">
        <v>129.80805364488825</v>
      </c>
      <c r="Y62" s="12">
        <v>60.532767131994547</v>
      </c>
      <c r="Z62" s="12">
        <v>407.83333333333331</v>
      </c>
      <c r="AA62" s="12">
        <v>0</v>
      </c>
    </row>
    <row r="63" spans="1:27" x14ac:dyDescent="0.2">
      <c r="A63" s="11">
        <v>2002</v>
      </c>
      <c r="B63" s="11" t="s">
        <v>15</v>
      </c>
      <c r="C63" s="12">
        <v>257.75474804762268</v>
      </c>
      <c r="D63" s="12">
        <v>176.47178487882599</v>
      </c>
      <c r="E63" s="12">
        <v>112.97222655832751</v>
      </c>
      <c r="F63" s="12">
        <v>196.55166557249703</v>
      </c>
      <c r="G63" s="12">
        <v>87.94613933813865</v>
      </c>
      <c r="H63" s="12">
        <v>1527.5535714285713</v>
      </c>
      <c r="I63" s="12">
        <v>226.42716786127741</v>
      </c>
      <c r="J63" s="12">
        <v>211.56201116434201</v>
      </c>
      <c r="K63" s="12">
        <v>106.44796716326785</v>
      </c>
      <c r="L63" s="12">
        <v>216.22592673226723</v>
      </c>
      <c r="M63" s="12">
        <v>95.761702282830669</v>
      </c>
      <c r="N63" s="12">
        <v>1516.1666666666667</v>
      </c>
      <c r="O63" s="12">
        <v>267.11509914356441</v>
      </c>
      <c r="P63" s="12">
        <v>224.53939921301514</v>
      </c>
      <c r="Q63" s="12">
        <v>118.23979640764141</v>
      </c>
      <c r="R63" s="12">
        <v>162.81167836130203</v>
      </c>
      <c r="S63" s="12">
        <v>74.632900790030121</v>
      </c>
      <c r="T63" s="12">
        <v>815.5</v>
      </c>
      <c r="U63" s="12">
        <v>267.72526466522982</v>
      </c>
      <c r="V63" s="12">
        <v>124.97890394373134</v>
      </c>
      <c r="W63" s="12">
        <v>60.407807570757647</v>
      </c>
      <c r="X63" s="12">
        <v>201.47762890919978</v>
      </c>
      <c r="Y63" s="12">
        <v>89.850522949349624</v>
      </c>
      <c r="Z63" s="12">
        <v>1951.4583333333333</v>
      </c>
      <c r="AA63" s="12">
        <v>0</v>
      </c>
    </row>
    <row r="64" spans="1:27" x14ac:dyDescent="0.2">
      <c r="A64" s="11">
        <v>2006</v>
      </c>
      <c r="B64" s="11" t="s">
        <v>15</v>
      </c>
      <c r="C64" s="12">
        <v>120.53510215369649</v>
      </c>
      <c r="D64" s="12">
        <v>51.467022946175163</v>
      </c>
      <c r="E64" s="12">
        <v>91.338388192048271</v>
      </c>
      <c r="F64" s="12">
        <v>83.951073226331701</v>
      </c>
      <c r="G64" s="12">
        <v>39.316482220623044</v>
      </c>
      <c r="H64" s="12">
        <v>159.23684210526315</v>
      </c>
      <c r="I64" s="12"/>
      <c r="J64" s="12"/>
      <c r="K64" s="12"/>
      <c r="L64" s="12"/>
      <c r="M64" s="12"/>
      <c r="N64" s="12"/>
      <c r="O64" s="12">
        <v>138.28163118726081</v>
      </c>
      <c r="P64" s="12">
        <v>4.1352786001101656</v>
      </c>
      <c r="Q64" s="12">
        <v>14.741980808231018</v>
      </c>
      <c r="R64" s="12">
        <v>93.509250319292704</v>
      </c>
      <c r="S64" s="12">
        <v>45.554599536782277</v>
      </c>
      <c r="T64" s="12">
        <v>77.071428571428569</v>
      </c>
      <c r="U64" s="12">
        <v>90.325263346714024</v>
      </c>
      <c r="V64" s="12">
        <v>65.75177149359169</v>
      </c>
      <c r="W64" s="12">
        <v>105.54217486427004</v>
      </c>
      <c r="X64" s="12">
        <v>78.375469922104202</v>
      </c>
      <c r="Y64" s="12">
        <v>35.677580452863502</v>
      </c>
      <c r="Z64" s="12">
        <v>207.16666666666666</v>
      </c>
      <c r="AA64" s="12">
        <v>0</v>
      </c>
    </row>
    <row r="65" spans="1:27" x14ac:dyDescent="0.2">
      <c r="A65" s="11">
        <v>2014</v>
      </c>
      <c r="B65" s="11" t="s">
        <v>15</v>
      </c>
      <c r="C65" s="12">
        <v>319.94897050888386</v>
      </c>
      <c r="D65" s="12">
        <v>50.696545258079887</v>
      </c>
      <c r="E65" s="12">
        <v>2.9981000258813193</v>
      </c>
      <c r="F65" s="12">
        <v>108.95439681118771</v>
      </c>
      <c r="G65" s="12">
        <v>51.829692235588603</v>
      </c>
      <c r="H65" s="12">
        <v>258.81578947368422</v>
      </c>
      <c r="I65" s="12"/>
      <c r="J65" s="12"/>
      <c r="K65" s="12"/>
      <c r="L65" s="12"/>
      <c r="M65" s="12"/>
      <c r="N65" s="12"/>
      <c r="O65" s="12">
        <v>371.81548732369475</v>
      </c>
      <c r="P65" s="12">
        <v>3.9940431835899068</v>
      </c>
      <c r="Q65" s="12">
        <v>2.1073578128786794</v>
      </c>
      <c r="R65" s="12">
        <v>92.079673038852306</v>
      </c>
      <c r="S65" s="12">
        <v>44.839739779910154</v>
      </c>
      <c r="T65" s="12">
        <v>117.64285714285714</v>
      </c>
      <c r="U65" s="12">
        <v>297.30396308264454</v>
      </c>
      <c r="V65" s="12">
        <v>3.7640868970243289</v>
      </c>
      <c r="W65" s="12">
        <v>3.4748828950217256</v>
      </c>
      <c r="X65" s="12">
        <v>118.7979856783833</v>
      </c>
      <c r="Y65" s="12">
        <v>55.90716450140102</v>
      </c>
      <c r="Z65" s="12">
        <v>341.16666666666669</v>
      </c>
      <c r="AA65" s="12">
        <v>0</v>
      </c>
    </row>
    <row r="66" spans="1:27" x14ac:dyDescent="0.2">
      <c r="A66" s="11">
        <v>3</v>
      </c>
      <c r="B66" s="11" t="s">
        <v>15</v>
      </c>
      <c r="C66" s="12">
        <v>186.12993589900259</v>
      </c>
      <c r="D66" s="12">
        <v>241.01554206346663</v>
      </c>
      <c r="E66" s="12">
        <v>146.41403337375223</v>
      </c>
      <c r="F66" s="12">
        <v>191.87135701435966</v>
      </c>
      <c r="G66" s="12">
        <v>91.898106225947785</v>
      </c>
      <c r="H66" s="12">
        <v>712.65517241379314</v>
      </c>
      <c r="I66" s="12">
        <v>297.68695961685307</v>
      </c>
      <c r="J66" s="12">
        <v>28.820089015549417</v>
      </c>
      <c r="K66" s="12">
        <v>93.427245528071438</v>
      </c>
      <c r="L66" s="12">
        <v>288.34038075619185</v>
      </c>
      <c r="M66" s="12">
        <v>137.73674016556166</v>
      </c>
      <c r="N66" s="12">
        <v>1535.35</v>
      </c>
      <c r="O66" s="12">
        <v>10.533644761319414</v>
      </c>
      <c r="P66" s="12">
        <v>282.76996278220895</v>
      </c>
      <c r="Q66" s="12">
        <v>173.30788319576334</v>
      </c>
      <c r="R66" s="12">
        <v>134.39982894183782</v>
      </c>
      <c r="S66" s="12">
        <v>64.976174363638393</v>
      </c>
      <c r="T66" s="12">
        <v>251.78571428571428</v>
      </c>
      <c r="U66" s="12">
        <v>7.1227808287217966</v>
      </c>
      <c r="V66" s="12">
        <v>250.74702364199641</v>
      </c>
      <c r="W66" s="12">
        <v>174.15384378436613</v>
      </c>
      <c r="X66" s="12">
        <v>145.00556193847063</v>
      </c>
      <c r="Y66" s="12">
        <v>69.403704862616735</v>
      </c>
      <c r="Z66" s="12">
        <v>295.91666666666669</v>
      </c>
      <c r="AA66" s="12">
        <v>1</v>
      </c>
    </row>
    <row r="67" spans="1:27" x14ac:dyDescent="0.2">
      <c r="A67" s="11">
        <v>4</v>
      </c>
      <c r="B67" s="11" t="s">
        <v>15</v>
      </c>
      <c r="C67" s="12">
        <v>329.84618830071071</v>
      </c>
      <c r="D67" s="12">
        <v>231.89972992111208</v>
      </c>
      <c r="E67" s="12">
        <v>93.142086098873094</v>
      </c>
      <c r="F67" s="12">
        <v>550.61928813739939</v>
      </c>
      <c r="G67" s="12">
        <v>270.17975564930748</v>
      </c>
      <c r="H67" s="12">
        <v>7823.1785714285716</v>
      </c>
      <c r="I67" s="12"/>
      <c r="J67" s="12"/>
      <c r="K67" s="12"/>
      <c r="L67" s="12"/>
      <c r="M67" s="12"/>
      <c r="N67" s="12"/>
      <c r="O67" s="12">
        <v>408.34176862035565</v>
      </c>
      <c r="P67" s="12">
        <v>46.343723854916426</v>
      </c>
      <c r="Q67" s="12">
        <v>30.85504519843219</v>
      </c>
      <c r="R67" s="12">
        <v>320.43564756321638</v>
      </c>
      <c r="S67" s="12">
        <v>154.74549931924324</v>
      </c>
      <c r="T67" s="12">
        <v>3177.375</v>
      </c>
      <c r="U67" s="12">
        <v>309.32262912513994</v>
      </c>
      <c r="V67" s="12">
        <v>277.12648981651807</v>
      </c>
      <c r="W67" s="12">
        <v>104.94558264772033</v>
      </c>
      <c r="X67" s="12">
        <v>642.69274436707269</v>
      </c>
      <c r="Y67" s="12">
        <v>316.35345818133317</v>
      </c>
      <c r="Z67" s="12">
        <v>9681.5</v>
      </c>
      <c r="AA67" s="12">
        <v>0</v>
      </c>
    </row>
    <row r="68" spans="1:27" x14ac:dyDescent="0.2">
      <c r="A68" s="11">
        <v>10</v>
      </c>
      <c r="B68" s="11" t="s">
        <v>15</v>
      </c>
      <c r="C68" s="12">
        <v>175.39439055984334</v>
      </c>
      <c r="D68" s="12">
        <v>149.44840576170387</v>
      </c>
      <c r="E68" s="12">
        <v>101.98397599670695</v>
      </c>
      <c r="F68" s="12">
        <v>273.84278041713696</v>
      </c>
      <c r="G68" s="12">
        <v>126.70736059525589</v>
      </c>
      <c r="H68" s="12">
        <v>1823.1428571428571</v>
      </c>
      <c r="I68" s="12">
        <v>59.693662421846525</v>
      </c>
      <c r="J68" s="12">
        <v>88.632163991561882</v>
      </c>
      <c r="K68" s="12">
        <v>122.20563530517893</v>
      </c>
      <c r="L68" s="12">
        <v>283.77463722874211</v>
      </c>
      <c r="M68" s="12">
        <v>137.61309391036309</v>
      </c>
      <c r="N68" s="12">
        <v>1089.3333333333333</v>
      </c>
      <c r="O68" s="12">
        <v>181.66915681998009</v>
      </c>
      <c r="P68" s="12">
        <v>39.252135721895925</v>
      </c>
      <c r="Q68" s="12">
        <v>62.153539491613508</v>
      </c>
      <c r="R68" s="12">
        <v>258.08120546927898</v>
      </c>
      <c r="S68" s="12">
        <v>118.28269450607787</v>
      </c>
      <c r="T68" s="12">
        <v>2045.8571428571429</v>
      </c>
      <c r="U68" s="12">
        <v>220.60151163586093</v>
      </c>
      <c r="V68" s="12">
        <v>180.68530225554724</v>
      </c>
      <c r="W68" s="12">
        <v>97.255893847472421</v>
      </c>
      <c r="X68" s="12">
        <v>275.58813986135016</v>
      </c>
      <c r="Y68" s="12">
        <v>123.44244916094597</v>
      </c>
      <c r="Z68" s="12">
        <v>2243.5833333333335</v>
      </c>
      <c r="AA68" s="12">
        <v>1</v>
      </c>
    </row>
    <row r="69" spans="1:27" x14ac:dyDescent="0.2">
      <c r="A69" s="11">
        <v>12</v>
      </c>
      <c r="B69" s="11" t="s">
        <v>15</v>
      </c>
      <c r="C69" s="12">
        <v>100.1426053892217</v>
      </c>
      <c r="D69" s="12">
        <v>153.87916025113967</v>
      </c>
      <c r="E69" s="12">
        <v>97.563169050896093</v>
      </c>
      <c r="F69" s="12">
        <v>165.52155844687621</v>
      </c>
      <c r="G69" s="12">
        <v>76.816423620493808</v>
      </c>
      <c r="H69" s="12">
        <v>579.13636363636363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>
        <v>100.1426053892217</v>
      </c>
      <c r="V69" s="12">
        <v>153.87916025113967</v>
      </c>
      <c r="W69" s="12">
        <v>97.563169050896093</v>
      </c>
      <c r="X69" s="12">
        <v>165.52155844687621</v>
      </c>
      <c r="Y69" s="12">
        <v>76.816423620493808</v>
      </c>
      <c r="Z69" s="12">
        <v>579.13636363636363</v>
      </c>
      <c r="AA69" s="12">
        <v>0</v>
      </c>
    </row>
    <row r="70" spans="1:27" x14ac:dyDescent="0.2">
      <c r="A70" s="11">
        <v>13</v>
      </c>
      <c r="B70" s="11" t="s">
        <v>15</v>
      </c>
      <c r="C70" s="12">
        <v>291.82026403672342</v>
      </c>
      <c r="D70" s="12">
        <v>119.38689045026999</v>
      </c>
      <c r="E70" s="12">
        <v>69.887721034036659</v>
      </c>
      <c r="F70" s="12">
        <v>128.9787202324359</v>
      </c>
      <c r="G70" s="12">
        <v>60.678285369483952</v>
      </c>
      <c r="H70" s="12">
        <v>329.94827586206895</v>
      </c>
      <c r="I70" s="12">
        <v>334.59153096364014</v>
      </c>
      <c r="J70" s="12">
        <v>10.796432881417958</v>
      </c>
      <c r="K70" s="12">
        <v>7.6186638774976094</v>
      </c>
      <c r="L70" s="12">
        <v>131.69087656990229</v>
      </c>
      <c r="M70" s="12">
        <v>60.708207261972312</v>
      </c>
      <c r="N70" s="12">
        <v>472.9</v>
      </c>
      <c r="O70" s="12">
        <v>342.13702041834154</v>
      </c>
      <c r="P70" s="12">
        <v>35.734470486526114</v>
      </c>
      <c r="Q70" s="12">
        <v>7.0205666359081436</v>
      </c>
      <c r="R70" s="12">
        <v>118.5982288982232</v>
      </c>
      <c r="S70" s="12">
        <v>56.583565193421165</v>
      </c>
      <c r="T70" s="12">
        <v>228.85714285714286</v>
      </c>
      <c r="U70" s="12">
        <v>191.58077785739468</v>
      </c>
      <c r="V70" s="12">
        <v>144.49686014786829</v>
      </c>
      <c r="W70" s="12">
        <v>98.370218113144233</v>
      </c>
      <c r="X70" s="12">
        <v>132.77387656283821</v>
      </c>
      <c r="Y70" s="12">
        <v>63.041937228446983</v>
      </c>
      <c r="Z70" s="12">
        <v>269.79166666666669</v>
      </c>
      <c r="AA70" s="12">
        <v>0</v>
      </c>
    </row>
    <row r="71" spans="1:27" x14ac:dyDescent="0.2">
      <c r="A71" s="11">
        <v>1005</v>
      </c>
      <c r="B71" s="11" t="s">
        <v>15</v>
      </c>
      <c r="C71" s="12">
        <v>316.75148263960182</v>
      </c>
      <c r="D71" s="12">
        <v>2.7068788267035848</v>
      </c>
      <c r="E71" s="12">
        <v>43.679727342540481</v>
      </c>
      <c r="F71" s="12">
        <v>152.40861391474903</v>
      </c>
      <c r="G71" s="12">
        <v>75.525729999954081</v>
      </c>
      <c r="H71" s="12">
        <v>155.625</v>
      </c>
      <c r="I71" s="12">
        <v>333.28299619925946</v>
      </c>
      <c r="J71" s="12">
        <v>1.4142135623730951</v>
      </c>
      <c r="K71" s="12"/>
      <c r="L71" s="12">
        <v>485.4886507499034</v>
      </c>
      <c r="M71" s="12">
        <v>241.56903018027211</v>
      </c>
      <c r="N71" s="12">
        <v>635.5</v>
      </c>
      <c r="O71" s="12">
        <v>358.88308216836674</v>
      </c>
      <c r="P71" s="12">
        <v>3.8412960775701186</v>
      </c>
      <c r="Q71" s="12">
        <v>89.289696122525811</v>
      </c>
      <c r="R71" s="12">
        <v>130.60156013019883</v>
      </c>
      <c r="S71" s="12">
        <v>64.941224858677401</v>
      </c>
      <c r="T71" s="12">
        <v>100.8</v>
      </c>
      <c r="U71" s="12">
        <v>306.34053804961115</v>
      </c>
      <c r="V71" s="12">
        <v>1.7415017320773201</v>
      </c>
      <c r="W71" s="12">
        <v>1.1274112291351033</v>
      </c>
      <c r="X71" s="12">
        <v>110.15352459911699</v>
      </c>
      <c r="Y71" s="12">
        <v>54.292816091286319</v>
      </c>
      <c r="Z71" s="12">
        <v>109.70833333333333</v>
      </c>
      <c r="AA71" s="12">
        <v>0</v>
      </c>
    </row>
    <row r="72" spans="1:27" x14ac:dyDescent="0.2">
      <c r="A72" s="11">
        <v>103</v>
      </c>
      <c r="B72" s="11" t="s">
        <v>15</v>
      </c>
      <c r="C72" s="12">
        <v>284.34993512363724</v>
      </c>
      <c r="D72" s="12">
        <v>108.74700859055682</v>
      </c>
      <c r="E72" s="12">
        <v>73.332634031005654</v>
      </c>
      <c r="F72" s="12">
        <v>187.99745813355133</v>
      </c>
      <c r="G72" s="12">
        <v>88.932393319184584</v>
      </c>
      <c r="H72" s="12">
        <v>1126.8620689655172</v>
      </c>
      <c r="I72" s="12">
        <v>16.130792576181818</v>
      </c>
      <c r="J72" s="12">
        <v>10.998091865926472</v>
      </c>
      <c r="K72" s="12">
        <v>92.905795450249698</v>
      </c>
      <c r="L72" s="12">
        <v>47.684912049525579</v>
      </c>
      <c r="M72" s="12">
        <v>22.784691422655442</v>
      </c>
      <c r="N72" s="12">
        <v>48.35</v>
      </c>
      <c r="O72" s="12">
        <v>349.87811180708792</v>
      </c>
      <c r="P72" s="12">
        <v>87.376125466784671</v>
      </c>
      <c r="Q72" s="12">
        <v>43.94311271214498</v>
      </c>
      <c r="R72" s="12">
        <v>260.06665248376078</v>
      </c>
      <c r="S72" s="12">
        <v>121.2463271683949</v>
      </c>
      <c r="T72" s="12">
        <v>1782</v>
      </c>
      <c r="U72" s="12">
        <v>365.7174616893646</v>
      </c>
      <c r="V72" s="12">
        <v>115.64378066603479</v>
      </c>
      <c r="W72" s="12">
        <v>51.05181891924309</v>
      </c>
      <c r="X72" s="12">
        <v>262.88421649928387</v>
      </c>
      <c r="Y72" s="12">
        <v>125.2056834875862</v>
      </c>
      <c r="Z72" s="12">
        <v>1643.4583333333333</v>
      </c>
      <c r="AA72" s="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1582-1852-B843-9FAB-70D6956FD5AC}">
  <dimension ref="A1:S71"/>
  <sheetViews>
    <sheetView tabSelected="1" topLeftCell="A27" workbookViewId="0">
      <selection activeCell="A52" sqref="A52"/>
    </sheetView>
  </sheetViews>
  <sheetFormatPr baseColWidth="10" defaultRowHeight="16" x14ac:dyDescent="0.2"/>
  <cols>
    <col min="3" max="3" width="10.83203125" style="6"/>
  </cols>
  <sheetData>
    <row r="1" spans="1:19" x14ac:dyDescent="0.2">
      <c r="A1" s="13" t="s">
        <v>16</v>
      </c>
      <c r="B1" s="13" t="s">
        <v>104</v>
      </c>
      <c r="C1" s="14" t="s">
        <v>104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22</v>
      </c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31</v>
      </c>
      <c r="R1" s="13" t="s">
        <v>32</v>
      </c>
      <c r="S1" s="13" t="s">
        <v>33</v>
      </c>
    </row>
    <row r="2" spans="1:19" x14ac:dyDescent="0.2">
      <c r="A2" s="13" t="s">
        <v>57</v>
      </c>
      <c r="B2" s="13" t="str" cm="1">
        <f t="array" aca="1" ref="B2" ca="1">_xlfn.TEXTJOIN("", TRUE, IFERROR(MID(A2, ROW(INDIRECT("1:" &amp; LEN(A2))), 1) * (ISNUMBER(--MID(A2, ROW(INDIRECT("1:" &amp; LEN(A2))), 1))), ""))</f>
        <v>1</v>
      </c>
      <c r="C2" s="14">
        <v>1</v>
      </c>
      <c r="D2" s="13">
        <v>14152.103448275901</v>
      </c>
      <c r="E2" s="13">
        <v>18173.903022641702</v>
      </c>
      <c r="F2" s="13">
        <v>665.09802967124301</v>
      </c>
      <c r="G2" s="13">
        <v>407.507664139052</v>
      </c>
      <c r="H2" s="13">
        <v>4087.7142857142899</v>
      </c>
      <c r="I2" s="13">
        <v>20197.916666666701</v>
      </c>
      <c r="J2" s="13">
        <v>13942.2</v>
      </c>
      <c r="K2" s="13">
        <v>6732.1372359961397</v>
      </c>
      <c r="L2" s="13">
        <v>21418.506817536501</v>
      </c>
      <c r="M2" s="13">
        <v>16606.933316103801</v>
      </c>
      <c r="N2" s="13">
        <v>414.91264494608401</v>
      </c>
      <c r="O2" s="13">
        <v>866.22568199391105</v>
      </c>
      <c r="P2" s="13">
        <v>598.87461619165299</v>
      </c>
      <c r="Q2" s="13">
        <v>274.37792363099402</v>
      </c>
      <c r="R2" s="13">
        <v>435.69282504301901</v>
      </c>
      <c r="S2" s="13">
        <v>333.70563195167301</v>
      </c>
    </row>
    <row r="3" spans="1:19" x14ac:dyDescent="0.2">
      <c r="A3" s="13" t="s">
        <v>87</v>
      </c>
      <c r="B3" s="13" t="str" cm="1">
        <f t="array" aca="1" ref="B3" ca="1">_xlfn.TEXTJOIN("", TRUE, IFERROR(MID(A3, ROW(INDIRECT("1:" &amp; LEN(A3))), 1) * (ISNUMBER(--MID(A3, ROW(INDIRECT("1:" &amp; LEN(A3))), 1))), ""))</f>
        <v>3</v>
      </c>
      <c r="C3" s="14">
        <v>3</v>
      </c>
      <c r="D3" s="13">
        <v>712.65517241379303</v>
      </c>
      <c r="E3" s="13">
        <v>1418.03197906986</v>
      </c>
      <c r="F3" s="13">
        <v>191.87135701436</v>
      </c>
      <c r="G3" s="13">
        <v>143.80880637311401</v>
      </c>
      <c r="H3" s="13">
        <v>251.78571428571399</v>
      </c>
      <c r="I3" s="13">
        <v>295.91666666666703</v>
      </c>
      <c r="J3" s="13">
        <v>1535.35</v>
      </c>
      <c r="K3" s="13">
        <v>312.22189911297698</v>
      </c>
      <c r="L3" s="13">
        <v>276.59685722829801</v>
      </c>
      <c r="M3" s="13">
        <v>2175.77047054997</v>
      </c>
      <c r="N3" s="13">
        <v>134.399828941838</v>
      </c>
      <c r="O3" s="13">
        <v>145.005561938471</v>
      </c>
      <c r="P3" s="13">
        <v>288.34038075619202</v>
      </c>
      <c r="Q3" s="13">
        <v>128.98116973675599</v>
      </c>
      <c r="R3" s="13">
        <v>81.1259221589698</v>
      </c>
      <c r="S3" s="13">
        <v>164.826983576196</v>
      </c>
    </row>
    <row r="4" spans="1:19" x14ac:dyDescent="0.2">
      <c r="A4" s="13" t="s">
        <v>92</v>
      </c>
      <c r="B4" s="13" t="str" cm="1">
        <f t="array" aca="1" ref="B4" ca="1">_xlfn.TEXTJOIN("", TRUE, IFERROR(MID(A4, ROW(INDIRECT("1:" &amp; LEN(A4))), 1) * (ISNUMBER(--MID(A4, ROW(INDIRECT("1:" &amp; LEN(A4))), 1))), ""))</f>
        <v>4</v>
      </c>
      <c r="C4" s="14">
        <v>4</v>
      </c>
      <c r="D4" s="13">
        <v>5596.56896551724</v>
      </c>
      <c r="E4" s="13">
        <v>10544.55449266</v>
      </c>
      <c r="F4" s="13">
        <v>499.666993343748</v>
      </c>
      <c r="G4" s="13">
        <v>538.57578757272404</v>
      </c>
      <c r="H4" s="13">
        <v>2832.0714285714298</v>
      </c>
      <c r="I4" s="13">
        <v>11873</v>
      </c>
      <c r="J4" s="13">
        <v>0</v>
      </c>
      <c r="K4" s="13">
        <v>3695.8953863905399</v>
      </c>
      <c r="L4" s="13">
        <v>13908.512561428999</v>
      </c>
      <c r="M4" s="13">
        <v>0</v>
      </c>
      <c r="N4" s="13">
        <v>705.26324784539304</v>
      </c>
      <c r="O4" s="13">
        <v>725.64845355987097</v>
      </c>
      <c r="P4" s="13">
        <v>84.571862933247502</v>
      </c>
      <c r="Q4" s="13">
        <v>541.40194997342098</v>
      </c>
      <c r="R4" s="13">
        <v>514.27631797174502</v>
      </c>
      <c r="S4" s="13">
        <v>258.05292159715498</v>
      </c>
    </row>
    <row r="5" spans="1:19" x14ac:dyDescent="0.2">
      <c r="A5" s="13" t="s">
        <v>96</v>
      </c>
      <c r="B5" s="13" t="str" cm="1">
        <f t="array" aca="1" ref="B5" ca="1">_xlfn.TEXTJOIN("", TRUE, IFERROR(MID(A5, ROW(INDIRECT("1:" &amp; LEN(A5))), 1) * (ISNUMBER(--MID(A5, ROW(INDIRECT("1:" &amp; LEN(A5))), 1))), ""))</f>
        <v>6</v>
      </c>
      <c r="C5" s="14">
        <v>6</v>
      </c>
      <c r="D5" s="13">
        <v>135.586206896552</v>
      </c>
      <c r="E5" s="13">
        <v>146.6283905791</v>
      </c>
      <c r="F5" s="13">
        <v>126.217536088336</v>
      </c>
      <c r="G5" s="13">
        <v>92.411079327306794</v>
      </c>
      <c r="H5" s="13">
        <v>84.071428571428598</v>
      </c>
      <c r="I5" s="13">
        <v>150.458333333333</v>
      </c>
      <c r="J5" s="13">
        <v>153.80000000000001</v>
      </c>
      <c r="K5" s="13">
        <v>50.7393549708423</v>
      </c>
      <c r="L5" s="13">
        <v>141.36919117787201</v>
      </c>
      <c r="M5" s="13">
        <v>187.94467270981599</v>
      </c>
      <c r="N5" s="13">
        <v>85.321171231175001</v>
      </c>
      <c r="O5" s="13">
        <v>138.93059736742401</v>
      </c>
      <c r="P5" s="13">
        <v>139.589317953445</v>
      </c>
      <c r="Q5" s="13">
        <v>57.461089040873802</v>
      </c>
      <c r="R5" s="13">
        <v>65.615215029785404</v>
      </c>
      <c r="S5" s="13">
        <v>127.495118200463</v>
      </c>
    </row>
    <row r="6" spans="1:19" x14ac:dyDescent="0.2">
      <c r="A6" s="13" t="s">
        <v>39</v>
      </c>
      <c r="B6" s="13" t="str" cm="1">
        <f t="array" aca="1" ref="B6" ca="1">_xlfn.TEXTJOIN("", TRUE, IFERROR(MID(A6, ROW(INDIRECT("1:" &amp; LEN(A6))), 1) * (ISNUMBER(--MID(A6, ROW(INDIRECT("1:" &amp; LEN(A6))), 1))), ""))</f>
        <v>10</v>
      </c>
      <c r="C6" s="14">
        <v>10</v>
      </c>
      <c r="D6" s="13">
        <v>4457.2586206896603</v>
      </c>
      <c r="E6" s="13">
        <v>14137.5621734619</v>
      </c>
      <c r="F6" s="13">
        <v>324.62387134380498</v>
      </c>
      <c r="G6" s="13">
        <v>293.83120530819599</v>
      </c>
      <c r="H6" s="13">
        <v>2045.8571428571399</v>
      </c>
      <c r="I6" s="13">
        <v>2243.5833333333298</v>
      </c>
      <c r="J6" s="13">
        <v>8801.65</v>
      </c>
      <c r="K6" s="13">
        <v>1669.33010623167</v>
      </c>
      <c r="L6" s="13">
        <v>2341.6345740895199</v>
      </c>
      <c r="M6" s="13">
        <v>23544.8896531381</v>
      </c>
      <c r="N6" s="13">
        <v>258.08120546927898</v>
      </c>
      <c r="O6" s="13">
        <v>275.58813986134999</v>
      </c>
      <c r="P6" s="13">
        <v>430.04661523491899</v>
      </c>
      <c r="Q6" s="13">
        <v>74.108909630038397</v>
      </c>
      <c r="R6" s="13">
        <v>99.817434365442296</v>
      </c>
      <c r="S6" s="13">
        <v>471.73304164925003</v>
      </c>
    </row>
    <row r="7" spans="1:19" x14ac:dyDescent="0.2">
      <c r="A7" s="13" t="s">
        <v>45</v>
      </c>
      <c r="B7" s="13" t="str" cm="1">
        <f t="array" aca="1" ref="B7" ca="1">_xlfn.TEXTJOIN("", TRUE, IFERROR(MID(A7, ROW(INDIRECT("1:" &amp; LEN(A7))), 1) * (ISNUMBER(--MID(A7, ROW(INDIRECT("1:" &amp; LEN(A7))), 1))), ""))</f>
        <v>12</v>
      </c>
      <c r="C7" s="14">
        <v>12</v>
      </c>
      <c r="D7" s="13">
        <v>439.931034482759</v>
      </c>
      <c r="E7" s="13">
        <v>1204.98023039947</v>
      </c>
      <c r="F7" s="13">
        <v>163.00101754099799</v>
      </c>
      <c r="G7" s="13">
        <v>368.06727111831799</v>
      </c>
      <c r="H7" s="13">
        <v>0</v>
      </c>
      <c r="I7" s="13">
        <v>1063.1666666666699</v>
      </c>
      <c r="J7" s="13">
        <v>0</v>
      </c>
      <c r="K7" s="13">
        <v>0</v>
      </c>
      <c r="L7" s="13">
        <v>1698.8763681580001</v>
      </c>
      <c r="M7" s="13">
        <v>0</v>
      </c>
      <c r="N7" s="13">
        <v>0</v>
      </c>
      <c r="O7" s="13">
        <v>291.95603327282902</v>
      </c>
      <c r="P7" s="13">
        <v>122.35571094150001</v>
      </c>
      <c r="Q7" s="13">
        <v>0</v>
      </c>
      <c r="R7" s="13">
        <v>427.69810876227803</v>
      </c>
      <c r="S7" s="13">
        <v>373.34223922054002</v>
      </c>
    </row>
    <row r="8" spans="1:19" x14ac:dyDescent="0.2">
      <c r="A8" s="13" t="s">
        <v>46</v>
      </c>
      <c r="B8" s="13" t="str" cm="1">
        <f t="array" aca="1" ref="B8" ca="1">_xlfn.TEXTJOIN("", TRUE, IFERROR(MID(A8, ROW(INDIRECT("1:" &amp; LEN(A8))), 1) * (ISNUMBER(--MID(A8, ROW(INDIRECT("1:" &amp; LEN(A8))), 1))), ""))</f>
        <v>13</v>
      </c>
      <c r="C8" s="14">
        <v>13</v>
      </c>
      <c r="D8" s="13">
        <v>329.94827586206901</v>
      </c>
      <c r="E8" s="13">
        <v>371.80896597207698</v>
      </c>
      <c r="F8" s="13">
        <v>128.97872023243599</v>
      </c>
      <c r="G8" s="13">
        <v>64.773970922363802</v>
      </c>
      <c r="H8" s="13">
        <v>228.857142857143</v>
      </c>
      <c r="I8" s="13">
        <v>269.79166666666703</v>
      </c>
      <c r="J8" s="13">
        <v>472.9</v>
      </c>
      <c r="K8" s="13">
        <v>132.39223380330299</v>
      </c>
      <c r="L8" s="13">
        <v>263.087258066868</v>
      </c>
      <c r="M8" s="13">
        <v>530.38005891676596</v>
      </c>
      <c r="N8" s="13">
        <v>118.598228898223</v>
      </c>
      <c r="O8" s="13">
        <v>132.77387656283801</v>
      </c>
      <c r="P8" s="13">
        <v>131.690876569902</v>
      </c>
      <c r="Q8" s="13">
        <v>45.0646685313775</v>
      </c>
      <c r="R8" s="13">
        <v>74.168322933660804</v>
      </c>
      <c r="S8" s="13">
        <v>65.568064440606193</v>
      </c>
    </row>
    <row r="9" spans="1:19" x14ac:dyDescent="0.2">
      <c r="A9" s="13" t="s">
        <v>35</v>
      </c>
      <c r="B9" s="13" t="str" cm="1">
        <f t="array" aca="1" ref="B9" ca="1">_xlfn.TEXTJOIN("", TRUE, IFERROR(MID(A9, ROW(INDIRECT("1:" &amp; LEN(A9))), 1) * (ISNUMBER(--MID(A9, ROW(INDIRECT("1:" &amp; LEN(A9))), 1))), ""))</f>
        <v>101</v>
      </c>
      <c r="C9" s="14">
        <v>101</v>
      </c>
      <c r="D9" s="13">
        <v>509.65517241379303</v>
      </c>
      <c r="E9" s="13">
        <v>1175.9485861999799</v>
      </c>
      <c r="F9" s="13">
        <v>107.703719607331</v>
      </c>
      <c r="G9" s="13">
        <v>103.342526933372</v>
      </c>
      <c r="H9" s="13">
        <v>316.92857142857099</v>
      </c>
      <c r="I9" s="13">
        <v>1046.7916666666699</v>
      </c>
      <c r="J9" s="13">
        <v>0</v>
      </c>
      <c r="K9" s="13">
        <v>249.39222550604299</v>
      </c>
      <c r="L9" s="13">
        <v>1679.47762871589</v>
      </c>
      <c r="M9" s="13">
        <v>0</v>
      </c>
      <c r="N9" s="13">
        <v>125.145921245906</v>
      </c>
      <c r="O9" s="13">
        <v>187.28220165760499</v>
      </c>
      <c r="P9" s="13">
        <v>0</v>
      </c>
      <c r="Q9" s="13">
        <v>41.724963187986297</v>
      </c>
      <c r="R9" s="13">
        <v>92.776662420194896</v>
      </c>
      <c r="S9" s="13">
        <v>0</v>
      </c>
    </row>
    <row r="10" spans="1:19" x14ac:dyDescent="0.2">
      <c r="A10" s="13" t="s">
        <v>38</v>
      </c>
      <c r="B10" s="13" t="str" cm="1">
        <f t="array" aca="1" ref="B10" ca="1">_xlfn.TEXTJOIN("", TRUE, IFERROR(MID(A10, ROW(INDIRECT("1:" &amp; LEN(A10))), 1) * (ISNUMBER(--MID(A10, ROW(INDIRECT("1:" &amp; LEN(A10))), 1))), ""))</f>
        <v>103</v>
      </c>
      <c r="C10" s="14">
        <v>103</v>
      </c>
      <c r="D10" s="13">
        <v>1126.8620689655199</v>
      </c>
      <c r="E10" s="13">
        <v>1946.07445167226</v>
      </c>
      <c r="F10" s="13">
        <v>187.99745813355099</v>
      </c>
      <c r="G10" s="13">
        <v>147.53587988105599</v>
      </c>
      <c r="H10" s="13">
        <v>1782</v>
      </c>
      <c r="I10" s="13">
        <v>1643.4583333333301</v>
      </c>
      <c r="J10" s="13">
        <v>48.35</v>
      </c>
      <c r="K10" s="13">
        <v>2123.10162851428</v>
      </c>
      <c r="L10" s="13">
        <v>2280.0394682517499</v>
      </c>
      <c r="M10" s="13">
        <v>53.122199723357397</v>
      </c>
      <c r="N10" s="13">
        <v>260.066652483761</v>
      </c>
      <c r="O10" s="13">
        <v>262.88421649928398</v>
      </c>
      <c r="P10" s="13">
        <v>47.6849120495256</v>
      </c>
      <c r="Q10" s="13">
        <v>137.41981682671499</v>
      </c>
      <c r="R10" s="13">
        <v>124.865359613397</v>
      </c>
      <c r="S10" s="13">
        <v>40.247344019970598</v>
      </c>
    </row>
    <row r="11" spans="1:19" x14ac:dyDescent="0.2">
      <c r="A11" s="13" t="s">
        <v>47</v>
      </c>
      <c r="B11" s="13" t="str" cm="1">
        <f t="array" aca="1" ref="B11" ca="1">_xlfn.TEXTJOIN("", TRUE, IFERROR(MID(A11, ROW(INDIRECT("1:" &amp; LEN(A11))), 1) * (ISNUMBER(--MID(A11, ROW(INDIRECT("1:" &amp; LEN(A11))), 1))), ""))</f>
        <v>146</v>
      </c>
      <c r="C11" s="14">
        <v>146</v>
      </c>
      <c r="D11" s="13">
        <v>167.827586206897</v>
      </c>
      <c r="E11" s="13">
        <v>151.580008568393</v>
      </c>
      <c r="F11" s="13">
        <v>148.112097016847</v>
      </c>
      <c r="G11" s="13">
        <v>110.746698108716</v>
      </c>
      <c r="H11" s="13">
        <v>123.21428571428601</v>
      </c>
      <c r="I11" s="13">
        <v>184.708333333333</v>
      </c>
      <c r="J11" s="13">
        <v>178.8</v>
      </c>
      <c r="K11" s="13">
        <v>127.66250148620099</v>
      </c>
      <c r="L11" s="13">
        <v>181.169114956953</v>
      </c>
      <c r="M11" s="13">
        <v>123.954705298013</v>
      </c>
      <c r="N11" s="13">
        <v>178.26500950926999</v>
      </c>
      <c r="O11" s="13">
        <v>128.63325454494901</v>
      </c>
      <c r="P11" s="13">
        <v>150.37966923842799</v>
      </c>
      <c r="Q11" s="13">
        <v>149.815604732152</v>
      </c>
      <c r="R11" s="13">
        <v>78.891740811204599</v>
      </c>
      <c r="S11" s="13">
        <v>110.662223668622</v>
      </c>
    </row>
    <row r="12" spans="1:19" x14ac:dyDescent="0.2">
      <c r="A12" s="13" t="s">
        <v>48</v>
      </c>
      <c r="B12" s="13" t="str" cm="1">
        <f t="array" aca="1" ref="B12" ca="1">_xlfn.TEXTJOIN("", TRUE, IFERROR(MID(A12, ROW(INDIRECT("1:" &amp; LEN(A12))), 1) * (ISNUMBER(--MID(A12, ROW(INDIRECT("1:" &amp; LEN(A12))), 1))), ""))</f>
        <v>147</v>
      </c>
      <c r="C12" s="14">
        <v>147</v>
      </c>
      <c r="D12" s="13">
        <v>9719</v>
      </c>
      <c r="E12" s="13">
        <v>8785.9099620053603</v>
      </c>
      <c r="F12" s="13">
        <v>653.64103113184296</v>
      </c>
      <c r="G12" s="13">
        <v>320.56626959087498</v>
      </c>
      <c r="H12" s="13">
        <v>8417.1428571428605</v>
      </c>
      <c r="I12" s="13">
        <v>8914.5416666666697</v>
      </c>
      <c r="J12" s="13">
        <v>11595.65</v>
      </c>
      <c r="K12" s="13">
        <v>12671.1884852437</v>
      </c>
      <c r="L12" s="13">
        <v>4493.3881876994701</v>
      </c>
      <c r="M12" s="13">
        <v>9388.4334295561202</v>
      </c>
      <c r="N12" s="13">
        <v>563.38117667706001</v>
      </c>
      <c r="O12" s="13">
        <v>758.05284463522401</v>
      </c>
      <c r="P12" s="13">
        <v>591.52875304613201</v>
      </c>
      <c r="Q12" s="13">
        <v>351.55714728945298</v>
      </c>
      <c r="R12" s="13">
        <v>372.24172480827701</v>
      </c>
      <c r="S12" s="13">
        <v>169.860232053868</v>
      </c>
    </row>
    <row r="13" spans="1:19" x14ac:dyDescent="0.2">
      <c r="A13" s="13" t="s">
        <v>49</v>
      </c>
      <c r="B13" s="13" t="str" cm="1">
        <f t="array" aca="1" ref="B13" ca="1">_xlfn.TEXTJOIN("", TRUE, IFERROR(MID(A13, ROW(INDIRECT("1:" &amp; LEN(A13))), 1) * (ISNUMBER(--MID(A13, ROW(INDIRECT("1:" &amp; LEN(A13))), 1))), ""))</f>
        <v>148</v>
      </c>
      <c r="C13" s="14">
        <v>148</v>
      </c>
      <c r="D13" s="13">
        <v>1681.48275862069</v>
      </c>
      <c r="E13" s="13">
        <v>2265.53359063172</v>
      </c>
      <c r="F13" s="13">
        <v>248.917502172962</v>
      </c>
      <c r="G13" s="13">
        <v>108.641973194183</v>
      </c>
      <c r="H13" s="13">
        <v>3164.7857142857101</v>
      </c>
      <c r="I13" s="13">
        <v>1701.75</v>
      </c>
      <c r="J13" s="13">
        <v>618.85</v>
      </c>
      <c r="K13" s="13">
        <v>3439.63737031765</v>
      </c>
      <c r="L13" s="13">
        <v>1758.69072851694</v>
      </c>
      <c r="M13" s="13">
        <v>752.83392350458701</v>
      </c>
      <c r="N13" s="13">
        <v>266.73177795037799</v>
      </c>
      <c r="O13" s="13">
        <v>251.07290157389099</v>
      </c>
      <c r="P13" s="13">
        <v>233.861029847655</v>
      </c>
      <c r="Q13" s="13">
        <v>131.07024728624501</v>
      </c>
      <c r="R13" s="13">
        <v>124.21943514162901</v>
      </c>
      <c r="S13" s="13">
        <v>63.728323127255202</v>
      </c>
    </row>
    <row r="14" spans="1:19" x14ac:dyDescent="0.2">
      <c r="A14" s="13" t="s">
        <v>50</v>
      </c>
      <c r="B14" s="13" t="str" cm="1">
        <f t="array" aca="1" ref="B14" ca="1">_xlfn.TEXTJOIN("", TRUE, IFERROR(MID(A14, ROW(INDIRECT("1:" &amp; LEN(A14))), 1) * (ISNUMBER(--MID(A14, ROW(INDIRECT("1:" &amp; LEN(A14))), 1))), ""))</f>
        <v>149</v>
      </c>
      <c r="C14" s="14">
        <v>149</v>
      </c>
      <c r="D14" s="13">
        <v>2127.6379310344801</v>
      </c>
      <c r="E14" s="13">
        <v>1847.9727086503699</v>
      </c>
      <c r="F14" s="13">
        <v>267.310658444723</v>
      </c>
      <c r="G14" s="13">
        <v>71.8996213841165</v>
      </c>
      <c r="H14" s="13">
        <v>1968.2857142857099</v>
      </c>
      <c r="I14" s="13">
        <v>2940.0833333333298</v>
      </c>
      <c r="J14" s="13">
        <v>1264.25</v>
      </c>
      <c r="K14" s="13">
        <v>1272.48056538625</v>
      </c>
      <c r="L14" s="13">
        <v>2349.1963777914698</v>
      </c>
      <c r="M14" s="13">
        <v>860.872820416021</v>
      </c>
      <c r="N14" s="13">
        <v>251.58645688418301</v>
      </c>
      <c r="O14" s="13">
        <v>300.35301063546802</v>
      </c>
      <c r="P14" s="13">
        <v>238.666776908207</v>
      </c>
      <c r="Q14" s="13">
        <v>42.237203562342103</v>
      </c>
      <c r="R14" s="13">
        <v>76.971954279537101</v>
      </c>
      <c r="S14" s="13">
        <v>67.575545638429006</v>
      </c>
    </row>
    <row r="15" spans="1:19" x14ac:dyDescent="0.2">
      <c r="A15" s="13" t="s">
        <v>51</v>
      </c>
      <c r="B15" s="13" t="str" cm="1">
        <f t="array" aca="1" ref="B15" ca="1">_xlfn.TEXTJOIN("", TRUE, IFERROR(MID(A15, ROW(INDIRECT("1:" &amp; LEN(A15))), 1) * (ISNUMBER(--MID(A15, ROW(INDIRECT("1:" &amp; LEN(A15))), 1))), ""))</f>
        <v>150</v>
      </c>
      <c r="C15" s="14">
        <v>150</v>
      </c>
      <c r="D15" s="13">
        <v>6253.2758620689701</v>
      </c>
      <c r="E15" s="13">
        <v>8380.9828341333905</v>
      </c>
      <c r="F15" s="13">
        <v>560.42757069221</v>
      </c>
      <c r="G15" s="13">
        <v>418.99052952395698</v>
      </c>
      <c r="H15" s="13">
        <v>8325</v>
      </c>
      <c r="I15" s="13">
        <v>5976.3333333333303</v>
      </c>
      <c r="J15" s="13">
        <v>5135.3999999999996</v>
      </c>
      <c r="K15" s="13">
        <v>12588.721884091299</v>
      </c>
      <c r="L15" s="13">
        <v>5936.2280171358498</v>
      </c>
      <c r="M15" s="13">
        <v>7209.8000108568704</v>
      </c>
      <c r="N15" s="13">
        <v>796.34586811967404</v>
      </c>
      <c r="O15" s="13">
        <v>563.48575613266598</v>
      </c>
      <c r="P15" s="13">
        <v>391.61493996443897</v>
      </c>
      <c r="Q15" s="13">
        <v>552.71122562346898</v>
      </c>
      <c r="R15" s="13">
        <v>316.46802875031301</v>
      </c>
      <c r="S15" s="13">
        <v>345.33217018065898</v>
      </c>
    </row>
    <row r="16" spans="1:19" x14ac:dyDescent="0.2">
      <c r="A16" s="13" t="s">
        <v>52</v>
      </c>
      <c r="B16" s="13" t="str" cm="1">
        <f t="array" aca="1" ref="B16" ca="1">_xlfn.TEXTJOIN("", TRUE, IFERROR(MID(A16, ROW(INDIRECT("1:" &amp; LEN(A16))), 1) * (ISNUMBER(--MID(A16, ROW(INDIRECT("1:" &amp; LEN(A16))), 1))), ""))</f>
        <v>156</v>
      </c>
      <c r="C16" s="14">
        <v>156</v>
      </c>
      <c r="D16" s="13">
        <v>250.741379310345</v>
      </c>
      <c r="E16" s="13">
        <v>252.946816982011</v>
      </c>
      <c r="F16" s="13">
        <v>199.68458658524401</v>
      </c>
      <c r="G16" s="13">
        <v>204.046764126684</v>
      </c>
      <c r="H16" s="13">
        <v>256.21428571428601</v>
      </c>
      <c r="I16" s="13">
        <v>286.95833333333297</v>
      </c>
      <c r="J16" s="13">
        <v>203.45</v>
      </c>
      <c r="K16" s="13">
        <v>220.87754364288401</v>
      </c>
      <c r="L16" s="13">
        <v>320.05317359553197</v>
      </c>
      <c r="M16" s="13">
        <v>168.82838409421001</v>
      </c>
      <c r="N16" s="13">
        <v>179.51245089985099</v>
      </c>
      <c r="O16" s="13">
        <v>159.40665008868999</v>
      </c>
      <c r="P16" s="13">
        <v>262.13860536088401</v>
      </c>
      <c r="Q16" s="13">
        <v>160.58775362126201</v>
      </c>
      <c r="R16" s="13">
        <v>102.26370067389399</v>
      </c>
      <c r="S16" s="13">
        <v>294.48140686714498</v>
      </c>
    </row>
    <row r="17" spans="1:19" x14ac:dyDescent="0.2">
      <c r="A17" s="13" t="s">
        <v>53</v>
      </c>
      <c r="B17" s="13" t="str" cm="1">
        <f t="array" aca="1" ref="B17" ca="1">_xlfn.TEXTJOIN("", TRUE, IFERROR(MID(A17, ROW(INDIRECT("1:" &amp; LEN(A17))), 1) * (ISNUMBER(--MID(A17, ROW(INDIRECT("1:" &amp; LEN(A17))), 1))), ""))</f>
        <v>157</v>
      </c>
      <c r="C17" s="14">
        <v>157</v>
      </c>
      <c r="D17" s="13">
        <v>1650.08620689655</v>
      </c>
      <c r="E17" s="13">
        <v>2436.7386505743498</v>
      </c>
      <c r="F17" s="13">
        <v>268.70617195025102</v>
      </c>
      <c r="G17" s="13">
        <v>180.50527617878899</v>
      </c>
      <c r="H17" s="13">
        <v>3344.9285714285702</v>
      </c>
      <c r="I17" s="13">
        <v>1133.75</v>
      </c>
      <c r="J17" s="13">
        <v>1083.3</v>
      </c>
      <c r="K17" s="13">
        <v>4303.8459814615599</v>
      </c>
      <c r="L17" s="13">
        <v>1134.01161180752</v>
      </c>
      <c r="M17" s="13">
        <v>733.74788491735296</v>
      </c>
      <c r="N17" s="13">
        <v>411.123334112875</v>
      </c>
      <c r="O17" s="13">
        <v>190.866432562162</v>
      </c>
      <c r="P17" s="13">
        <v>262.421845702121</v>
      </c>
      <c r="Q17" s="13">
        <v>291.42113454975299</v>
      </c>
      <c r="R17" s="13">
        <v>77.440802851838001</v>
      </c>
      <c r="S17" s="13">
        <v>92.549470820616307</v>
      </c>
    </row>
    <row r="18" spans="1:19" x14ac:dyDescent="0.2">
      <c r="A18" s="13" t="s">
        <v>54</v>
      </c>
      <c r="B18" s="13" t="str" cm="1">
        <f t="array" aca="1" ref="B18" ca="1">_xlfn.TEXTJOIN("", TRUE, IFERROR(MID(A18, ROW(INDIRECT("1:" &amp; LEN(A18))), 1) * (ISNUMBER(--MID(A18, ROW(INDIRECT("1:" &amp; LEN(A18))), 1))), ""))</f>
        <v>158</v>
      </c>
      <c r="C18" s="14">
        <v>158</v>
      </c>
      <c r="D18" s="13">
        <v>21837.741379310301</v>
      </c>
      <c r="E18" s="13">
        <v>27885.084322095201</v>
      </c>
      <c r="F18" s="13">
        <v>880.25770473431498</v>
      </c>
      <c r="G18" s="13">
        <v>400.232151490614</v>
      </c>
      <c r="H18" s="13">
        <v>9373.6428571428605</v>
      </c>
      <c r="I18" s="13">
        <v>32673.541666666701</v>
      </c>
      <c r="J18" s="13">
        <v>17559.650000000001</v>
      </c>
      <c r="K18" s="13">
        <v>10714.004533953301</v>
      </c>
      <c r="L18" s="13">
        <v>38183.653953412198</v>
      </c>
      <c r="M18" s="13">
        <v>13781.282510728701</v>
      </c>
      <c r="N18" s="13">
        <v>883.56083385764703</v>
      </c>
      <c r="O18" s="13">
        <v>998.73130892446795</v>
      </c>
      <c r="P18" s="13">
        <v>735.777189319797</v>
      </c>
      <c r="Q18" s="13">
        <v>332.802390029089</v>
      </c>
      <c r="R18" s="13">
        <v>479.16153844178098</v>
      </c>
      <c r="S18" s="13">
        <v>287.270881660442</v>
      </c>
    </row>
    <row r="19" spans="1:19" x14ac:dyDescent="0.2">
      <c r="A19" s="13" t="s">
        <v>55</v>
      </c>
      <c r="B19" s="13" t="str" cm="1">
        <f t="array" aca="1" ref="B19" ca="1">_xlfn.TEXTJOIN("", TRUE, IFERROR(MID(A19, ROW(INDIRECT("1:" &amp; LEN(A19))), 1) * (ISNUMBER(--MID(A19, ROW(INDIRECT("1:" &amp; LEN(A19))), 1))), ""))</f>
        <v>160</v>
      </c>
      <c r="C19" s="14">
        <v>160</v>
      </c>
      <c r="D19" s="13">
        <v>3359.10344827586</v>
      </c>
      <c r="E19" s="13">
        <v>3577.92172049798</v>
      </c>
      <c r="F19" s="13">
        <v>376.074645448772</v>
      </c>
      <c r="G19" s="13">
        <v>220.05618637671699</v>
      </c>
      <c r="H19" s="13">
        <v>3369.6428571428601</v>
      </c>
      <c r="I19" s="13">
        <v>4032.7916666666702</v>
      </c>
      <c r="J19" s="13">
        <v>2543.3000000000002</v>
      </c>
      <c r="K19" s="13">
        <v>4738.9914569000302</v>
      </c>
      <c r="L19" s="13">
        <v>3732.9855982558702</v>
      </c>
      <c r="M19" s="13">
        <v>2098.6999079068601</v>
      </c>
      <c r="N19" s="13">
        <v>419.02526412299602</v>
      </c>
      <c r="O19" s="13">
        <v>349.72457656647498</v>
      </c>
      <c r="P19" s="13">
        <v>377.62929503557098</v>
      </c>
      <c r="Q19" s="13">
        <v>265.81831496950502</v>
      </c>
      <c r="R19" s="13">
        <v>156.201554752058</v>
      </c>
      <c r="S19" s="13">
        <v>251.448789295208</v>
      </c>
    </row>
    <row r="20" spans="1:19" x14ac:dyDescent="0.2">
      <c r="A20" s="13" t="s">
        <v>56</v>
      </c>
      <c r="B20" s="13" t="str" cm="1">
        <f t="array" aca="1" ref="B20" ca="1">_xlfn.TEXTJOIN("", TRUE, IFERROR(MID(A20, ROW(INDIRECT("1:" &amp; LEN(A20))), 1) * (ISNUMBER(--MID(A20, ROW(INDIRECT("1:" &amp; LEN(A20))), 1))), ""))</f>
        <v>161</v>
      </c>
      <c r="C20" s="14">
        <v>161</v>
      </c>
      <c r="D20" s="13">
        <v>7641.1724137930996</v>
      </c>
      <c r="E20" s="13">
        <v>11895.043263122499</v>
      </c>
      <c r="F20" s="13">
        <v>504.55700511112298</v>
      </c>
      <c r="G20" s="13">
        <v>453.33110472404002</v>
      </c>
      <c r="H20" s="13">
        <v>5453.9285714285697</v>
      </c>
      <c r="I20" s="13">
        <v>7332.4166666666697</v>
      </c>
      <c r="J20" s="13">
        <v>9542.75</v>
      </c>
      <c r="K20" s="13">
        <v>5387.9616328573502</v>
      </c>
      <c r="L20" s="13">
        <v>13077.470274428901</v>
      </c>
      <c r="M20" s="13">
        <v>13632.655386689799</v>
      </c>
      <c r="N20" s="13">
        <v>380.97714434655302</v>
      </c>
      <c r="O20" s="13">
        <v>573.73148504992901</v>
      </c>
      <c r="P20" s="13">
        <v>508.05353171975702</v>
      </c>
      <c r="Q20" s="13">
        <v>238.73952856744299</v>
      </c>
      <c r="R20" s="13">
        <v>546.66119629373804</v>
      </c>
      <c r="S20" s="13">
        <v>438.69563737282999</v>
      </c>
    </row>
    <row r="21" spans="1:19" x14ac:dyDescent="0.2">
      <c r="A21" s="13" t="s">
        <v>72</v>
      </c>
      <c r="B21" s="13" t="str" cm="1">
        <f t="array" aca="1" ref="B21" ca="1">_xlfn.TEXTJOIN("", TRUE, IFERROR(MID(A21, ROW(INDIRECT("1:" &amp; LEN(A21))), 1) * (ISNUMBER(--MID(A21, ROW(INDIRECT("1:" &amp; LEN(A21))), 1))), ""))</f>
        <v>201</v>
      </c>
      <c r="C21" s="14">
        <v>201</v>
      </c>
      <c r="D21" s="13">
        <v>2650.3103448275901</v>
      </c>
      <c r="E21" s="13">
        <v>6963.0794528369197</v>
      </c>
      <c r="F21" s="13">
        <v>301.24671342358602</v>
      </c>
      <c r="G21" s="13">
        <v>233.58972658289699</v>
      </c>
      <c r="H21" s="13">
        <v>2289.4285714285702</v>
      </c>
      <c r="I21" s="13">
        <v>4521.0416666666697</v>
      </c>
      <c r="J21" s="13">
        <v>658.05</v>
      </c>
      <c r="K21" s="13">
        <v>2608.43344407</v>
      </c>
      <c r="L21" s="13">
        <v>10374.7978736765</v>
      </c>
      <c r="M21" s="13">
        <v>799.06056209560995</v>
      </c>
      <c r="N21" s="13">
        <v>341.362061547265</v>
      </c>
      <c r="O21" s="13">
        <v>387.72305022843801</v>
      </c>
      <c r="P21" s="13">
        <v>169.39436557118799</v>
      </c>
      <c r="Q21" s="13">
        <v>211.45511789992801</v>
      </c>
      <c r="R21" s="13">
        <v>247.19875291506099</v>
      </c>
      <c r="S21" s="13">
        <v>169.679279018306</v>
      </c>
    </row>
    <row r="22" spans="1:19" x14ac:dyDescent="0.2">
      <c r="A22" s="13" t="s">
        <v>77</v>
      </c>
      <c r="B22" s="13" t="str" cm="1">
        <f t="array" aca="1" ref="B22" ca="1">_xlfn.TEXTJOIN("", TRUE, IFERROR(MID(A22, ROW(INDIRECT("1:" &amp; LEN(A22))), 1) * (ISNUMBER(--MID(A22, ROW(INDIRECT("1:" &amp; LEN(A22))), 1))), ""))</f>
        <v>202</v>
      </c>
      <c r="C22" s="14">
        <v>202</v>
      </c>
      <c r="D22" s="13">
        <v>1595.6379310344801</v>
      </c>
      <c r="E22" s="13">
        <v>1587.1327751231399</v>
      </c>
      <c r="F22" s="13">
        <v>294.53902289301402</v>
      </c>
      <c r="G22" s="13">
        <v>206.29241656800099</v>
      </c>
      <c r="H22" s="13">
        <v>643.357142857143</v>
      </c>
      <c r="I22" s="13">
        <v>2353.25</v>
      </c>
      <c r="J22" s="13">
        <v>1353.1</v>
      </c>
      <c r="K22" s="13">
        <v>443.767144538021</v>
      </c>
      <c r="L22" s="13">
        <v>1939.6770552263099</v>
      </c>
      <c r="M22" s="13">
        <v>1167.6819831585599</v>
      </c>
      <c r="N22" s="13">
        <v>170.17051005782</v>
      </c>
      <c r="O22" s="13">
        <v>395.96329999452701</v>
      </c>
      <c r="P22" s="13">
        <v>259.887849355833</v>
      </c>
      <c r="Q22" s="13">
        <v>61.246388673487502</v>
      </c>
      <c r="R22" s="13">
        <v>235.51220043217501</v>
      </c>
      <c r="S22" s="13">
        <v>177.37209774019601</v>
      </c>
    </row>
    <row r="23" spans="1:19" x14ac:dyDescent="0.2">
      <c r="A23" s="13" t="s">
        <v>78</v>
      </c>
      <c r="B23" s="13" t="str" cm="1">
        <f t="array" aca="1" ref="B23" ca="1">_xlfn.TEXTJOIN("", TRUE, IFERROR(MID(A23, ROW(INDIRECT("1:" &amp; LEN(A23))), 1) * (ISNUMBER(--MID(A23, ROW(INDIRECT("1:" &amp; LEN(A23))), 1))), ""))</f>
        <v>204</v>
      </c>
      <c r="C23" s="14">
        <v>204</v>
      </c>
      <c r="D23" s="13">
        <v>8102.43103448276</v>
      </c>
      <c r="E23" s="13">
        <v>11612.9871545682</v>
      </c>
      <c r="F23" s="13">
        <v>510.69852174231102</v>
      </c>
      <c r="G23" s="13">
        <v>365.44084735184401</v>
      </c>
      <c r="H23" s="13">
        <v>12150.714285714301</v>
      </c>
      <c r="I23" s="13">
        <v>8826.625</v>
      </c>
      <c r="J23" s="13">
        <v>4399.6000000000004</v>
      </c>
      <c r="K23" s="13">
        <v>14704.627368256801</v>
      </c>
      <c r="L23" s="13">
        <v>11364.6995996846</v>
      </c>
      <c r="M23" s="13">
        <v>8260.2528541076208</v>
      </c>
      <c r="N23" s="13">
        <v>678.13272545020902</v>
      </c>
      <c r="O23" s="13">
        <v>489.05580533980401</v>
      </c>
      <c r="P23" s="13">
        <v>419.46583882979098</v>
      </c>
      <c r="Q23" s="13">
        <v>337.119824600833</v>
      </c>
      <c r="R23" s="13">
        <v>290.49606803317897</v>
      </c>
      <c r="S23" s="13">
        <v>431.64423403868801</v>
      </c>
    </row>
    <row r="24" spans="1:19" x14ac:dyDescent="0.2">
      <c r="A24" s="13" t="s">
        <v>79</v>
      </c>
      <c r="B24" s="13" t="str" cm="1">
        <f t="array" aca="1" ref="B24" ca="1">_xlfn.TEXTJOIN("", TRUE, IFERROR(MID(A24, ROW(INDIRECT("1:" &amp; LEN(A24))), 1) * (ISNUMBER(--MID(A24, ROW(INDIRECT("1:" &amp; LEN(A24))), 1))), ""))</f>
        <v>205</v>
      </c>
      <c r="C24" s="14">
        <v>205</v>
      </c>
      <c r="D24" s="13">
        <v>12684.344827586199</v>
      </c>
      <c r="E24" s="13">
        <v>16864.438880259</v>
      </c>
      <c r="F24" s="13">
        <v>740.45642408398896</v>
      </c>
      <c r="G24" s="13">
        <v>332.825868851069</v>
      </c>
      <c r="H24" s="13">
        <v>14139.4285714286</v>
      </c>
      <c r="I24" s="13">
        <v>10647.583333333299</v>
      </c>
      <c r="J24" s="13">
        <v>14109.9</v>
      </c>
      <c r="K24" s="13">
        <v>11513.3246493853</v>
      </c>
      <c r="L24" s="13">
        <v>14452.705419747501</v>
      </c>
      <c r="M24" s="13">
        <v>22161.220664749599</v>
      </c>
      <c r="N24" s="13">
        <v>840.84982646651201</v>
      </c>
      <c r="O24" s="13">
        <v>668.70577711445799</v>
      </c>
      <c r="P24" s="13">
        <v>756.28181877965994</v>
      </c>
      <c r="Q24" s="13">
        <v>309.90178979941101</v>
      </c>
      <c r="R24" s="13">
        <v>311.87792380995199</v>
      </c>
      <c r="S24" s="13">
        <v>361.83554475993901</v>
      </c>
    </row>
    <row r="25" spans="1:19" x14ac:dyDescent="0.2">
      <c r="A25" s="13" t="s">
        <v>80</v>
      </c>
      <c r="B25" s="13" t="str" cm="1">
        <f t="array" aca="1" ref="B25" ca="1">_xlfn.TEXTJOIN("", TRUE, IFERROR(MID(A25, ROW(INDIRECT("1:" &amp; LEN(A25))), 1) * (ISNUMBER(--MID(A25, ROW(INDIRECT("1:" &amp; LEN(A25))), 1))), ""))</f>
        <v>209</v>
      </c>
      <c r="C25" s="14">
        <v>209</v>
      </c>
      <c r="D25" s="13">
        <v>1024.58620689655</v>
      </c>
      <c r="E25" s="13">
        <v>1304.8988738482101</v>
      </c>
      <c r="F25" s="13">
        <v>182.64950879667001</v>
      </c>
      <c r="G25" s="13">
        <v>112.62428568796599</v>
      </c>
      <c r="H25" s="13">
        <v>589.92857142857099</v>
      </c>
      <c r="I25" s="13">
        <v>1203.7083333333301</v>
      </c>
      <c r="J25" s="13">
        <v>1113.9000000000001</v>
      </c>
      <c r="K25" s="13">
        <v>485.216144767316</v>
      </c>
      <c r="L25" s="13">
        <v>872.92509394727404</v>
      </c>
      <c r="M25" s="13">
        <v>1944.9048261441001</v>
      </c>
      <c r="N25" s="13">
        <v>140.388343108295</v>
      </c>
      <c r="O25" s="13">
        <v>211.83855636974499</v>
      </c>
      <c r="P25" s="13">
        <v>177.20546769084299</v>
      </c>
      <c r="Q25" s="13">
        <v>56.398084702181798</v>
      </c>
      <c r="R25" s="13">
        <v>90.753283595975503</v>
      </c>
      <c r="S25" s="13">
        <v>151.98639416657701</v>
      </c>
    </row>
    <row r="26" spans="1:19" x14ac:dyDescent="0.2">
      <c r="A26" s="13" t="s">
        <v>81</v>
      </c>
      <c r="B26" s="13" t="str" cm="1">
        <f t="array" aca="1" ref="B26" ca="1">_xlfn.TEXTJOIN("", TRUE, IFERROR(MID(A26, ROW(INDIRECT("1:" &amp; LEN(A26))), 1) * (ISNUMBER(--MID(A26, ROW(INDIRECT("1:" &amp; LEN(A26))), 1))), ""))</f>
        <v>210</v>
      </c>
      <c r="C26" s="14">
        <v>210</v>
      </c>
      <c r="D26" s="13">
        <v>31049.086206896602</v>
      </c>
      <c r="E26" s="13">
        <v>40318.350378090901</v>
      </c>
      <c r="F26" s="13">
        <v>856.41406784759397</v>
      </c>
      <c r="G26" s="13">
        <v>543.08123773081297</v>
      </c>
      <c r="H26" s="13">
        <v>55891.785714285703</v>
      </c>
      <c r="I26" s="13">
        <v>40114.083333333299</v>
      </c>
      <c r="J26" s="13">
        <v>2781.2</v>
      </c>
      <c r="K26" s="13">
        <v>44994.741190102301</v>
      </c>
      <c r="L26" s="13">
        <v>41152.995105633403</v>
      </c>
      <c r="M26" s="13">
        <v>2218.1888488056002</v>
      </c>
      <c r="N26" s="13">
        <v>1171.0924454451599</v>
      </c>
      <c r="O26" s="13">
        <v>1086.9542176569701</v>
      </c>
      <c r="P26" s="13">
        <v>359.49102375805103</v>
      </c>
      <c r="Q26" s="13">
        <v>486.93452327615898</v>
      </c>
      <c r="R26" s="13">
        <v>496.08215169058798</v>
      </c>
      <c r="S26" s="13">
        <v>144.828300248864</v>
      </c>
    </row>
    <row r="27" spans="1:19" x14ac:dyDescent="0.2">
      <c r="A27" s="13" t="s">
        <v>82</v>
      </c>
      <c r="B27" s="13" t="str" cm="1">
        <f t="array" aca="1" ref="B27" ca="1">_xlfn.TEXTJOIN("", TRUE, IFERROR(MID(A27, ROW(INDIRECT("1:" &amp; LEN(A27))), 1) * (ISNUMBER(--MID(A27, ROW(INDIRECT("1:" &amp; LEN(A27))), 1))), ""))</f>
        <v>214</v>
      </c>
      <c r="C27" s="14">
        <v>214</v>
      </c>
      <c r="D27" s="13">
        <v>260.29310344827599</v>
      </c>
      <c r="E27" s="13">
        <v>371.80127656344899</v>
      </c>
      <c r="F27" s="13">
        <v>182.11385825994699</v>
      </c>
      <c r="G27" s="13">
        <v>176.18262254881901</v>
      </c>
      <c r="H27" s="13">
        <v>540.21428571428601</v>
      </c>
      <c r="I27" s="13">
        <v>116.375</v>
      </c>
      <c r="J27" s="13">
        <v>237.05</v>
      </c>
      <c r="K27" s="13">
        <v>602.32897098322803</v>
      </c>
      <c r="L27" s="13">
        <v>71.044591128188102</v>
      </c>
      <c r="M27" s="13">
        <v>265.76656694070499</v>
      </c>
      <c r="N27" s="13">
        <v>231.34706906031701</v>
      </c>
      <c r="O27" s="13">
        <v>179.64321761171499</v>
      </c>
      <c r="P27" s="13">
        <v>150.61537947756699</v>
      </c>
      <c r="Q27" s="13">
        <v>234.695607038784</v>
      </c>
      <c r="R27" s="13">
        <v>180.049552825208</v>
      </c>
      <c r="S27" s="13">
        <v>110.22168037283301</v>
      </c>
    </row>
    <row r="28" spans="1:19" x14ac:dyDescent="0.2">
      <c r="A28" s="13" t="s">
        <v>83</v>
      </c>
      <c r="B28" s="13" t="str" cm="1">
        <f t="array" aca="1" ref="B28" ca="1">_xlfn.TEXTJOIN("", TRUE, IFERROR(MID(A28, ROW(INDIRECT("1:" &amp; LEN(A28))), 1) * (ISNUMBER(--MID(A28, ROW(INDIRECT("1:" &amp; LEN(A28))), 1))), ""))</f>
        <v>214</v>
      </c>
      <c r="C28" s="14">
        <v>214</v>
      </c>
      <c r="D28" s="13">
        <v>1429.2413793103401</v>
      </c>
      <c r="E28" s="13">
        <v>2476.2302954172601</v>
      </c>
      <c r="F28" s="13">
        <v>296.90522461378401</v>
      </c>
      <c r="G28" s="13">
        <v>199.67171980331699</v>
      </c>
      <c r="H28" s="13">
        <v>3289.2857142857101</v>
      </c>
      <c r="I28" s="13">
        <v>1142.7083333333301</v>
      </c>
      <c r="J28" s="13">
        <v>471.05</v>
      </c>
      <c r="K28" s="13">
        <v>4075.08072794708</v>
      </c>
      <c r="L28" s="13">
        <v>1528.62131802764</v>
      </c>
      <c r="M28" s="13">
        <v>594.90424251186903</v>
      </c>
      <c r="N28" s="13">
        <v>393.99495702551098</v>
      </c>
      <c r="O28" s="13">
        <v>311.04179944847903</v>
      </c>
      <c r="P28" s="13">
        <v>211.97852212394</v>
      </c>
      <c r="Q28" s="13">
        <v>265.80038287986798</v>
      </c>
      <c r="R28" s="13">
        <v>143.54928567569601</v>
      </c>
      <c r="S28" s="13">
        <v>173.50049459546301</v>
      </c>
    </row>
    <row r="29" spans="1:19" x14ac:dyDescent="0.2">
      <c r="A29" s="13" t="s">
        <v>84</v>
      </c>
      <c r="B29" s="13" t="str" cm="1">
        <f t="array" aca="1" ref="B29" ca="1">_xlfn.TEXTJOIN("", TRUE, IFERROR(MID(A29, ROW(INDIRECT("1:" &amp; LEN(A29))), 1) * (ISNUMBER(--MID(A29, ROW(INDIRECT("1:" &amp; LEN(A29))), 1))), ""))</f>
        <v>215</v>
      </c>
      <c r="C29" s="14">
        <v>215</v>
      </c>
      <c r="D29" s="13">
        <v>4946.7931034482799</v>
      </c>
      <c r="E29" s="13">
        <v>6853.5808890832895</v>
      </c>
      <c r="F29" s="13">
        <v>476.14288782251998</v>
      </c>
      <c r="G29" s="13">
        <v>402.25936136151398</v>
      </c>
      <c r="H29" s="13">
        <v>1880</v>
      </c>
      <c r="I29" s="13">
        <v>6195.0833333333303</v>
      </c>
      <c r="J29" s="13">
        <v>5595.6</v>
      </c>
      <c r="K29" s="13">
        <v>3408.5345641492299</v>
      </c>
      <c r="L29" s="13">
        <v>5203.2600460809999</v>
      </c>
      <c r="M29" s="13">
        <v>9456.5641564379803</v>
      </c>
      <c r="N29" s="13">
        <v>312.06142439313999</v>
      </c>
      <c r="O29" s="13">
        <v>547.85891852498901</v>
      </c>
      <c r="P29" s="13">
        <v>504.94067538012399</v>
      </c>
      <c r="Q29" s="13">
        <v>289.80868055533398</v>
      </c>
      <c r="R29" s="13">
        <v>377.64201562491098</v>
      </c>
      <c r="S29" s="13">
        <v>472.30973104330502</v>
      </c>
    </row>
    <row r="30" spans="1:19" x14ac:dyDescent="0.2">
      <c r="A30" s="13" t="s">
        <v>85</v>
      </c>
      <c r="B30" s="13" t="str" cm="1">
        <f t="array" aca="1" ref="B30" ca="1">_xlfn.TEXTJOIN("", TRUE, IFERROR(MID(A30, ROW(INDIRECT("1:" &amp; LEN(A30))), 1) * (ISNUMBER(--MID(A30, ROW(INDIRECT("1:" &amp; LEN(A30))), 1))), ""))</f>
        <v>217</v>
      </c>
      <c r="C30" s="14">
        <v>217</v>
      </c>
      <c r="D30" s="13">
        <v>4937.4655172413804</v>
      </c>
      <c r="E30" s="13">
        <v>8662.7463278487794</v>
      </c>
      <c r="F30" s="13">
        <v>402.474347471317</v>
      </c>
      <c r="G30" s="13">
        <v>315.78743293334003</v>
      </c>
      <c r="H30" s="13">
        <v>6582.7857142857101</v>
      </c>
      <c r="I30" s="13">
        <v>7196.9583333333303</v>
      </c>
      <c r="J30" s="13">
        <v>1074.3499999999999</v>
      </c>
      <c r="K30" s="13">
        <v>8955.3123557632407</v>
      </c>
      <c r="L30" s="13">
        <v>10773.0806665603</v>
      </c>
      <c r="M30" s="13">
        <v>1850.78407964915</v>
      </c>
      <c r="N30" s="13">
        <v>638.84987728375597</v>
      </c>
      <c r="O30" s="13">
        <v>447.52054549877698</v>
      </c>
      <c r="P30" s="13">
        <v>182.95603896965801</v>
      </c>
      <c r="Q30" s="13">
        <v>275.544990326679</v>
      </c>
      <c r="R30" s="13">
        <v>326.09272336520002</v>
      </c>
      <c r="S30" s="13">
        <v>148.990829878353</v>
      </c>
    </row>
    <row r="31" spans="1:19" x14ac:dyDescent="0.2">
      <c r="A31" s="13" t="s">
        <v>86</v>
      </c>
      <c r="B31" s="13" t="str" cm="1">
        <f t="array" aca="1" ref="B31" ca="1">_xlfn.TEXTJOIN("", TRUE, IFERROR(MID(A31, ROW(INDIRECT("1:" &amp; LEN(A31))), 1) * (ISNUMBER(--MID(A31, ROW(INDIRECT("1:" &amp; LEN(A31))), 1))), ""))</f>
        <v>219</v>
      </c>
      <c r="C31" s="14">
        <v>219</v>
      </c>
      <c r="D31" s="13">
        <v>20789.086206896602</v>
      </c>
      <c r="E31" s="13">
        <v>27284.146416794199</v>
      </c>
      <c r="F31" s="13">
        <v>912.67980932099704</v>
      </c>
      <c r="G31" s="13">
        <v>571.74974559386499</v>
      </c>
      <c r="H31" s="13">
        <v>25008.714285714301</v>
      </c>
      <c r="I31" s="13">
        <v>11212.666666666701</v>
      </c>
      <c r="J31" s="13">
        <v>29327.05</v>
      </c>
      <c r="K31" s="13">
        <v>30915.4482389353</v>
      </c>
      <c r="L31" s="13">
        <v>11342.411027391199</v>
      </c>
      <c r="M31" s="13">
        <v>34511.449473039698</v>
      </c>
      <c r="N31" s="13">
        <v>1148.4676077415099</v>
      </c>
      <c r="O31" s="13">
        <v>711.80961520723702</v>
      </c>
      <c r="P31" s="13">
        <v>988.67258336315103</v>
      </c>
      <c r="Q31" s="13">
        <v>613.56924495157</v>
      </c>
      <c r="R31" s="13">
        <v>536.26057472669595</v>
      </c>
      <c r="S31" s="13">
        <v>516.13304014213497</v>
      </c>
    </row>
    <row r="32" spans="1:19" x14ac:dyDescent="0.2">
      <c r="A32" s="13" t="s">
        <v>88</v>
      </c>
      <c r="B32" s="13" t="str" cm="1">
        <f t="array" aca="1" ref="B32" ca="1">_xlfn.TEXTJOIN("", TRUE, IFERROR(MID(A32, ROW(INDIRECT("1:" &amp; LEN(A32))), 1) * (ISNUMBER(--MID(A32, ROW(INDIRECT("1:" &amp; LEN(A32))), 1))), ""))</f>
        <v>410</v>
      </c>
      <c r="C32" s="14">
        <v>410</v>
      </c>
      <c r="D32" s="13">
        <v>239.44827586206901</v>
      </c>
      <c r="E32" s="13">
        <v>216.484692977366</v>
      </c>
      <c r="F32" s="13">
        <v>139.00365241075301</v>
      </c>
      <c r="G32" s="13">
        <v>131.12100240026501</v>
      </c>
      <c r="H32" s="13">
        <v>340.71428571428601</v>
      </c>
      <c r="I32" s="13">
        <v>214.541666666667</v>
      </c>
      <c r="J32" s="13">
        <v>198.45</v>
      </c>
      <c r="K32" s="13">
        <v>228.17721026806001</v>
      </c>
      <c r="L32" s="13">
        <v>206.656491204953</v>
      </c>
      <c r="M32" s="13">
        <v>203.952003735159</v>
      </c>
      <c r="N32" s="13">
        <v>229.92277842465799</v>
      </c>
      <c r="O32" s="13">
        <v>132.438757712821</v>
      </c>
      <c r="P32" s="13">
        <v>83.238137838538407</v>
      </c>
      <c r="Q32" s="13">
        <v>215.41599697134001</v>
      </c>
      <c r="R32" s="13">
        <v>79.939876112702905</v>
      </c>
      <c r="S32" s="13">
        <v>44.872186191477198</v>
      </c>
    </row>
    <row r="33" spans="1:19" x14ac:dyDescent="0.2">
      <c r="A33" s="13" t="s">
        <v>89</v>
      </c>
      <c r="B33" s="13" t="str" cm="1">
        <f t="array" aca="1" ref="B33" ca="1">_xlfn.TEXTJOIN("", TRUE, IFERROR(MID(A33, ROW(INDIRECT("1:" &amp; LEN(A33))), 1) * (ISNUMBER(--MID(A33, ROW(INDIRECT("1:" &amp; LEN(A33))), 1))), ""))</f>
        <v>424</v>
      </c>
      <c r="C33" s="14">
        <v>424</v>
      </c>
      <c r="D33" s="13">
        <v>1553.46551724138</v>
      </c>
      <c r="E33" s="13">
        <v>2274.1376819514498</v>
      </c>
      <c r="F33" s="13">
        <v>231.37090299121601</v>
      </c>
      <c r="G33" s="13">
        <v>128.01667594077901</v>
      </c>
      <c r="H33" s="13">
        <v>2553</v>
      </c>
      <c r="I33" s="13">
        <v>1942.25</v>
      </c>
      <c r="J33" s="13">
        <v>387.25</v>
      </c>
      <c r="K33" s="13">
        <v>2265.4095987260198</v>
      </c>
      <c r="L33" s="13">
        <v>2797.4223581718902</v>
      </c>
      <c r="M33" s="13">
        <v>186.25417144136799</v>
      </c>
      <c r="N33" s="13">
        <v>319.62373625680402</v>
      </c>
      <c r="O33" s="13">
        <v>246.98295721070801</v>
      </c>
      <c r="P33" s="13">
        <v>150.859454641914</v>
      </c>
      <c r="Q33" s="13">
        <v>88.475594144246202</v>
      </c>
      <c r="R33" s="13">
        <v>148.00564176571899</v>
      </c>
      <c r="S33" s="13">
        <v>64.148797467805494</v>
      </c>
    </row>
    <row r="34" spans="1:19" x14ac:dyDescent="0.2">
      <c r="A34" s="13" t="s">
        <v>90</v>
      </c>
      <c r="B34" s="13" t="str" cm="1">
        <f t="array" aca="1" ref="B34" ca="1">_xlfn.TEXTJOIN("", TRUE, IFERROR(MID(A34, ROW(INDIRECT("1:" &amp; LEN(A34))), 1) * (ISNUMBER(--MID(A34, ROW(INDIRECT("1:" &amp; LEN(A34))), 1))), ""))</f>
        <v>480</v>
      </c>
      <c r="C34" s="14">
        <v>480</v>
      </c>
      <c r="D34" s="13">
        <v>823.29310344827604</v>
      </c>
      <c r="E34" s="13">
        <v>1768.9128584761099</v>
      </c>
      <c r="F34" s="13">
        <v>164.71249416611801</v>
      </c>
      <c r="G34" s="13">
        <v>188.33899183244699</v>
      </c>
      <c r="H34" s="13">
        <v>31.785714285714299</v>
      </c>
      <c r="I34" s="13">
        <v>1544.2916666666699</v>
      </c>
      <c r="J34" s="13">
        <v>512.15</v>
      </c>
      <c r="K34" s="13">
        <v>33.650249415335502</v>
      </c>
      <c r="L34" s="13">
        <v>2509.7019127919202</v>
      </c>
      <c r="M34" s="13">
        <v>691.078394549991</v>
      </c>
      <c r="N34" s="13">
        <v>65.052027768678201</v>
      </c>
      <c r="O34" s="13">
        <v>255.59769758956199</v>
      </c>
      <c r="P34" s="13">
        <v>125.41257653619201</v>
      </c>
      <c r="Q34" s="13">
        <v>38.820675341869702</v>
      </c>
      <c r="R34" s="13">
        <v>252.021549343831</v>
      </c>
      <c r="S34" s="13">
        <v>91.936872350982</v>
      </c>
    </row>
    <row r="35" spans="1:19" x14ac:dyDescent="0.2">
      <c r="A35" s="13" t="s">
        <v>91</v>
      </c>
      <c r="B35" s="13" t="str" cm="1">
        <f t="array" aca="1" ref="B35" ca="1">_xlfn.TEXTJOIN("", TRUE, IFERROR(MID(A35, ROW(INDIRECT("1:" &amp; LEN(A35))), 1) * (ISNUMBER(--MID(A35, ROW(INDIRECT("1:" &amp; LEN(A35))), 1))), ""))</f>
        <v>482</v>
      </c>
      <c r="C35" s="14">
        <v>482</v>
      </c>
      <c r="D35" s="13">
        <v>501.10344827586198</v>
      </c>
      <c r="E35" s="13">
        <v>539.906554888183</v>
      </c>
      <c r="F35" s="13">
        <v>218.471487115738</v>
      </c>
      <c r="G35" s="13">
        <v>117.013311164529</v>
      </c>
      <c r="H35" s="13">
        <v>824.42857142857099</v>
      </c>
      <c r="I35" s="13">
        <v>427.20833333333297</v>
      </c>
      <c r="J35" s="13">
        <v>363.45</v>
      </c>
      <c r="K35" s="13">
        <v>523.17199097701803</v>
      </c>
      <c r="L35" s="13">
        <v>459.28396717063799</v>
      </c>
      <c r="M35" s="13">
        <v>564.81390511724601</v>
      </c>
      <c r="N35" s="13">
        <v>305.74495452650501</v>
      </c>
      <c r="O35" s="13">
        <v>170.93945781663299</v>
      </c>
      <c r="P35" s="13">
        <v>214.41849508712599</v>
      </c>
      <c r="Q35" s="13">
        <v>137.660193711505</v>
      </c>
      <c r="R35" s="13">
        <v>98.166241345662996</v>
      </c>
      <c r="S35" s="13">
        <v>86.991225816706105</v>
      </c>
    </row>
    <row r="36" spans="1:19" x14ac:dyDescent="0.2">
      <c r="A36" s="13" t="s">
        <v>93</v>
      </c>
      <c r="B36" s="13" t="str" cm="1">
        <f t="array" aca="1" ref="B36" ca="1">_xlfn.TEXTJOIN("", TRUE, IFERROR(MID(A36, ROW(INDIRECT("1:" &amp; LEN(A36))), 1) * (ISNUMBER(--MID(A36, ROW(INDIRECT("1:" &amp; LEN(A36))), 1))), ""))</f>
        <v>532</v>
      </c>
      <c r="C36" s="14">
        <v>532</v>
      </c>
      <c r="D36" s="13">
        <v>294.67241379310298</v>
      </c>
      <c r="E36" s="13">
        <v>367.109172245031</v>
      </c>
      <c r="F36" s="13">
        <v>129.75825900058601</v>
      </c>
      <c r="G36" s="13">
        <v>78.610966177936106</v>
      </c>
      <c r="H36" s="13">
        <v>359.21428571428601</v>
      </c>
      <c r="I36" s="13">
        <v>411.75</v>
      </c>
      <c r="J36" s="13">
        <v>109</v>
      </c>
      <c r="K36" s="13">
        <v>256.03772043531802</v>
      </c>
      <c r="L36" s="13">
        <v>487.33949005947397</v>
      </c>
      <c r="M36" s="13">
        <v>110.075835927657</v>
      </c>
      <c r="N36" s="13">
        <v>158.27130470470499</v>
      </c>
      <c r="O36" s="13">
        <v>137.98222101440999</v>
      </c>
      <c r="P36" s="13">
        <v>99.930372591112601</v>
      </c>
      <c r="Q36" s="13">
        <v>70.776476793492193</v>
      </c>
      <c r="R36" s="13">
        <v>81.176187653699699</v>
      </c>
      <c r="S36" s="13">
        <v>72.9744402878366</v>
      </c>
    </row>
    <row r="37" spans="1:19" x14ac:dyDescent="0.2">
      <c r="A37" s="13" t="s">
        <v>94</v>
      </c>
      <c r="B37" s="13" t="str" cm="1">
        <f t="array" aca="1" ref="B37" ca="1">_xlfn.TEXTJOIN("", TRUE, IFERROR(MID(A37, ROW(INDIRECT("1:" &amp; LEN(A37))), 1) * (ISNUMBER(--MID(A37, ROW(INDIRECT("1:" &amp; LEN(A37))), 1))), ""))</f>
        <v>538</v>
      </c>
      <c r="C37" s="14">
        <v>538</v>
      </c>
      <c r="D37" s="13">
        <v>2026.1896551724101</v>
      </c>
      <c r="E37" s="13">
        <v>3964.9743013928501</v>
      </c>
      <c r="F37" s="13">
        <v>302.81086568676</v>
      </c>
      <c r="G37" s="13">
        <v>314.653385103228</v>
      </c>
      <c r="H37" s="13">
        <v>1909.42857142857</v>
      </c>
      <c r="I37" s="13">
        <v>612.625</v>
      </c>
      <c r="J37" s="13">
        <v>3804.2</v>
      </c>
      <c r="K37" s="13">
        <v>2202.5675772023101</v>
      </c>
      <c r="L37" s="13">
        <v>807.55472503637304</v>
      </c>
      <c r="M37" s="13">
        <v>6060.3198456050604</v>
      </c>
      <c r="N37" s="13">
        <v>245.242101582206</v>
      </c>
      <c r="O37" s="13">
        <v>143.80707269295399</v>
      </c>
      <c r="P37" s="13">
        <v>533.91355215251394</v>
      </c>
      <c r="Q37" s="13">
        <v>86.974345025335296</v>
      </c>
      <c r="R37" s="13">
        <v>76.585043481515001</v>
      </c>
      <c r="S37" s="13">
        <v>438.49252752620902</v>
      </c>
    </row>
    <row r="38" spans="1:19" x14ac:dyDescent="0.2">
      <c r="A38" s="13" t="s">
        <v>95</v>
      </c>
      <c r="B38" s="13" t="str" cm="1">
        <f t="array" aca="1" ref="B38" ca="1">_xlfn.TEXTJOIN("", TRUE, IFERROR(MID(A38, ROW(INDIRECT("1:" &amp; LEN(A38))), 1) * (ISNUMBER(--MID(A38, ROW(INDIRECT("1:" &amp; LEN(A38))), 1))), ""))</f>
        <v>593</v>
      </c>
      <c r="C38" s="14">
        <v>593</v>
      </c>
      <c r="D38" s="13">
        <v>713.43103448275895</v>
      </c>
      <c r="E38" s="13">
        <v>470.578035025985</v>
      </c>
      <c r="F38" s="13">
        <v>210.059442907045</v>
      </c>
      <c r="G38" s="13">
        <v>81.125445782942904</v>
      </c>
      <c r="H38" s="13">
        <v>722.42857142857099</v>
      </c>
      <c r="I38" s="13">
        <v>733.41666666666697</v>
      </c>
      <c r="J38" s="13">
        <v>683.15</v>
      </c>
      <c r="K38" s="13">
        <v>482.26865660423903</v>
      </c>
      <c r="L38" s="13">
        <v>424.61231897881999</v>
      </c>
      <c r="M38" s="13">
        <v>526.49005541251802</v>
      </c>
      <c r="N38" s="13">
        <v>181.12431034693901</v>
      </c>
      <c r="O38" s="13">
        <v>232.09364491426899</v>
      </c>
      <c r="P38" s="13">
        <v>203.872993290452</v>
      </c>
      <c r="Q38" s="13">
        <v>54.948353809658201</v>
      </c>
      <c r="R38" s="13">
        <v>95.489551913970899</v>
      </c>
      <c r="S38" s="13">
        <v>71.9821005593367</v>
      </c>
    </row>
    <row r="39" spans="1:19" x14ac:dyDescent="0.2">
      <c r="A39" s="13" t="s">
        <v>97</v>
      </c>
      <c r="B39" s="13" t="str" cm="1">
        <f t="array" aca="1" ref="B39" ca="1">_xlfn.TEXTJOIN("", TRUE, IFERROR(MID(A39, ROW(INDIRECT("1:" &amp; LEN(A39))), 1) * (ISNUMBER(--MID(A39, ROW(INDIRECT("1:" &amp; LEN(A39))), 1))), ""))</f>
        <v>755</v>
      </c>
      <c r="C39" s="14">
        <v>755</v>
      </c>
      <c r="D39" s="13">
        <v>753.84482758620697</v>
      </c>
      <c r="E39" s="13">
        <v>1175.6793961374001</v>
      </c>
      <c r="F39" s="13">
        <v>135.140937887962</v>
      </c>
      <c r="G39" s="13">
        <v>128.419184109952</v>
      </c>
      <c r="H39" s="13">
        <v>1802.5</v>
      </c>
      <c r="I39" s="13">
        <v>770.33333333333303</v>
      </c>
      <c r="J39" s="13">
        <v>0</v>
      </c>
      <c r="K39" s="13">
        <v>1488.95349994552</v>
      </c>
      <c r="L39" s="13">
        <v>991.10279126695195</v>
      </c>
      <c r="M39" s="13">
        <v>0</v>
      </c>
      <c r="N39" s="13">
        <v>258.36161873172802</v>
      </c>
      <c r="O39" s="13">
        <v>175.879655635734</v>
      </c>
      <c r="P39" s="13">
        <v>0</v>
      </c>
      <c r="Q39" s="13">
        <v>82.406496424300201</v>
      </c>
      <c r="R39" s="13">
        <v>100.848096608196</v>
      </c>
      <c r="S39" s="13">
        <v>0</v>
      </c>
    </row>
    <row r="40" spans="1:19" x14ac:dyDescent="0.2">
      <c r="A40" s="13" t="s">
        <v>98</v>
      </c>
      <c r="B40" s="13" t="str" cm="1">
        <f t="array" aca="1" ref="B40" ca="1">_xlfn.TEXTJOIN("", TRUE, IFERROR(MID(A40, ROW(INDIRECT("1:" &amp; LEN(A40))), 1) * (ISNUMBER(--MID(A40, ROW(INDIRECT("1:" &amp; LEN(A40))), 1))), ""))</f>
        <v>792</v>
      </c>
      <c r="C40" s="14">
        <v>792</v>
      </c>
      <c r="D40" s="13">
        <v>658.13793103448302</v>
      </c>
      <c r="E40" s="13">
        <v>841.29312733591598</v>
      </c>
      <c r="F40" s="13">
        <v>191.29432740591901</v>
      </c>
      <c r="G40" s="13">
        <v>141.41316270095601</v>
      </c>
      <c r="H40" s="13">
        <v>721.357142857143</v>
      </c>
      <c r="I40" s="13">
        <v>598.91666666666697</v>
      </c>
      <c r="J40" s="13">
        <v>684.95</v>
      </c>
      <c r="K40" s="13">
        <v>527.80875188976199</v>
      </c>
      <c r="L40" s="13">
        <v>975.38611768439102</v>
      </c>
      <c r="M40" s="13">
        <v>866.36271322239497</v>
      </c>
      <c r="N40" s="13">
        <v>230.947938135459</v>
      </c>
      <c r="O40" s="13">
        <v>185.04796613715499</v>
      </c>
      <c r="P40" s="13">
        <v>171.03243341775701</v>
      </c>
      <c r="Q40" s="13">
        <v>146.85307359191199</v>
      </c>
      <c r="R40" s="13">
        <v>168.84114293473101</v>
      </c>
      <c r="S40" s="13">
        <v>91.724111160632305</v>
      </c>
    </row>
    <row r="41" spans="1:19" x14ac:dyDescent="0.2">
      <c r="A41" s="13" t="s">
        <v>99</v>
      </c>
      <c r="B41" s="13" t="str" cm="1">
        <f t="array" aca="1" ref="B41" ca="1">_xlfn.TEXTJOIN("", TRUE, IFERROR(MID(A41, ROW(INDIRECT("1:" &amp; LEN(A41))), 1) * (ISNUMBER(--MID(A41, ROW(INDIRECT("1:" &amp; LEN(A41))), 1))), ""))</f>
        <v>806</v>
      </c>
      <c r="C41" s="14">
        <v>806</v>
      </c>
      <c r="D41" s="13">
        <v>211.18965517241401</v>
      </c>
      <c r="E41" s="13">
        <v>277.86306901835297</v>
      </c>
      <c r="F41" s="13">
        <v>99.721766255880098</v>
      </c>
      <c r="G41" s="13">
        <v>96.077663165882598</v>
      </c>
      <c r="H41" s="13">
        <v>309.71428571428601</v>
      </c>
      <c r="I41" s="13">
        <v>329.70833333333297</v>
      </c>
      <c r="J41" s="13">
        <v>0</v>
      </c>
      <c r="K41" s="13">
        <v>340.249671984727</v>
      </c>
      <c r="L41" s="13">
        <v>255.05851919566601</v>
      </c>
      <c r="M41" s="13">
        <v>0</v>
      </c>
      <c r="N41" s="13">
        <v>127.518298311621</v>
      </c>
      <c r="O41" s="13">
        <v>166.608594436598</v>
      </c>
      <c r="P41" s="13">
        <v>0</v>
      </c>
      <c r="Q41" s="13">
        <v>68.509317169791601</v>
      </c>
      <c r="R41" s="13">
        <v>80.066281625206599</v>
      </c>
      <c r="S41" s="13">
        <v>0</v>
      </c>
    </row>
    <row r="42" spans="1:19" x14ac:dyDescent="0.2">
      <c r="A42" s="13" t="s">
        <v>100</v>
      </c>
      <c r="B42" s="13" t="str" cm="1">
        <f t="array" aca="1" ref="B42" ca="1">_xlfn.TEXTJOIN("", TRUE, IFERROR(MID(A42, ROW(INDIRECT("1:" &amp; LEN(A42))), 1) * (ISNUMBER(--MID(A42, ROW(INDIRECT("1:" &amp; LEN(A42))), 1))), ""))</f>
        <v>867</v>
      </c>
      <c r="C42" s="14">
        <v>867</v>
      </c>
      <c r="D42" s="13">
        <v>525.15517241379303</v>
      </c>
      <c r="E42" s="13">
        <v>1037.30859907325</v>
      </c>
      <c r="F42" s="13">
        <v>158.920563254992</v>
      </c>
      <c r="G42" s="13">
        <v>210.812065466001</v>
      </c>
      <c r="H42" s="13">
        <v>1021.07142857143</v>
      </c>
      <c r="I42" s="13">
        <v>569.875</v>
      </c>
      <c r="J42" s="13">
        <v>124.35</v>
      </c>
      <c r="K42" s="13">
        <v>1854.6480547917599</v>
      </c>
      <c r="L42" s="13">
        <v>619.056313789672</v>
      </c>
      <c r="M42" s="13">
        <v>97.0942618781108</v>
      </c>
      <c r="N42" s="13">
        <v>312.31193375884999</v>
      </c>
      <c r="O42" s="13">
        <v>143.28761569656999</v>
      </c>
      <c r="P42" s="13">
        <v>70.306140972398694</v>
      </c>
      <c r="Q42" s="13">
        <v>374.44813583684697</v>
      </c>
      <c r="R42" s="13">
        <v>83.538992857123304</v>
      </c>
      <c r="S42" s="13">
        <v>34.751843385903499</v>
      </c>
    </row>
    <row r="43" spans="1:19" x14ac:dyDescent="0.2">
      <c r="A43" s="13" t="s">
        <v>101</v>
      </c>
      <c r="B43" s="13" t="str" cm="1">
        <f t="array" aca="1" ref="B43" ca="1">_xlfn.TEXTJOIN("", TRUE, IFERROR(MID(A43, ROW(INDIRECT("1:" &amp; LEN(A43))), 1) * (ISNUMBER(--MID(A43, ROW(INDIRECT("1:" &amp; LEN(A43))), 1))), ""))</f>
        <v>887</v>
      </c>
      <c r="C43" s="14">
        <v>887</v>
      </c>
      <c r="D43" s="13">
        <v>285.84482758620697</v>
      </c>
      <c r="E43" s="13">
        <v>455.03740780512197</v>
      </c>
      <c r="F43" s="13">
        <v>166.240919464499</v>
      </c>
      <c r="G43" s="13">
        <v>188.61190565336099</v>
      </c>
      <c r="H43" s="13">
        <v>399.42857142857099</v>
      </c>
      <c r="I43" s="13">
        <v>266.95833333333297</v>
      </c>
      <c r="J43" s="13">
        <v>229</v>
      </c>
      <c r="K43" s="13">
        <v>576.01005385570897</v>
      </c>
      <c r="L43" s="13">
        <v>519.67006531617199</v>
      </c>
      <c r="M43" s="13">
        <v>214.84750004564199</v>
      </c>
      <c r="N43" s="13">
        <v>271.51394627185198</v>
      </c>
      <c r="O43" s="13">
        <v>121.068512814057</v>
      </c>
      <c r="P43" s="13">
        <v>146.75668867988199</v>
      </c>
      <c r="Q43" s="13">
        <v>356.93841595945003</v>
      </c>
      <c r="R43" s="13">
        <v>66.887076411615993</v>
      </c>
      <c r="S43" s="13">
        <v>35.785256498980601</v>
      </c>
    </row>
    <row r="44" spans="1:19" x14ac:dyDescent="0.2">
      <c r="A44" s="13" t="s">
        <v>102</v>
      </c>
      <c r="B44" s="13" t="str" cm="1">
        <f t="array" aca="1" ref="B44" ca="1">_xlfn.TEXTJOIN("", TRUE, IFERROR(MID(A44, ROW(INDIRECT("1:" &amp; LEN(A44))), 1) * (ISNUMBER(--MID(A44, ROW(INDIRECT("1:" &amp; LEN(A44))), 1))), ""))</f>
        <v>896</v>
      </c>
      <c r="C44" s="14">
        <v>896</v>
      </c>
      <c r="D44" s="13">
        <v>847.39655172413802</v>
      </c>
      <c r="E44" s="13">
        <v>973.71281204306194</v>
      </c>
      <c r="F44" s="13">
        <v>196.41289847507699</v>
      </c>
      <c r="G44" s="13">
        <v>163.905258663328</v>
      </c>
      <c r="H44" s="13">
        <v>613.21428571428601</v>
      </c>
      <c r="I44" s="13">
        <v>910.16666666666697</v>
      </c>
      <c r="J44" s="13">
        <v>936</v>
      </c>
      <c r="K44" s="13">
        <v>388.58810363380201</v>
      </c>
      <c r="L44" s="13">
        <v>949.22243366422197</v>
      </c>
      <c r="M44" s="13">
        <v>1251.9388480713999</v>
      </c>
      <c r="N44" s="13">
        <v>147.20481479288199</v>
      </c>
      <c r="O44" s="13">
        <v>195.72941846559399</v>
      </c>
      <c r="P44" s="13">
        <v>231.67873306399301</v>
      </c>
      <c r="Q44" s="13">
        <v>59.920184839689597</v>
      </c>
      <c r="R44" s="13">
        <v>121.409402189158</v>
      </c>
      <c r="S44" s="13">
        <v>237.406235501471</v>
      </c>
    </row>
    <row r="45" spans="1:19" x14ac:dyDescent="0.2">
      <c r="A45" s="13" t="s">
        <v>103</v>
      </c>
      <c r="B45" s="13" t="str" cm="1">
        <f t="array" aca="1" ref="B45" ca="1">_xlfn.TEXTJOIN("", TRUE, IFERROR(MID(A45, ROW(INDIRECT("1:" &amp; LEN(A45))), 1) * (ISNUMBER(--MID(A45, ROW(INDIRECT("1:" &amp; LEN(A45))), 1))), ""))</f>
        <v>933</v>
      </c>
      <c r="C45" s="14">
        <v>933</v>
      </c>
      <c r="D45" s="13">
        <v>661.86206896551698</v>
      </c>
      <c r="E45" s="13">
        <v>1079.9769449780099</v>
      </c>
      <c r="F45" s="13">
        <v>166.35718377172</v>
      </c>
      <c r="G45" s="13">
        <v>94.656293912088302</v>
      </c>
      <c r="H45" s="13">
        <v>316.42857142857099</v>
      </c>
      <c r="I45" s="13">
        <v>1366.125</v>
      </c>
      <c r="J45" s="13">
        <v>58.55</v>
      </c>
      <c r="K45" s="13">
        <v>227.639423525138</v>
      </c>
      <c r="L45" s="13">
        <v>1393.29299746525</v>
      </c>
      <c r="M45" s="13">
        <v>39.196751712706799</v>
      </c>
      <c r="N45" s="13">
        <v>173.19693570778</v>
      </c>
      <c r="O45" s="13">
        <v>224.50971547833899</v>
      </c>
      <c r="P45" s="13">
        <v>91.786319368536496</v>
      </c>
      <c r="Q45" s="13">
        <v>114.047979264654</v>
      </c>
      <c r="R45" s="13">
        <v>67.525462588075499</v>
      </c>
      <c r="S45" s="13">
        <v>45.963792450455699</v>
      </c>
    </row>
    <row r="46" spans="1:19" x14ac:dyDescent="0.2">
      <c r="A46" s="13" t="s">
        <v>34</v>
      </c>
      <c r="B46" s="13" t="str" cm="1">
        <f t="array" aca="1" ref="B46" ca="1">_xlfn.TEXTJOIN("", TRUE, IFERROR(MID(A46, ROW(INDIRECT("1:" &amp; LEN(A46))), 1) * (ISNUMBER(--MID(A46, ROW(INDIRECT("1:" &amp; LEN(A46))), 1))), ""))</f>
        <v>1005</v>
      </c>
      <c r="C46" s="14">
        <v>1005</v>
      </c>
      <c r="D46" s="13">
        <v>8942.9655172413804</v>
      </c>
      <c r="E46" s="13">
        <v>30233.175977953601</v>
      </c>
      <c r="F46" s="13">
        <v>444.01268721597</v>
      </c>
      <c r="G46" s="13">
        <v>705.47025941169602</v>
      </c>
      <c r="H46" s="13">
        <v>837</v>
      </c>
      <c r="I46" s="13">
        <v>109.708333333333</v>
      </c>
      <c r="J46" s="13">
        <v>25217.05</v>
      </c>
      <c r="K46" s="13">
        <v>1882.3503326958</v>
      </c>
      <c r="L46" s="13">
        <v>105.972932864954</v>
      </c>
      <c r="M46" s="13">
        <v>47851.220386799301</v>
      </c>
      <c r="N46" s="13">
        <v>291.07507680345401</v>
      </c>
      <c r="O46" s="13">
        <v>110.15352459911701</v>
      </c>
      <c r="P46" s="13">
        <v>951.700009644955</v>
      </c>
      <c r="Q46" s="13">
        <v>419.91774572889699</v>
      </c>
      <c r="R46" s="13">
        <v>88.762935825161193</v>
      </c>
      <c r="S46" s="13">
        <v>960.64999206402001</v>
      </c>
    </row>
    <row r="47" spans="1:19" x14ac:dyDescent="0.2">
      <c r="A47" s="13" t="s">
        <v>36</v>
      </c>
      <c r="B47" s="13" t="str" cm="1">
        <f t="array" aca="1" ref="B47" ca="1">_xlfn.TEXTJOIN("", TRUE, IFERROR(MID(A47, ROW(INDIRECT("1:" &amp; LEN(A47))), 1) * (ISNUMBER(--MID(A47, ROW(INDIRECT("1:" &amp; LEN(A47))), 1))), ""))</f>
        <v>1025</v>
      </c>
      <c r="C47" s="14">
        <v>1025</v>
      </c>
      <c r="D47" s="13">
        <v>692.56896551724105</v>
      </c>
      <c r="E47" s="13">
        <v>1192.9258836126801</v>
      </c>
      <c r="F47" s="13">
        <v>164.66510147071801</v>
      </c>
      <c r="G47" s="13">
        <v>115.40259751713501</v>
      </c>
      <c r="H47" s="13">
        <v>1565.2857142857099</v>
      </c>
      <c r="I47" s="13">
        <v>606.66666666666697</v>
      </c>
      <c r="J47" s="13">
        <v>184.75</v>
      </c>
      <c r="K47" s="13">
        <v>2076.0469080166999</v>
      </c>
      <c r="L47" s="13">
        <v>572.68496700068101</v>
      </c>
      <c r="M47" s="13">
        <v>156.417751329683</v>
      </c>
      <c r="N47" s="13">
        <v>280.04253261412401</v>
      </c>
      <c r="O47" s="13">
        <v>164.49403587921501</v>
      </c>
      <c r="P47" s="13">
        <v>84.106178380138303</v>
      </c>
      <c r="Q47" s="13">
        <v>145.262686774017</v>
      </c>
      <c r="R47" s="13">
        <v>80.985995248268296</v>
      </c>
      <c r="S47" s="13">
        <v>25.9326147653627</v>
      </c>
    </row>
    <row r="48" spans="1:19" x14ac:dyDescent="0.2">
      <c r="A48" s="13" t="s">
        <v>37</v>
      </c>
      <c r="B48" s="13" t="str" cm="1">
        <f t="array" aca="1" ref="B48" ca="1">_xlfn.TEXTJOIN("", TRUE, IFERROR(MID(A48, ROW(INDIRECT("1:" &amp; LEN(A48))), 1) * (ISNUMBER(--MID(A48, ROW(INDIRECT("1:" &amp; LEN(A48))), 1))), ""))</f>
        <v>1027</v>
      </c>
      <c r="C48" s="14">
        <v>1027</v>
      </c>
      <c r="D48" s="13">
        <v>1439.43103448276</v>
      </c>
      <c r="E48" s="13">
        <v>4672.4798195169396</v>
      </c>
      <c r="F48" s="13">
        <v>300.38401899194599</v>
      </c>
      <c r="G48" s="13">
        <v>374.88060387464202</v>
      </c>
      <c r="H48" s="13">
        <v>1402.92857142857</v>
      </c>
      <c r="I48" s="13">
        <v>176.875</v>
      </c>
      <c r="J48" s="13">
        <v>2980.05</v>
      </c>
      <c r="K48" s="13">
        <v>2914.5097455906498</v>
      </c>
      <c r="L48" s="13">
        <v>174.89439160329201</v>
      </c>
      <c r="M48" s="13">
        <v>7376.5261253823501</v>
      </c>
      <c r="N48" s="13">
        <v>295.166840476728</v>
      </c>
      <c r="O48" s="13">
        <v>219.633803397615</v>
      </c>
      <c r="P48" s="13">
        <v>400.93630266579498</v>
      </c>
      <c r="Q48" s="13">
        <v>305.39640558912402</v>
      </c>
      <c r="R48" s="13">
        <v>128.19710985199899</v>
      </c>
      <c r="S48" s="13">
        <v>560.38371911512502</v>
      </c>
    </row>
    <row r="49" spans="1:19" x14ac:dyDescent="0.2">
      <c r="A49" s="13" t="s">
        <v>40</v>
      </c>
      <c r="B49" s="13" t="str" cm="1">
        <f t="array" aca="1" ref="B49" ca="1">_xlfn.TEXTJOIN("", TRUE, IFERROR(MID(A49, ROW(INDIRECT("1:" &amp; LEN(A49))), 1) * (ISNUMBER(--MID(A49, ROW(INDIRECT("1:" &amp; LEN(A49))), 1))), ""))</f>
        <v>1107</v>
      </c>
      <c r="C49" s="14">
        <v>1107</v>
      </c>
      <c r="D49" s="13">
        <v>397.62068965517199</v>
      </c>
      <c r="E49" s="13">
        <v>1024.1295991455499</v>
      </c>
      <c r="F49" s="13">
        <v>197.599288515648</v>
      </c>
      <c r="G49" s="13">
        <v>246.609436785627</v>
      </c>
      <c r="H49" s="13">
        <v>227.5</v>
      </c>
      <c r="I49" s="13">
        <v>792.25</v>
      </c>
      <c r="J49" s="13">
        <v>43.15</v>
      </c>
      <c r="K49" s="13">
        <v>290.44444391311703</v>
      </c>
      <c r="L49" s="13">
        <v>1496.8960527896199</v>
      </c>
      <c r="M49" s="13">
        <v>60.2215951070825</v>
      </c>
      <c r="N49" s="13">
        <v>258.789345383068</v>
      </c>
      <c r="O49" s="13">
        <v>286.00576650097202</v>
      </c>
      <c r="P49" s="13">
        <v>48.678475126065202</v>
      </c>
      <c r="Q49" s="13">
        <v>379.07346834050003</v>
      </c>
      <c r="R49" s="13">
        <v>192.99204458473901</v>
      </c>
      <c r="S49" s="13">
        <v>30.702511186237199</v>
      </c>
    </row>
    <row r="50" spans="1:19" x14ac:dyDescent="0.2">
      <c r="A50" s="13" t="s">
        <v>41</v>
      </c>
      <c r="B50" s="13" t="str" cm="1">
        <f t="array" aca="1" ref="B50" ca="1">_xlfn.TEXTJOIN("", TRUE, IFERROR(MID(A50, ROW(INDIRECT("1:" &amp; LEN(A50))), 1) * (ISNUMBER(--MID(A50, ROW(INDIRECT("1:" &amp; LEN(A50))), 1))), ""))</f>
        <v>1178</v>
      </c>
      <c r="C50" s="14">
        <v>1178</v>
      </c>
      <c r="D50" s="13">
        <v>3342.8793103448302</v>
      </c>
      <c r="E50" s="13">
        <v>4508.7560619913502</v>
      </c>
      <c r="F50" s="13">
        <v>364.17257046954597</v>
      </c>
      <c r="G50" s="13">
        <v>257.79266604338699</v>
      </c>
      <c r="H50" s="13">
        <v>3163.6428571428601</v>
      </c>
      <c r="I50" s="13">
        <v>2277.25</v>
      </c>
      <c r="J50" s="13">
        <v>4747.1000000000004</v>
      </c>
      <c r="K50" s="13">
        <v>2642.0713850256602</v>
      </c>
      <c r="L50" s="13">
        <v>2319.0930909055201</v>
      </c>
      <c r="M50" s="13">
        <v>6745.9467593000099</v>
      </c>
      <c r="N50" s="13">
        <v>348.98519788520798</v>
      </c>
      <c r="O50" s="13">
        <v>282.21946947116402</v>
      </c>
      <c r="P50" s="13">
        <v>473.147452476642</v>
      </c>
      <c r="Q50" s="13">
        <v>116.059163749329</v>
      </c>
      <c r="R50" s="13">
        <v>172.16185106613599</v>
      </c>
      <c r="S50" s="13">
        <v>362.25472724960701</v>
      </c>
    </row>
    <row r="51" spans="1:19" x14ac:dyDescent="0.2">
      <c r="A51" s="13" t="s">
        <v>42</v>
      </c>
      <c r="B51" s="13" t="str" cm="1">
        <f t="array" aca="1" ref="B51" ca="1">_xlfn.TEXTJOIN("", TRUE, IFERROR(MID(A51, ROW(INDIRECT("1:" &amp; LEN(A51))), 1) * (ISNUMBER(--MID(A51, ROW(INDIRECT("1:" &amp; LEN(A51))), 1))), ""))</f>
        <v>1188</v>
      </c>
      <c r="C51" s="14">
        <v>1188</v>
      </c>
      <c r="D51" s="13">
        <v>974.93103448275895</v>
      </c>
      <c r="E51" s="13">
        <v>1357.14659876422</v>
      </c>
      <c r="F51" s="13">
        <v>166.14927244591999</v>
      </c>
      <c r="G51" s="13">
        <v>170.80539962903501</v>
      </c>
      <c r="H51" s="13">
        <v>1900.07142857143</v>
      </c>
      <c r="I51" s="13">
        <v>1247.7083333333301</v>
      </c>
      <c r="J51" s="13">
        <v>0</v>
      </c>
      <c r="K51" s="13">
        <v>1546.8156425841</v>
      </c>
      <c r="L51" s="13">
        <v>1324.26902950269</v>
      </c>
      <c r="M51" s="13">
        <v>0</v>
      </c>
      <c r="N51" s="13">
        <v>224.58532526734501</v>
      </c>
      <c r="O51" s="13">
        <v>270.51930200502102</v>
      </c>
      <c r="P51" s="13">
        <v>0</v>
      </c>
      <c r="Q51" s="13">
        <v>95.515288067971099</v>
      </c>
      <c r="R51" s="13">
        <v>171.922982369896</v>
      </c>
      <c r="S51" s="13">
        <v>0</v>
      </c>
    </row>
    <row r="52" spans="1:19" x14ac:dyDescent="0.2">
      <c r="A52" s="13" t="s">
        <v>43</v>
      </c>
      <c r="B52" s="13" t="str" cm="1">
        <f t="array" aca="1" ref="B52" ca="1">_xlfn.TEXTJOIN("", TRUE, IFERROR(MID(A52, ROW(INDIRECT("1:" &amp; LEN(A52))), 1) * (ISNUMBER(--MID(A52, ROW(INDIRECT("1:" &amp; LEN(A52))), 1))), ""))</f>
        <v>1198</v>
      </c>
      <c r="C52" s="14">
        <v>1198</v>
      </c>
      <c r="D52" s="13">
        <v>561.48275862068999</v>
      </c>
      <c r="E52" s="13">
        <v>1622.44742712023</v>
      </c>
      <c r="F52" s="13">
        <v>121.303712824633</v>
      </c>
      <c r="G52" s="13">
        <v>228.14791989028799</v>
      </c>
      <c r="H52" s="13">
        <v>1695.07142857143</v>
      </c>
      <c r="I52" s="13">
        <v>368.125</v>
      </c>
      <c r="J52" s="13">
        <v>0</v>
      </c>
      <c r="K52" s="13">
        <v>2987.4923693865499</v>
      </c>
      <c r="L52" s="13">
        <v>536.90482496568097</v>
      </c>
      <c r="M52" s="13">
        <v>0</v>
      </c>
      <c r="N52" s="13">
        <v>296.714603579737</v>
      </c>
      <c r="O52" s="13">
        <v>120.06712057135</v>
      </c>
      <c r="P52" s="13">
        <v>0</v>
      </c>
      <c r="Q52" s="13">
        <v>407.08951964872102</v>
      </c>
      <c r="R52" s="13">
        <v>46.0892932516022</v>
      </c>
      <c r="S52" s="13">
        <v>0</v>
      </c>
    </row>
    <row r="53" spans="1:19" x14ac:dyDescent="0.2">
      <c r="A53" s="13" t="s">
        <v>44</v>
      </c>
      <c r="B53" s="13" t="str" cm="1">
        <f t="array" aca="1" ref="B53" ca="1">_xlfn.TEXTJOIN("", TRUE, IFERROR(MID(A53, ROW(INDIRECT("1:" &amp; LEN(A53))), 1) * (ISNUMBER(--MID(A53, ROW(INDIRECT("1:" &amp; LEN(A53))), 1))), ""))</f>
        <v>1230</v>
      </c>
      <c r="C53" s="14">
        <v>1230</v>
      </c>
      <c r="D53" s="13">
        <v>494.068965517241</v>
      </c>
      <c r="E53" s="13">
        <v>736.28914857189898</v>
      </c>
      <c r="F53" s="13">
        <v>145.429340154171</v>
      </c>
      <c r="G53" s="13">
        <v>267.32813008412899</v>
      </c>
      <c r="H53" s="13">
        <v>0</v>
      </c>
      <c r="I53" s="13">
        <v>407.83333333333297</v>
      </c>
      <c r="J53" s="13">
        <v>943.4</v>
      </c>
      <c r="K53" s="13">
        <v>0</v>
      </c>
      <c r="L53" s="13">
        <v>319.20354008061997</v>
      </c>
      <c r="M53" s="13">
        <v>1043.9551813606099</v>
      </c>
      <c r="N53" s="13">
        <v>0</v>
      </c>
      <c r="O53" s="13">
        <v>129.80805364488799</v>
      </c>
      <c r="P53" s="13">
        <v>265.97542207322999</v>
      </c>
      <c r="Q53" s="13">
        <v>0</v>
      </c>
      <c r="R53" s="13">
        <v>48.934790749001898</v>
      </c>
      <c r="S53" s="13">
        <v>422.36002172596699</v>
      </c>
    </row>
    <row r="54" spans="1:19" x14ac:dyDescent="0.2">
      <c r="A54" s="13" t="s">
        <v>58</v>
      </c>
      <c r="B54" s="13" t="str" cm="1">
        <f t="array" aca="1" ref="B54" ca="1">_xlfn.TEXTJOIN("", TRUE, IFERROR(MID(A54, ROW(INDIRECT("1:" &amp; LEN(A54))), 1) * (ISNUMBER(--MID(A54, ROW(INDIRECT("1:" &amp; LEN(A54))), 1))), ""))</f>
        <v>2002</v>
      </c>
      <c r="C54" s="14">
        <v>2002</v>
      </c>
      <c r="D54" s="13">
        <v>1474.8793103448299</v>
      </c>
      <c r="E54" s="13">
        <v>2627.0663417114201</v>
      </c>
      <c r="F54" s="13">
        <v>189.77402193206601</v>
      </c>
      <c r="G54" s="13">
        <v>111.722231072507</v>
      </c>
      <c r="H54" s="13">
        <v>815.5</v>
      </c>
      <c r="I54" s="13">
        <v>1951.4583333333301</v>
      </c>
      <c r="J54" s="13">
        <v>1364.55</v>
      </c>
      <c r="K54" s="13">
        <v>1113.05138021567</v>
      </c>
      <c r="L54" s="13">
        <v>3792.7662791443199</v>
      </c>
      <c r="M54" s="13">
        <v>1281.1574733621601</v>
      </c>
      <c r="N54" s="13">
        <v>162.811678361302</v>
      </c>
      <c r="O54" s="13">
        <v>201.47762890920001</v>
      </c>
      <c r="P54" s="13">
        <v>194.60333405904001</v>
      </c>
      <c r="Q54" s="13">
        <v>64.967952623304598</v>
      </c>
      <c r="R54" s="13">
        <v>137.61171818115301</v>
      </c>
      <c r="S54" s="13">
        <v>102.609310767678</v>
      </c>
    </row>
    <row r="55" spans="1:19" x14ac:dyDescent="0.2">
      <c r="A55" s="13" t="s">
        <v>59</v>
      </c>
      <c r="B55" s="13" t="str" cm="1">
        <f t="array" aca="1" ref="B55" ca="1">_xlfn.TEXTJOIN("", TRUE, IFERROR(MID(A55, ROW(INDIRECT("1:" &amp; LEN(A55))), 1) * (ISNUMBER(--MID(A55, ROW(INDIRECT("1:" &amp; LEN(A55))), 1))), ""))</f>
        <v>2006</v>
      </c>
      <c r="C55" s="14">
        <v>2006</v>
      </c>
      <c r="D55" s="13">
        <v>104.327586206897</v>
      </c>
      <c r="E55" s="13">
        <v>146.82787002541099</v>
      </c>
      <c r="F55" s="13">
        <v>55.002427286217198</v>
      </c>
      <c r="G55" s="13">
        <v>53.186662762136599</v>
      </c>
      <c r="H55" s="13">
        <v>77.071428571428598</v>
      </c>
      <c r="I55" s="13">
        <v>207.166666666667</v>
      </c>
      <c r="J55" s="13">
        <v>0</v>
      </c>
      <c r="K55" s="13">
        <v>58.1389038670075</v>
      </c>
      <c r="L55" s="13">
        <v>174.320066872078</v>
      </c>
      <c r="M55" s="13">
        <v>0</v>
      </c>
      <c r="N55" s="13">
        <v>93.509250319292704</v>
      </c>
      <c r="O55" s="13">
        <v>78.375469922104202</v>
      </c>
      <c r="P55" s="13">
        <v>0</v>
      </c>
      <c r="Q55" s="13">
        <v>60.308658867985699</v>
      </c>
      <c r="R55" s="13">
        <v>28.771446713659898</v>
      </c>
      <c r="S55" s="13">
        <v>0</v>
      </c>
    </row>
    <row r="56" spans="1:19" x14ac:dyDescent="0.2">
      <c r="A56" s="13" t="s">
        <v>60</v>
      </c>
      <c r="B56" s="13" t="str" cm="1">
        <f t="array" aca="1" ref="B56" ca="1">_xlfn.TEXTJOIN("", TRUE, IFERROR(MID(A56, ROW(INDIRECT("1:" &amp; LEN(A56))), 1) * (ISNUMBER(--MID(A56, ROW(INDIRECT("1:" &amp; LEN(A56))), 1))), ""))</f>
        <v>2008</v>
      </c>
      <c r="C56" s="14">
        <v>2008</v>
      </c>
      <c r="D56" s="13">
        <v>790.36206896551698</v>
      </c>
      <c r="E56" s="13">
        <v>962.95911940098995</v>
      </c>
      <c r="F56" s="13">
        <v>192.22536198019199</v>
      </c>
      <c r="G56" s="13">
        <v>138.04935256718201</v>
      </c>
      <c r="H56" s="13">
        <v>1193.6428571428601</v>
      </c>
      <c r="I56" s="13">
        <v>766.79166666666697</v>
      </c>
      <c r="J56" s="13">
        <v>536.35</v>
      </c>
      <c r="K56" s="13">
        <v>1089.07670922274</v>
      </c>
      <c r="L56" s="13">
        <v>1136.2184546933399</v>
      </c>
      <c r="M56" s="13">
        <v>434.28341989201402</v>
      </c>
      <c r="N56" s="13">
        <v>198.277041395407</v>
      </c>
      <c r="O56" s="13">
        <v>184.49352178526601</v>
      </c>
      <c r="P56" s="13">
        <v>197.26739462345199</v>
      </c>
      <c r="Q56" s="13">
        <v>97.802774434577202</v>
      </c>
      <c r="R56" s="13">
        <v>180.56704556141301</v>
      </c>
      <c r="S56" s="13">
        <v>102.184432559692</v>
      </c>
    </row>
    <row r="57" spans="1:19" x14ac:dyDescent="0.2">
      <c r="A57" s="13" t="s">
        <v>61</v>
      </c>
      <c r="B57" s="13" t="str" cm="1">
        <f t="array" aca="1" ref="B57" ca="1">_xlfn.TEXTJOIN("", TRUE, IFERROR(MID(A57, ROW(INDIRECT("1:" &amp; LEN(A57))), 1) * (ISNUMBER(--MID(A57, ROW(INDIRECT("1:" &amp; LEN(A57))), 1))), ""))</f>
        <v>2009</v>
      </c>
      <c r="C57" s="14">
        <v>2009</v>
      </c>
      <c r="D57" s="13">
        <v>225.172413793103</v>
      </c>
      <c r="E57" s="13">
        <v>226.32548628420099</v>
      </c>
      <c r="F57" s="13">
        <v>89.739827001511003</v>
      </c>
      <c r="G57" s="13">
        <v>39.181569686861899</v>
      </c>
      <c r="H57" s="13">
        <v>256</v>
      </c>
      <c r="I57" s="13">
        <v>175.083333333333</v>
      </c>
      <c r="J57" s="13">
        <v>263.7</v>
      </c>
      <c r="K57" s="13">
        <v>283.55356636797899</v>
      </c>
      <c r="L57" s="13">
        <v>149.28527341014899</v>
      </c>
      <c r="M57" s="13">
        <v>253.41272727475101</v>
      </c>
      <c r="N57" s="13">
        <v>89.328946162208496</v>
      </c>
      <c r="O57" s="13">
        <v>73.080372645950604</v>
      </c>
      <c r="P57" s="13">
        <v>110.018788815695</v>
      </c>
      <c r="Q57" s="13">
        <v>42.723133952376699</v>
      </c>
      <c r="R57" s="13">
        <v>28.583503140318001</v>
      </c>
      <c r="S57" s="13">
        <v>39.213789451432397</v>
      </c>
    </row>
    <row r="58" spans="1:19" x14ac:dyDescent="0.2">
      <c r="A58" s="13" t="s">
        <v>62</v>
      </c>
      <c r="B58" s="13" t="str" cm="1">
        <f t="array" aca="1" ref="B58" ca="1">_xlfn.TEXTJOIN("", TRUE, IFERROR(MID(A58, ROW(INDIRECT("1:" &amp; LEN(A58))), 1) * (ISNUMBER(--MID(A58, ROW(INDIRECT("1:" &amp; LEN(A58))), 1))), ""))</f>
        <v>2010</v>
      </c>
      <c r="C58" s="14">
        <v>2010</v>
      </c>
      <c r="D58" s="13">
        <v>1807.1551724137901</v>
      </c>
      <c r="E58" s="13">
        <v>2425.0700712848602</v>
      </c>
      <c r="F58" s="13">
        <v>236.329653302525</v>
      </c>
      <c r="G58" s="13">
        <v>146.01314817485201</v>
      </c>
      <c r="H58" s="13">
        <v>1174</v>
      </c>
      <c r="I58" s="13">
        <v>1185</v>
      </c>
      <c r="J58" s="13">
        <v>2996.95</v>
      </c>
      <c r="K58" s="13">
        <v>586.58989080958395</v>
      </c>
      <c r="L58" s="13">
        <v>1393.1358973809499</v>
      </c>
      <c r="M58" s="13">
        <v>3553.1944596522499</v>
      </c>
      <c r="N58" s="13">
        <v>190.35076235191801</v>
      </c>
      <c r="O58" s="13">
        <v>196.113183475021</v>
      </c>
      <c r="P58" s="13">
        <v>316.774640760956</v>
      </c>
      <c r="Q58" s="13">
        <v>33.9746895111588</v>
      </c>
      <c r="R58" s="13">
        <v>127.047406933972</v>
      </c>
      <c r="S58" s="13">
        <v>180.871629850674</v>
      </c>
    </row>
    <row r="59" spans="1:19" x14ac:dyDescent="0.2">
      <c r="A59" s="13" t="s">
        <v>63</v>
      </c>
      <c r="B59" s="13" t="str" cm="1">
        <f t="array" aca="1" ref="B59" ca="1">_xlfn.TEXTJOIN("", TRUE, IFERROR(MID(A59, ROW(INDIRECT("1:" &amp; LEN(A59))), 1) * (ISNUMBER(--MID(A59, ROW(INDIRECT("1:" &amp; LEN(A59))), 1))), ""))</f>
        <v>2011</v>
      </c>
      <c r="C59" s="14">
        <v>2011</v>
      </c>
      <c r="D59" s="13">
        <v>1700.5</v>
      </c>
      <c r="E59" s="13">
        <v>2896.32676851214</v>
      </c>
      <c r="F59" s="13">
        <v>392.365510895456</v>
      </c>
      <c r="G59" s="13">
        <v>501.40633239026499</v>
      </c>
      <c r="H59" s="13">
        <v>3234.7857142857101</v>
      </c>
      <c r="I59" s="13">
        <v>190.541666666667</v>
      </c>
      <c r="J59" s="13">
        <v>2438.4499999999998</v>
      </c>
      <c r="K59" s="13">
        <v>4403.1194270977603</v>
      </c>
      <c r="L59" s="13">
        <v>255.98402224134401</v>
      </c>
      <c r="M59" s="13">
        <v>2515.7120276443602</v>
      </c>
      <c r="N59" s="13">
        <v>844.80081548100497</v>
      </c>
      <c r="O59" s="13">
        <v>142.14770012429199</v>
      </c>
      <c r="P59" s="13">
        <v>375.92217061096898</v>
      </c>
      <c r="Q59" s="13">
        <v>811.642404754371</v>
      </c>
      <c r="R59" s="13">
        <v>154.31533245496499</v>
      </c>
      <c r="S59" s="13">
        <v>190.434932263191</v>
      </c>
    </row>
    <row r="60" spans="1:19" x14ac:dyDescent="0.2">
      <c r="A60" s="13" t="s">
        <v>64</v>
      </c>
      <c r="B60" s="13" t="str" cm="1">
        <f t="array" aca="1" ref="B60" ca="1">_xlfn.TEXTJOIN("", TRUE, IFERROR(MID(A60, ROW(INDIRECT("1:" &amp; LEN(A60))), 1) * (ISNUMBER(--MID(A60, ROW(INDIRECT("1:" &amp; LEN(A60))), 1))), ""))</f>
        <v>2012</v>
      </c>
      <c r="C60" s="14">
        <v>2012</v>
      </c>
      <c r="D60" s="13">
        <v>1651.3275862068999</v>
      </c>
      <c r="E60" s="13">
        <v>2417.5482990143901</v>
      </c>
      <c r="F60" s="13">
        <v>295.79411540379903</v>
      </c>
      <c r="G60" s="13">
        <v>286.51703581492802</v>
      </c>
      <c r="H60" s="13">
        <v>3387.2142857142899</v>
      </c>
      <c r="I60" s="13">
        <v>973.375</v>
      </c>
      <c r="J60" s="13">
        <v>1249.75</v>
      </c>
      <c r="K60" s="13">
        <v>2070.7179888351998</v>
      </c>
      <c r="L60" s="13">
        <v>2646.20479548406</v>
      </c>
      <c r="M60" s="13">
        <v>1733.29828973749</v>
      </c>
      <c r="N60" s="13">
        <v>333.72989633138002</v>
      </c>
      <c r="O60" s="13">
        <v>177.551121185341</v>
      </c>
      <c r="P60" s="13">
        <v>411.130661816643</v>
      </c>
      <c r="Q60" s="13">
        <v>143.60232725260801</v>
      </c>
      <c r="R60" s="13">
        <v>181.31141652717901</v>
      </c>
      <c r="S60" s="13">
        <v>396.722288023739</v>
      </c>
    </row>
    <row r="61" spans="1:19" x14ac:dyDescent="0.2">
      <c r="A61" s="13" t="s">
        <v>65</v>
      </c>
      <c r="B61" s="13" t="str" cm="1">
        <f t="array" aca="1" ref="B61" ca="1">_xlfn.TEXTJOIN("", TRUE, IFERROR(MID(A61, ROW(INDIRECT("1:" &amp; LEN(A61))), 1) * (ISNUMBER(--MID(A61, ROW(INDIRECT("1:" &amp; LEN(A61))), 1))), ""))</f>
        <v>2013</v>
      </c>
      <c r="C61" s="14">
        <v>2013</v>
      </c>
      <c r="D61" s="13">
        <v>839.94827586206895</v>
      </c>
      <c r="E61" s="13">
        <v>585.408538695179</v>
      </c>
      <c r="F61" s="13">
        <v>147.57711911280401</v>
      </c>
      <c r="G61" s="13">
        <v>47.198617039018202</v>
      </c>
      <c r="H61" s="13">
        <v>1106.1428571428601</v>
      </c>
      <c r="I61" s="13">
        <v>733.45833333333303</v>
      </c>
      <c r="J61" s="13">
        <v>781.4</v>
      </c>
      <c r="K61" s="13">
        <v>623.52498231540699</v>
      </c>
      <c r="L61" s="13">
        <v>598.28058843656299</v>
      </c>
      <c r="M61" s="13">
        <v>497.22622687229102</v>
      </c>
      <c r="N61" s="13">
        <v>167.38185189720599</v>
      </c>
      <c r="O61" s="13">
        <v>145.56582193318701</v>
      </c>
      <c r="P61" s="13">
        <v>136.12736277926399</v>
      </c>
      <c r="Q61" s="13">
        <v>48.780903867684003</v>
      </c>
      <c r="R61" s="13">
        <v>47.558267425124903</v>
      </c>
      <c r="S61" s="13">
        <v>42.5536407247765</v>
      </c>
    </row>
    <row r="62" spans="1:19" x14ac:dyDescent="0.2">
      <c r="A62" s="13" t="s">
        <v>66</v>
      </c>
      <c r="B62" s="13" t="str" cm="1">
        <f t="array" aca="1" ref="B62" ca="1">_xlfn.TEXTJOIN("", TRUE, IFERROR(MID(A62, ROW(INDIRECT("1:" &amp; LEN(A62))), 1) * (ISNUMBER(--MID(A62, ROW(INDIRECT("1:" &amp; LEN(A62))), 1))), ""))</f>
        <v>2014</v>
      </c>
      <c r="C62" s="14">
        <v>2014</v>
      </c>
      <c r="D62" s="13">
        <v>169.568965517241</v>
      </c>
      <c r="E62" s="13">
        <v>313.98529046806101</v>
      </c>
      <c r="F62" s="13">
        <v>71.383915152157499</v>
      </c>
      <c r="G62" s="13">
        <v>82.879293144886105</v>
      </c>
      <c r="H62" s="13">
        <v>117.642857142857</v>
      </c>
      <c r="I62" s="13">
        <v>341.16666666666703</v>
      </c>
      <c r="J62" s="13">
        <v>0</v>
      </c>
      <c r="K62" s="13">
        <v>151.205831803633</v>
      </c>
      <c r="L62" s="13">
        <v>415.48312669882102</v>
      </c>
      <c r="M62" s="13">
        <v>0</v>
      </c>
      <c r="N62" s="13">
        <v>92.079673038852405</v>
      </c>
      <c r="O62" s="13">
        <v>118.797985678383</v>
      </c>
      <c r="P62" s="13">
        <v>0</v>
      </c>
      <c r="Q62" s="13">
        <v>84.568042556565004</v>
      </c>
      <c r="R62" s="13">
        <v>76.513505055286998</v>
      </c>
      <c r="S62" s="13">
        <v>0</v>
      </c>
    </row>
    <row r="63" spans="1:19" x14ac:dyDescent="0.2">
      <c r="A63" s="13" t="s">
        <v>67</v>
      </c>
      <c r="B63" s="13" t="str" cm="1">
        <f t="array" aca="1" ref="B63" ca="1">_xlfn.TEXTJOIN("", TRUE, IFERROR(MID(A63, ROW(INDIRECT("1:" &amp; LEN(A63))), 1) * (ISNUMBER(--MID(A63, ROW(INDIRECT("1:" &amp; LEN(A63))), 1))), ""))</f>
        <v>2015</v>
      </c>
      <c r="C63" s="14">
        <v>2015</v>
      </c>
      <c r="D63" s="13">
        <v>607.32758620689594</v>
      </c>
      <c r="E63" s="13">
        <v>1314.32551635852</v>
      </c>
      <c r="F63" s="13">
        <v>195.014137303361</v>
      </c>
      <c r="G63" s="13">
        <v>339.02651090446199</v>
      </c>
      <c r="H63" s="13">
        <v>746.07142857142901</v>
      </c>
      <c r="I63" s="13">
        <v>200.875</v>
      </c>
      <c r="J63" s="13">
        <v>997.95</v>
      </c>
      <c r="K63" s="13">
        <v>1627.9481739732601</v>
      </c>
      <c r="L63" s="13">
        <v>389.98907264911202</v>
      </c>
      <c r="M63" s="13">
        <v>1653.67064200867</v>
      </c>
      <c r="N63" s="13">
        <v>256.44548731641299</v>
      </c>
      <c r="O63" s="13">
        <v>92.503021012246293</v>
      </c>
      <c r="P63" s="13">
        <v>275.02553184356299</v>
      </c>
      <c r="Q63" s="13">
        <v>492.51959282381301</v>
      </c>
      <c r="R63" s="13">
        <v>88.753955536511995</v>
      </c>
      <c r="S63" s="13">
        <v>376.36761393330698</v>
      </c>
    </row>
    <row r="64" spans="1:19" x14ac:dyDescent="0.2">
      <c r="A64" s="13" t="s">
        <v>68</v>
      </c>
      <c r="B64" s="13" t="str" cm="1">
        <f t="array" aca="1" ref="B64" ca="1">_xlfn.TEXTJOIN("", TRUE, IFERROR(MID(A64, ROW(INDIRECT("1:" &amp; LEN(A64))), 1) * (ISNUMBER(--MID(A64, ROW(INDIRECT("1:" &amp; LEN(A64))), 1))), ""))</f>
        <v>2016</v>
      </c>
      <c r="C64" s="14">
        <v>2016</v>
      </c>
      <c r="D64" s="13">
        <v>4244.8448275862102</v>
      </c>
      <c r="E64" s="13">
        <v>11147.0693093679</v>
      </c>
      <c r="F64" s="13">
        <v>397.49351989260998</v>
      </c>
      <c r="G64" s="13">
        <v>463.64474339046802</v>
      </c>
      <c r="H64" s="13">
        <v>8402</v>
      </c>
      <c r="I64" s="13">
        <v>1282.2083333333301</v>
      </c>
      <c r="J64" s="13">
        <v>4890</v>
      </c>
      <c r="K64" s="13">
        <v>18303.388231417699</v>
      </c>
      <c r="L64" s="13">
        <v>1416.2196630214401</v>
      </c>
      <c r="M64" s="13">
        <v>10544.2399588754</v>
      </c>
      <c r="N64" s="13">
        <v>469.72056447498301</v>
      </c>
      <c r="O64" s="13">
        <v>251.41667453147701</v>
      </c>
      <c r="P64" s="13">
        <v>522.22680311830902</v>
      </c>
      <c r="Q64" s="13">
        <v>549.64278014989998</v>
      </c>
      <c r="R64" s="13">
        <v>156.87632636915501</v>
      </c>
      <c r="S64" s="13">
        <v>594.19975226267798</v>
      </c>
    </row>
    <row r="65" spans="1:19" x14ac:dyDescent="0.2">
      <c r="A65" s="13" t="s">
        <v>69</v>
      </c>
      <c r="B65" s="13" t="str" cm="1">
        <f t="array" aca="1" ref="B65" ca="1">_xlfn.TEXTJOIN("", TRUE, IFERROR(MID(A65, ROW(INDIRECT("1:" &amp; LEN(A65))), 1) * (ISNUMBER(--MID(A65, ROW(INDIRECT("1:" &amp; LEN(A65))), 1))), ""))</f>
        <v>2017</v>
      </c>
      <c r="C65" s="14">
        <v>2017</v>
      </c>
      <c r="D65" s="13">
        <v>26081.017241379301</v>
      </c>
      <c r="E65" s="13">
        <v>30324.230357902201</v>
      </c>
      <c r="F65" s="13">
        <v>1054.31825154891</v>
      </c>
      <c r="G65" s="13">
        <v>453.71139474844398</v>
      </c>
      <c r="H65" s="13">
        <v>19903.571428571398</v>
      </c>
      <c r="I65" s="13">
        <v>35554.916666666701</v>
      </c>
      <c r="J65" s="13">
        <v>19036.55</v>
      </c>
      <c r="K65" s="13">
        <v>23946.626370579699</v>
      </c>
      <c r="L65" s="13">
        <v>36224.944453570701</v>
      </c>
      <c r="M65" s="13">
        <v>23608.396552538201</v>
      </c>
      <c r="N65" s="13">
        <v>886.47326893060495</v>
      </c>
      <c r="O65" s="13">
        <v>1245.9568884958101</v>
      </c>
      <c r="P65" s="13">
        <v>941.84337504544601</v>
      </c>
      <c r="Q65" s="13">
        <v>572.98962571106404</v>
      </c>
      <c r="R65" s="13">
        <v>349.40651062198702</v>
      </c>
      <c r="S65" s="13">
        <v>397.00997290997401</v>
      </c>
    </row>
    <row r="66" spans="1:19" x14ac:dyDescent="0.2">
      <c r="A66" s="13" t="s">
        <v>70</v>
      </c>
      <c r="B66" s="13" t="str" cm="1">
        <f t="array" aca="1" ref="B66" ca="1">_xlfn.TEXTJOIN("", TRUE, IFERROR(MID(A66, ROW(INDIRECT("1:" &amp; LEN(A66))), 1) * (ISNUMBER(--MID(A66, ROW(INDIRECT("1:" &amp; LEN(A66))), 1))), ""))</f>
        <v>2018</v>
      </c>
      <c r="C66" s="14">
        <v>2018</v>
      </c>
      <c r="D66" s="13">
        <v>2224.89655172414</v>
      </c>
      <c r="E66" s="13">
        <v>2992.4664781572701</v>
      </c>
      <c r="F66" s="13">
        <v>302.26948475736901</v>
      </c>
      <c r="G66" s="13">
        <v>198.133994421702</v>
      </c>
      <c r="H66" s="13">
        <v>2569</v>
      </c>
      <c r="I66" s="13">
        <v>2521.0416666666702</v>
      </c>
      <c r="J66" s="13">
        <v>1628.65</v>
      </c>
      <c r="K66" s="13">
        <v>2933.4991776034299</v>
      </c>
      <c r="L66" s="13">
        <v>3878.5147771776901</v>
      </c>
      <c r="M66" s="13">
        <v>1379.6479507843501</v>
      </c>
      <c r="N66" s="13">
        <v>246.67913947099501</v>
      </c>
      <c r="O66" s="13">
        <v>377.486797986238</v>
      </c>
      <c r="P66" s="13">
        <v>250.92195058318799</v>
      </c>
      <c r="Q66" s="13">
        <v>122.53237709989899</v>
      </c>
      <c r="R66" s="13">
        <v>256.98290122520399</v>
      </c>
      <c r="S66" s="13">
        <v>119.87773948586501</v>
      </c>
    </row>
    <row r="67" spans="1:19" x14ac:dyDescent="0.2">
      <c r="A67" s="13" t="s">
        <v>71</v>
      </c>
      <c r="B67" s="13" t="str" cm="1">
        <f t="array" aca="1" ref="B67" ca="1">_xlfn.TEXTJOIN("", TRUE, IFERROR(MID(A67, ROW(INDIRECT("1:" &amp; LEN(A67))), 1) * (ISNUMBER(--MID(A67, ROW(INDIRECT("1:" &amp; LEN(A67))), 1))), ""))</f>
        <v>2019</v>
      </c>
      <c r="C67" s="14">
        <v>2019</v>
      </c>
      <c r="D67" s="13">
        <v>926.77586206896501</v>
      </c>
      <c r="E67" s="13">
        <v>1133.81681172495</v>
      </c>
      <c r="F67" s="13">
        <v>220.82013763366501</v>
      </c>
      <c r="G67" s="13">
        <v>99.532650775160405</v>
      </c>
      <c r="H67" s="13">
        <v>1153.1428571428601</v>
      </c>
      <c r="I67" s="13">
        <v>926.41666666666697</v>
      </c>
      <c r="J67" s="13">
        <v>768.75</v>
      </c>
      <c r="K67" s="13">
        <v>818.56869202983103</v>
      </c>
      <c r="L67" s="13">
        <v>1361.3847860595099</v>
      </c>
      <c r="M67" s="13">
        <v>1024.9010612468101</v>
      </c>
      <c r="N67" s="13">
        <v>228.683096093193</v>
      </c>
      <c r="O67" s="13">
        <v>215.787144930035</v>
      </c>
      <c r="P67" s="13">
        <v>221.35565795635199</v>
      </c>
      <c r="Q67" s="13">
        <v>66.290738653803203</v>
      </c>
      <c r="R67" s="13">
        <v>113.80586916655599</v>
      </c>
      <c r="S67" s="13">
        <v>103.150394551153</v>
      </c>
    </row>
    <row r="68" spans="1:19" x14ac:dyDescent="0.2">
      <c r="A68" s="13" t="s">
        <v>73</v>
      </c>
      <c r="B68" s="13" t="str" cm="1">
        <f t="array" aca="1" ref="B68" ca="1">_xlfn.TEXTJOIN("", TRUE, IFERROR(MID(A68, ROW(INDIRECT("1:" &amp; LEN(A68))), 1) * (ISNUMBER(--MID(A68, ROW(INDIRECT("1:" &amp; LEN(A68))), 1))), ""))</f>
        <v>2020</v>
      </c>
      <c r="C68" s="14">
        <v>2020</v>
      </c>
      <c r="D68" s="13">
        <v>55877.413793103398</v>
      </c>
      <c r="E68" s="13">
        <v>51163.525253348598</v>
      </c>
      <c r="F68" s="13">
        <v>1296.17419391622</v>
      </c>
      <c r="G68" s="13">
        <v>423.509330059104</v>
      </c>
      <c r="H68" s="13">
        <v>49789.642857142899</v>
      </c>
      <c r="I68" s="13">
        <v>62757.375</v>
      </c>
      <c r="J68" s="13">
        <v>51882.9</v>
      </c>
      <c r="K68" s="13">
        <v>47866.006680666098</v>
      </c>
      <c r="L68" s="13">
        <v>54393.003593342401</v>
      </c>
      <c r="M68" s="13">
        <v>50099.111578329699</v>
      </c>
      <c r="N68" s="13">
        <v>1272.8123888254099</v>
      </c>
      <c r="O68" s="13">
        <v>1379.7664400502899</v>
      </c>
      <c r="P68" s="13">
        <v>1212.2167621189201</v>
      </c>
      <c r="Q68" s="13">
        <v>409.184231995728</v>
      </c>
      <c r="R68" s="13">
        <v>349.72624796497098</v>
      </c>
      <c r="S68" s="13">
        <v>502.44437200862899</v>
      </c>
    </row>
    <row r="69" spans="1:19" x14ac:dyDescent="0.2">
      <c r="A69" s="13" t="s">
        <v>74</v>
      </c>
      <c r="B69" s="13" t="str" cm="1">
        <f t="array" aca="1" ref="B69" ca="1">_xlfn.TEXTJOIN("", TRUE, IFERROR(MID(A69, ROW(INDIRECT("1:" &amp; LEN(A69))), 1) * (ISNUMBER(--MID(A69, ROW(INDIRECT("1:" &amp; LEN(A69))), 1))), ""))</f>
        <v>2021</v>
      </c>
      <c r="C69" s="14">
        <v>2021</v>
      </c>
      <c r="D69" s="13">
        <v>3597.4137931034502</v>
      </c>
      <c r="E69" s="13">
        <v>3593.2711098169002</v>
      </c>
      <c r="F69" s="13">
        <v>334.30398542995198</v>
      </c>
      <c r="G69" s="13">
        <v>140.213576187569</v>
      </c>
      <c r="H69" s="13">
        <v>4252.7857142857101</v>
      </c>
      <c r="I69" s="13">
        <v>3243.8333333333298</v>
      </c>
      <c r="J69" s="13">
        <v>3562.95</v>
      </c>
      <c r="K69" s="13">
        <v>3404.8266790375301</v>
      </c>
      <c r="L69" s="13">
        <v>3583.3957338974301</v>
      </c>
      <c r="M69" s="13">
        <v>3785.4486144882499</v>
      </c>
      <c r="N69" s="13">
        <v>382.71132236038301</v>
      </c>
      <c r="O69" s="13">
        <v>304.76344009638399</v>
      </c>
      <c r="P69" s="13">
        <v>335.86750397893297</v>
      </c>
      <c r="Q69" s="13">
        <v>114.430186317112</v>
      </c>
      <c r="R69" s="13">
        <v>149.590031180393</v>
      </c>
      <c r="S69" s="13">
        <v>139.57609293336699</v>
      </c>
    </row>
    <row r="70" spans="1:19" x14ac:dyDescent="0.2">
      <c r="A70" s="13" t="s">
        <v>75</v>
      </c>
      <c r="B70" s="13" t="str" cm="1">
        <f t="array" aca="1" ref="B70" ca="1">_xlfn.TEXTJOIN("", TRUE, IFERROR(MID(A70, ROW(INDIRECT("1:" &amp; LEN(A70))), 1) * (ISNUMBER(--MID(A70, ROW(INDIRECT("1:" &amp; LEN(A70))), 1))), ""))</f>
        <v>2022</v>
      </c>
      <c r="C70" s="14">
        <v>2022</v>
      </c>
      <c r="D70" s="13">
        <v>203.36206896551701</v>
      </c>
      <c r="E70" s="13">
        <v>215.97241815790301</v>
      </c>
      <c r="F70" s="13">
        <v>152.27880187498101</v>
      </c>
      <c r="G70" s="13">
        <v>127.046413116978</v>
      </c>
      <c r="H70" s="13">
        <v>200.92857142857099</v>
      </c>
      <c r="I70" s="13">
        <v>155.291666666667</v>
      </c>
      <c r="J70" s="13">
        <v>262.75</v>
      </c>
      <c r="K70" s="13">
        <v>155.973898915354</v>
      </c>
      <c r="L70" s="13">
        <v>274.086336111192</v>
      </c>
      <c r="M70" s="13">
        <v>156.072305855883</v>
      </c>
      <c r="N70" s="13">
        <v>142.674104673784</v>
      </c>
      <c r="O70" s="13">
        <v>92.196136390400795</v>
      </c>
      <c r="P70" s="13">
        <v>231.10128849731501</v>
      </c>
      <c r="Q70" s="13">
        <v>94.816944940100299</v>
      </c>
      <c r="R70" s="13">
        <v>79.359381432047499</v>
      </c>
      <c r="S70" s="13">
        <v>151.95188956051101</v>
      </c>
    </row>
    <row r="71" spans="1:19" x14ac:dyDescent="0.2">
      <c r="A71" s="13" t="s">
        <v>76</v>
      </c>
      <c r="B71" s="13" t="str" cm="1">
        <f t="array" aca="1" ref="B71" ca="1">_xlfn.TEXTJOIN("", TRUE, IFERROR(MID(A71, ROW(INDIRECT("1:" &amp; LEN(A71))), 1) * (ISNUMBER(--MID(A71, ROW(INDIRECT("1:" &amp; LEN(A71))), 1))), ""))</f>
        <v>2023</v>
      </c>
      <c r="C71" s="14">
        <v>2023</v>
      </c>
      <c r="D71" s="13">
        <v>2350.7931034482799</v>
      </c>
      <c r="E71" s="13">
        <v>4574.2030997096899</v>
      </c>
      <c r="F71" s="13">
        <v>287.46358431268999</v>
      </c>
      <c r="G71" s="13">
        <v>175.42642735277201</v>
      </c>
      <c r="H71" s="13">
        <v>3544.6428571428601</v>
      </c>
      <c r="I71" s="13">
        <v>677.125</v>
      </c>
      <c r="J71" s="13">
        <v>3523.5</v>
      </c>
      <c r="K71" s="13">
        <v>5940.2208147990104</v>
      </c>
      <c r="L71" s="13">
        <v>1538.39485631244</v>
      </c>
      <c r="M71" s="13">
        <v>5378.1781253762701</v>
      </c>
      <c r="N71" s="13">
        <v>304.88721327399799</v>
      </c>
      <c r="O71" s="13">
        <v>231.03996734470101</v>
      </c>
      <c r="P71" s="13">
        <v>342.97538440136202</v>
      </c>
      <c r="Q71" s="13">
        <v>176.401724952986</v>
      </c>
      <c r="R71" s="13">
        <v>170.298371330544</v>
      </c>
      <c r="S71" s="13">
        <v>165.65059545109199</v>
      </c>
    </row>
  </sheetData>
  <sortState xmlns:xlrd2="http://schemas.microsoft.com/office/spreadsheetml/2017/richdata2" ref="A2:S73">
    <sortCondition ref="C1:C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7983-E185-9F46-8ED6-9ED4E61385A2}">
  <dimension ref="A1:R71"/>
  <sheetViews>
    <sheetView workbookViewId="0">
      <selection activeCell="F35" sqref="F35"/>
    </sheetView>
  </sheetViews>
  <sheetFormatPr baseColWidth="10" defaultRowHeight="16" x14ac:dyDescent="0.2"/>
  <sheetData>
    <row r="1" spans="1:18" x14ac:dyDescent="0.2">
      <c r="A1" s="16"/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</row>
    <row r="2" spans="1:18" x14ac:dyDescent="0.2">
      <c r="A2" s="18">
        <v>1</v>
      </c>
      <c r="B2" s="15">
        <v>14152.103448275901</v>
      </c>
      <c r="C2" s="15">
        <v>18173.9030226416</v>
      </c>
      <c r="D2" s="15">
        <v>665.09802967124301</v>
      </c>
      <c r="E2" s="15">
        <v>407.507664139052</v>
      </c>
      <c r="F2" s="15" t="s">
        <v>57</v>
      </c>
      <c r="G2" s="15">
        <v>4087.7142857142899</v>
      </c>
      <c r="H2" s="15">
        <v>20197.916666666701</v>
      </c>
      <c r="I2" s="15">
        <v>13942.2</v>
      </c>
      <c r="J2" s="15">
        <v>6732.1372359961397</v>
      </c>
      <c r="K2" s="15">
        <v>21418.506817536501</v>
      </c>
      <c r="L2" s="15">
        <v>16606.933316103801</v>
      </c>
      <c r="M2" s="15">
        <v>414.91264494608401</v>
      </c>
      <c r="N2" s="15">
        <v>866.22568199391105</v>
      </c>
      <c r="O2" s="15">
        <v>598.87461619165299</v>
      </c>
      <c r="P2" s="15">
        <v>274.37792363099402</v>
      </c>
      <c r="Q2" s="15">
        <v>435.69282504301901</v>
      </c>
      <c r="R2" s="15">
        <v>333.70563195167301</v>
      </c>
    </row>
    <row r="3" spans="1:18" x14ac:dyDescent="0.2">
      <c r="A3" s="18">
        <v>3</v>
      </c>
      <c r="B3" s="15">
        <v>712.65517241379303</v>
      </c>
      <c r="C3" s="15">
        <v>1418.03197906986</v>
      </c>
      <c r="D3" s="15">
        <v>191.87135701436</v>
      </c>
      <c r="E3" s="15">
        <v>143.80880637311401</v>
      </c>
      <c r="F3" s="15" t="s">
        <v>87</v>
      </c>
      <c r="G3" s="15">
        <v>251.78571428571399</v>
      </c>
      <c r="H3" s="15">
        <v>295.91666666666703</v>
      </c>
      <c r="I3" s="15">
        <v>1535.35</v>
      </c>
      <c r="J3" s="15">
        <v>312.22189911297698</v>
      </c>
      <c r="K3" s="15">
        <v>276.59685722829801</v>
      </c>
      <c r="L3" s="15">
        <v>2175.77047054997</v>
      </c>
      <c r="M3" s="15">
        <v>134.399828941838</v>
      </c>
      <c r="N3" s="15">
        <v>145.005561938471</v>
      </c>
      <c r="O3" s="15">
        <v>288.34038075619202</v>
      </c>
      <c r="P3" s="15">
        <v>128.98116973675599</v>
      </c>
      <c r="Q3" s="15">
        <v>81.1259221589698</v>
      </c>
      <c r="R3" s="15">
        <v>164.826983576196</v>
      </c>
    </row>
    <row r="4" spans="1:18" x14ac:dyDescent="0.2">
      <c r="A4" s="18">
        <v>4</v>
      </c>
      <c r="B4" s="15">
        <v>7823.1785714285697</v>
      </c>
      <c r="C4" s="15">
        <v>12595.414774888501</v>
      </c>
      <c r="D4" s="15">
        <v>550.61928813739905</v>
      </c>
      <c r="E4" s="15">
        <v>490.11743643217699</v>
      </c>
      <c r="F4" s="15" t="s">
        <v>92</v>
      </c>
      <c r="G4" s="15" t="s">
        <v>113</v>
      </c>
      <c r="H4" s="15" t="s">
        <v>113</v>
      </c>
      <c r="I4" s="15" t="s">
        <v>113</v>
      </c>
      <c r="J4" s="15" t="s">
        <v>113</v>
      </c>
      <c r="K4" s="15" t="s">
        <v>113</v>
      </c>
      <c r="L4" s="15" t="s">
        <v>113</v>
      </c>
      <c r="M4" s="15" t="s">
        <v>113</v>
      </c>
      <c r="N4" s="15" t="s">
        <v>113</v>
      </c>
      <c r="O4" s="15" t="s">
        <v>113</v>
      </c>
      <c r="P4" s="15" t="s">
        <v>113</v>
      </c>
      <c r="Q4" s="15" t="s">
        <v>113</v>
      </c>
      <c r="R4" s="15" t="s">
        <v>113</v>
      </c>
    </row>
    <row r="5" spans="1:18" x14ac:dyDescent="0.2">
      <c r="A5" s="18">
        <v>6</v>
      </c>
      <c r="B5" s="15">
        <v>135.586206896552</v>
      </c>
      <c r="C5" s="15">
        <v>146.6283905791</v>
      </c>
      <c r="D5" s="15">
        <v>126.217536088336</v>
      </c>
      <c r="E5" s="15">
        <v>92.411079327306794</v>
      </c>
      <c r="F5" s="15" t="s">
        <v>96</v>
      </c>
      <c r="G5" s="15">
        <v>84.071428571428598</v>
      </c>
      <c r="H5" s="15">
        <v>150.458333333333</v>
      </c>
      <c r="I5" s="15">
        <v>153.80000000000001</v>
      </c>
      <c r="J5" s="15">
        <v>50.7393549708423</v>
      </c>
      <c r="K5" s="15">
        <v>141.36919117787201</v>
      </c>
      <c r="L5" s="15">
        <v>187.94467270981599</v>
      </c>
      <c r="M5" s="15">
        <v>85.321171231175001</v>
      </c>
      <c r="N5" s="15">
        <v>138.93059736742401</v>
      </c>
      <c r="O5" s="15">
        <v>139.589317953445</v>
      </c>
      <c r="P5" s="15">
        <v>57.461089040873802</v>
      </c>
      <c r="Q5" s="15">
        <v>65.615215029785404</v>
      </c>
      <c r="R5" s="15">
        <v>127.495118200463</v>
      </c>
    </row>
    <row r="6" spans="1:18" x14ac:dyDescent="0.2">
      <c r="A6" s="18">
        <v>10</v>
      </c>
      <c r="B6" s="15">
        <v>1823.1428571428601</v>
      </c>
      <c r="C6" s="15">
        <v>1858.0035187618701</v>
      </c>
      <c r="D6" s="15">
        <v>273.84278041713702</v>
      </c>
      <c r="E6" s="15">
        <v>117.36067769735</v>
      </c>
      <c r="F6" s="15" t="s">
        <v>39</v>
      </c>
      <c r="G6" s="15">
        <v>2045.8571428571399</v>
      </c>
      <c r="H6" s="15">
        <v>2243.5833333333298</v>
      </c>
      <c r="I6" s="15" t="s">
        <v>113</v>
      </c>
      <c r="J6" s="15">
        <v>1669.33010623167</v>
      </c>
      <c r="K6" s="15">
        <v>2341.6345740895199</v>
      </c>
      <c r="L6" s="15" t="s">
        <v>113</v>
      </c>
      <c r="M6" s="15">
        <v>258.08120546927898</v>
      </c>
      <c r="N6" s="15">
        <v>275.58813986134999</v>
      </c>
      <c r="O6" s="15" t="s">
        <v>113</v>
      </c>
      <c r="P6" s="15">
        <v>74.108909630038397</v>
      </c>
      <c r="Q6" s="15">
        <v>99.817434365442296</v>
      </c>
      <c r="R6" s="15" t="s">
        <v>113</v>
      </c>
    </row>
    <row r="7" spans="1:18" x14ac:dyDescent="0.2">
      <c r="A7" s="18">
        <v>12</v>
      </c>
      <c r="B7" s="15">
        <v>579.13636363636397</v>
      </c>
      <c r="C7" s="15">
        <v>507.42424423391901</v>
      </c>
      <c r="D7" s="15">
        <v>165.52155844687601</v>
      </c>
      <c r="E7" s="15">
        <v>47.457436275604401</v>
      </c>
      <c r="F7" s="15" t="s">
        <v>45</v>
      </c>
      <c r="G7" s="15" t="s">
        <v>113</v>
      </c>
      <c r="H7" s="15" t="s">
        <v>113</v>
      </c>
      <c r="I7" s="15" t="s">
        <v>113</v>
      </c>
      <c r="J7" s="15" t="s">
        <v>113</v>
      </c>
      <c r="K7" s="15" t="s">
        <v>113</v>
      </c>
      <c r="L7" s="15" t="s">
        <v>113</v>
      </c>
      <c r="M7" s="15" t="s">
        <v>113</v>
      </c>
      <c r="N7" s="15" t="s">
        <v>113</v>
      </c>
      <c r="O7" s="15" t="s">
        <v>113</v>
      </c>
      <c r="P7" s="15" t="s">
        <v>113</v>
      </c>
      <c r="Q7" s="15" t="s">
        <v>113</v>
      </c>
      <c r="R7" s="15" t="s">
        <v>113</v>
      </c>
    </row>
    <row r="8" spans="1:18" x14ac:dyDescent="0.2">
      <c r="A8" s="18">
        <v>13</v>
      </c>
      <c r="B8" s="15">
        <v>329.94827586206901</v>
      </c>
      <c r="C8" s="15">
        <v>371.80896597207698</v>
      </c>
      <c r="D8" s="15">
        <v>128.97872023243599</v>
      </c>
      <c r="E8" s="15">
        <v>64.773970922363802</v>
      </c>
      <c r="F8" s="15" t="s">
        <v>46</v>
      </c>
      <c r="G8" s="15">
        <v>228.857142857143</v>
      </c>
      <c r="H8" s="15">
        <v>269.79166666666703</v>
      </c>
      <c r="I8" s="15">
        <v>472.9</v>
      </c>
      <c r="J8" s="15">
        <v>132.39223380330299</v>
      </c>
      <c r="K8" s="15">
        <v>263.087258066868</v>
      </c>
      <c r="L8" s="15">
        <v>530.38005891676596</v>
      </c>
      <c r="M8" s="15">
        <v>118.598228898223</v>
      </c>
      <c r="N8" s="15">
        <v>132.77387656283801</v>
      </c>
      <c r="O8" s="15">
        <v>131.690876569902</v>
      </c>
      <c r="P8" s="15">
        <v>45.0646685313775</v>
      </c>
      <c r="Q8" s="15">
        <v>74.168322933660804</v>
      </c>
      <c r="R8" s="15">
        <v>65.568064440606193</v>
      </c>
    </row>
    <row r="9" spans="1:18" x14ac:dyDescent="0.2">
      <c r="A9" s="18">
        <v>101</v>
      </c>
      <c r="B9" s="15">
        <v>777.89473684210498</v>
      </c>
      <c r="C9" s="15">
        <v>1382.4912449246201</v>
      </c>
      <c r="D9" s="15">
        <v>164.38988782171501</v>
      </c>
      <c r="E9" s="15">
        <v>83.161871580682998</v>
      </c>
      <c r="F9" s="15" t="s">
        <v>35</v>
      </c>
      <c r="G9" s="15">
        <v>316.92857142857099</v>
      </c>
      <c r="H9" s="15">
        <v>1046.7916666666699</v>
      </c>
      <c r="I9" s="15" t="s">
        <v>113</v>
      </c>
      <c r="J9" s="15">
        <v>249.39222550604299</v>
      </c>
      <c r="K9" s="15">
        <v>1679.47762871589</v>
      </c>
      <c r="L9" s="15" t="s">
        <v>113</v>
      </c>
      <c r="M9" s="15">
        <v>125.145921245906</v>
      </c>
      <c r="N9" s="15">
        <v>187.28220165760499</v>
      </c>
      <c r="O9" s="15" t="s">
        <v>113</v>
      </c>
      <c r="P9" s="15">
        <v>41.724963187986297</v>
      </c>
      <c r="Q9" s="15">
        <v>92.776662420194896</v>
      </c>
      <c r="R9" s="15" t="s">
        <v>113</v>
      </c>
    </row>
    <row r="10" spans="1:18" x14ac:dyDescent="0.2">
      <c r="A10" s="18">
        <v>103</v>
      </c>
      <c r="B10" s="15">
        <v>1126.8620689655199</v>
      </c>
      <c r="C10" s="15">
        <v>1946.07445167226</v>
      </c>
      <c r="D10" s="15">
        <v>187.99745813355099</v>
      </c>
      <c r="E10" s="15">
        <v>147.53587988105599</v>
      </c>
      <c r="F10" s="15" t="s">
        <v>38</v>
      </c>
      <c r="G10" s="15">
        <v>1782</v>
      </c>
      <c r="H10" s="15">
        <v>1643.4583333333301</v>
      </c>
      <c r="I10" s="15">
        <v>48.35</v>
      </c>
      <c r="J10" s="15">
        <v>2123.10162851428</v>
      </c>
      <c r="K10" s="15">
        <v>2280.0394682517499</v>
      </c>
      <c r="L10" s="15">
        <v>53.122199723357397</v>
      </c>
      <c r="M10" s="15">
        <v>260.066652483761</v>
      </c>
      <c r="N10" s="15">
        <v>262.88421649928398</v>
      </c>
      <c r="O10" s="15">
        <v>47.6849120495256</v>
      </c>
      <c r="P10" s="15">
        <v>137.41981682671499</v>
      </c>
      <c r="Q10" s="15">
        <v>124.865359613397</v>
      </c>
      <c r="R10" s="15">
        <v>40.247344019970598</v>
      </c>
    </row>
    <row r="11" spans="1:18" x14ac:dyDescent="0.2">
      <c r="A11" s="18">
        <v>146</v>
      </c>
      <c r="B11" s="15">
        <v>167.827586206897</v>
      </c>
      <c r="C11" s="15">
        <v>151.580008568393</v>
      </c>
      <c r="D11" s="15">
        <v>148.112097016847</v>
      </c>
      <c r="E11" s="15">
        <v>110.746698108716</v>
      </c>
      <c r="F11" s="15" t="s">
        <v>47</v>
      </c>
      <c r="G11" s="15">
        <v>123.21428571428601</v>
      </c>
      <c r="H11" s="15">
        <v>184.708333333333</v>
      </c>
      <c r="I11" s="15">
        <v>178.8</v>
      </c>
      <c r="J11" s="15">
        <v>127.66250148620099</v>
      </c>
      <c r="K11" s="15">
        <v>181.169114956953</v>
      </c>
      <c r="L11" s="15">
        <v>123.954705298013</v>
      </c>
      <c r="M11" s="15">
        <v>178.26500950926999</v>
      </c>
      <c r="N11" s="15">
        <v>128.63325454494901</v>
      </c>
      <c r="O11" s="15">
        <v>150.37966923842799</v>
      </c>
      <c r="P11" s="15">
        <v>149.815604732152</v>
      </c>
      <c r="Q11" s="15">
        <v>78.891740811204599</v>
      </c>
      <c r="R11" s="15">
        <v>110.662223668622</v>
      </c>
    </row>
    <row r="12" spans="1:18" x14ac:dyDescent="0.2">
      <c r="A12" s="18">
        <v>147</v>
      </c>
      <c r="B12" s="15">
        <v>9719</v>
      </c>
      <c r="C12" s="15">
        <v>8785.9099620053603</v>
      </c>
      <c r="D12" s="15">
        <v>653.64103113184296</v>
      </c>
      <c r="E12" s="15">
        <v>320.56626959087498</v>
      </c>
      <c r="F12" s="15" t="s">
        <v>48</v>
      </c>
      <c r="G12" s="15">
        <v>8417.1428571428605</v>
      </c>
      <c r="H12" s="15">
        <v>8914.5416666666697</v>
      </c>
      <c r="I12" s="15">
        <v>11595.65</v>
      </c>
      <c r="J12" s="15">
        <v>12671.1884852437</v>
      </c>
      <c r="K12" s="15">
        <v>4493.3881876994701</v>
      </c>
      <c r="L12" s="15">
        <v>9388.4334295561202</v>
      </c>
      <c r="M12" s="15">
        <v>563.38117667706001</v>
      </c>
      <c r="N12" s="15">
        <v>758.05284463522401</v>
      </c>
      <c r="O12" s="15">
        <v>591.52875304613201</v>
      </c>
      <c r="P12" s="15">
        <v>351.55714728945298</v>
      </c>
      <c r="Q12" s="15">
        <v>372.24172480827701</v>
      </c>
      <c r="R12" s="15">
        <v>169.860232053868</v>
      </c>
    </row>
    <row r="13" spans="1:18" x14ac:dyDescent="0.2">
      <c r="A13" s="18">
        <v>148</v>
      </c>
      <c r="B13" s="15">
        <v>1681.48275862069</v>
      </c>
      <c r="C13" s="15">
        <v>2265.53359063172</v>
      </c>
      <c r="D13" s="15">
        <v>248.917502172962</v>
      </c>
      <c r="E13" s="15">
        <v>108.641973194183</v>
      </c>
      <c r="F13" s="15" t="s">
        <v>49</v>
      </c>
      <c r="G13" s="15">
        <v>3164.7857142857101</v>
      </c>
      <c r="H13" s="15">
        <v>1701.75</v>
      </c>
      <c r="I13" s="15">
        <v>618.85</v>
      </c>
      <c r="J13" s="15">
        <v>3439.63737031765</v>
      </c>
      <c r="K13" s="15">
        <v>1758.69072851694</v>
      </c>
      <c r="L13" s="15">
        <v>752.83392350458701</v>
      </c>
      <c r="M13" s="15">
        <v>266.73177795037799</v>
      </c>
      <c r="N13" s="15">
        <v>251.07290157389099</v>
      </c>
      <c r="O13" s="15">
        <v>233.861029847655</v>
      </c>
      <c r="P13" s="15">
        <v>131.07024728624501</v>
      </c>
      <c r="Q13" s="15">
        <v>124.21943514162901</v>
      </c>
      <c r="R13" s="15">
        <v>63.728323127255202</v>
      </c>
    </row>
    <row r="14" spans="1:18" x14ac:dyDescent="0.2">
      <c r="A14" s="18">
        <v>149</v>
      </c>
      <c r="B14" s="15">
        <v>2127.6379310344801</v>
      </c>
      <c r="C14" s="15">
        <v>1847.9727086503699</v>
      </c>
      <c r="D14" s="15">
        <v>267.310658444723</v>
      </c>
      <c r="E14" s="15">
        <v>71.8996213841165</v>
      </c>
      <c r="F14" s="15" t="s">
        <v>50</v>
      </c>
      <c r="G14" s="15">
        <v>1968.2857142857099</v>
      </c>
      <c r="H14" s="15">
        <v>2940.0833333333298</v>
      </c>
      <c r="I14" s="15">
        <v>1264.25</v>
      </c>
      <c r="J14" s="15">
        <v>1272.48056538625</v>
      </c>
      <c r="K14" s="15">
        <v>2349.1963777914698</v>
      </c>
      <c r="L14" s="15">
        <v>860.872820416021</v>
      </c>
      <c r="M14" s="15">
        <v>251.58645688418301</v>
      </c>
      <c r="N14" s="15">
        <v>300.35301063546802</v>
      </c>
      <c r="O14" s="15">
        <v>238.666776908207</v>
      </c>
      <c r="P14" s="15">
        <v>42.237203562342103</v>
      </c>
      <c r="Q14" s="15">
        <v>76.971954279537101</v>
      </c>
      <c r="R14" s="15">
        <v>67.575545638429006</v>
      </c>
    </row>
    <row r="15" spans="1:18" x14ac:dyDescent="0.2">
      <c r="A15" s="18">
        <v>150</v>
      </c>
      <c r="B15" s="15">
        <v>6253.2758620689701</v>
      </c>
      <c r="C15" s="15">
        <v>8380.9828341333796</v>
      </c>
      <c r="D15" s="15">
        <v>560.42757069221</v>
      </c>
      <c r="E15" s="15">
        <v>418.99052952395698</v>
      </c>
      <c r="F15" s="15" t="s">
        <v>51</v>
      </c>
      <c r="G15" s="15">
        <v>8325</v>
      </c>
      <c r="H15" s="15">
        <v>5976.3333333333303</v>
      </c>
      <c r="I15" s="15">
        <v>5135.3999999999996</v>
      </c>
      <c r="J15" s="15">
        <v>12588.721884091299</v>
      </c>
      <c r="K15" s="15">
        <v>5936.2280171358498</v>
      </c>
      <c r="L15" s="15">
        <v>7209.8000108568704</v>
      </c>
      <c r="M15" s="15">
        <v>796.34586811967404</v>
      </c>
      <c r="N15" s="15">
        <v>563.48575613266598</v>
      </c>
      <c r="O15" s="15">
        <v>391.61493996443897</v>
      </c>
      <c r="P15" s="15">
        <v>552.71122562346898</v>
      </c>
      <c r="Q15" s="15">
        <v>316.46802875031301</v>
      </c>
      <c r="R15" s="15">
        <v>345.33217018065898</v>
      </c>
    </row>
    <row r="16" spans="1:18" x14ac:dyDescent="0.2">
      <c r="A16" s="18">
        <v>156</v>
      </c>
      <c r="B16" s="15">
        <v>250.741379310345</v>
      </c>
      <c r="C16" s="15">
        <v>252.946816982011</v>
      </c>
      <c r="D16" s="15">
        <v>199.68458658524401</v>
      </c>
      <c r="E16" s="15">
        <v>204.046764126684</v>
      </c>
      <c r="F16" s="15" t="s">
        <v>52</v>
      </c>
      <c r="G16" s="15">
        <v>256.21428571428601</v>
      </c>
      <c r="H16" s="15">
        <v>286.95833333333297</v>
      </c>
      <c r="I16" s="15">
        <v>203.45</v>
      </c>
      <c r="J16" s="15">
        <v>220.87754364288401</v>
      </c>
      <c r="K16" s="15">
        <v>320.05317359553197</v>
      </c>
      <c r="L16" s="15">
        <v>168.82838409421001</v>
      </c>
      <c r="M16" s="15">
        <v>179.51245089985099</v>
      </c>
      <c r="N16" s="15">
        <v>159.40665008868999</v>
      </c>
      <c r="O16" s="15">
        <v>262.13860536088401</v>
      </c>
      <c r="P16" s="15">
        <v>160.58775362126201</v>
      </c>
      <c r="Q16" s="15">
        <v>102.26370067389399</v>
      </c>
      <c r="R16" s="15">
        <v>294.48140686714498</v>
      </c>
    </row>
    <row r="17" spans="1:18" x14ac:dyDescent="0.2">
      <c r="A17" s="18">
        <v>157</v>
      </c>
      <c r="B17" s="15">
        <v>1650.08620689655</v>
      </c>
      <c r="C17" s="15">
        <v>2436.7386505743498</v>
      </c>
      <c r="D17" s="15">
        <v>268.70617195025102</v>
      </c>
      <c r="E17" s="15">
        <v>180.50527617878899</v>
      </c>
      <c r="F17" s="15" t="s">
        <v>53</v>
      </c>
      <c r="G17" s="15">
        <v>3344.9285714285702</v>
      </c>
      <c r="H17" s="15">
        <v>1133.75</v>
      </c>
      <c r="I17" s="15">
        <v>1083.3</v>
      </c>
      <c r="J17" s="15">
        <v>4303.8459814615599</v>
      </c>
      <c r="K17" s="15">
        <v>1134.01161180752</v>
      </c>
      <c r="L17" s="15">
        <v>733.74788491735296</v>
      </c>
      <c r="M17" s="15">
        <v>411.123334112875</v>
      </c>
      <c r="N17" s="15">
        <v>190.866432562162</v>
      </c>
      <c r="O17" s="15">
        <v>262.421845702121</v>
      </c>
      <c r="P17" s="15">
        <v>291.42113454975299</v>
      </c>
      <c r="Q17" s="15">
        <v>77.440802851838001</v>
      </c>
      <c r="R17" s="15">
        <v>92.549470820616307</v>
      </c>
    </row>
    <row r="18" spans="1:18" x14ac:dyDescent="0.2">
      <c r="A18" s="18">
        <v>158</v>
      </c>
      <c r="B18" s="15">
        <v>21837.741379310301</v>
      </c>
      <c r="C18" s="15">
        <v>27885.084322095201</v>
      </c>
      <c r="D18" s="15">
        <v>880.25770473431498</v>
      </c>
      <c r="E18" s="15">
        <v>400.232151490614</v>
      </c>
      <c r="F18" s="15" t="s">
        <v>54</v>
      </c>
      <c r="G18" s="15">
        <v>9373.6428571428605</v>
      </c>
      <c r="H18" s="15">
        <v>32673.541666666701</v>
      </c>
      <c r="I18" s="15">
        <v>17559.650000000001</v>
      </c>
      <c r="J18" s="15">
        <v>10714.004533953301</v>
      </c>
      <c r="K18" s="15">
        <v>38183.653953412198</v>
      </c>
      <c r="L18" s="15">
        <v>13781.282510728701</v>
      </c>
      <c r="M18" s="15">
        <v>883.56083385764703</v>
      </c>
      <c r="N18" s="15">
        <v>998.73130892446795</v>
      </c>
      <c r="O18" s="15">
        <v>735.777189319797</v>
      </c>
      <c r="P18" s="15">
        <v>332.802390029089</v>
      </c>
      <c r="Q18" s="15">
        <v>479.16153844178098</v>
      </c>
      <c r="R18" s="15">
        <v>287.270881660442</v>
      </c>
    </row>
    <row r="19" spans="1:18" x14ac:dyDescent="0.2">
      <c r="A19" s="18">
        <v>160</v>
      </c>
      <c r="B19" s="15">
        <v>3359.10344827586</v>
      </c>
      <c r="C19" s="15">
        <v>3577.92172049798</v>
      </c>
      <c r="D19" s="15">
        <v>376.074645448772</v>
      </c>
      <c r="E19" s="15">
        <v>220.05618637671699</v>
      </c>
      <c r="F19" s="15" t="s">
        <v>55</v>
      </c>
      <c r="G19" s="15">
        <v>3369.6428571428601</v>
      </c>
      <c r="H19" s="15">
        <v>4032.7916666666702</v>
      </c>
      <c r="I19" s="15">
        <v>2543.3000000000002</v>
      </c>
      <c r="J19" s="15">
        <v>4738.9914569000302</v>
      </c>
      <c r="K19" s="15">
        <v>3732.9855982558702</v>
      </c>
      <c r="L19" s="15">
        <v>2098.6999079068601</v>
      </c>
      <c r="M19" s="15">
        <v>419.02526412299602</v>
      </c>
      <c r="N19" s="15">
        <v>349.72457656647498</v>
      </c>
      <c r="O19" s="15">
        <v>377.62929503557098</v>
      </c>
      <c r="P19" s="15">
        <v>265.81831496950502</v>
      </c>
      <c r="Q19" s="15">
        <v>156.201554752058</v>
      </c>
      <c r="R19" s="15">
        <v>251.448789295208</v>
      </c>
    </row>
    <row r="20" spans="1:18" x14ac:dyDescent="0.2">
      <c r="A20" s="18">
        <v>161</v>
      </c>
      <c r="B20" s="15">
        <v>7641.1724137930996</v>
      </c>
      <c r="C20" s="15">
        <v>11895.043263122499</v>
      </c>
      <c r="D20" s="15">
        <v>504.55700511112298</v>
      </c>
      <c r="E20" s="15">
        <v>453.33110472404002</v>
      </c>
      <c r="F20" s="15" t="s">
        <v>56</v>
      </c>
      <c r="G20" s="15">
        <v>5453.9285714285697</v>
      </c>
      <c r="H20" s="15">
        <v>7332.4166666666697</v>
      </c>
      <c r="I20" s="15">
        <v>9542.75</v>
      </c>
      <c r="J20" s="15">
        <v>5387.9616328573502</v>
      </c>
      <c r="K20" s="15">
        <v>13077.470274428901</v>
      </c>
      <c r="L20" s="15">
        <v>13632.655386689799</v>
      </c>
      <c r="M20" s="15">
        <v>380.97714434655302</v>
      </c>
      <c r="N20" s="15">
        <v>573.73148504992901</v>
      </c>
      <c r="O20" s="15">
        <v>508.05353171975702</v>
      </c>
      <c r="P20" s="15">
        <v>238.73952856744299</v>
      </c>
      <c r="Q20" s="15">
        <v>546.66119629373804</v>
      </c>
      <c r="R20" s="15">
        <v>438.69563737282999</v>
      </c>
    </row>
    <row r="21" spans="1:18" x14ac:dyDescent="0.2">
      <c r="A21" s="18">
        <v>201</v>
      </c>
      <c r="B21" s="15">
        <v>2650.3103448275901</v>
      </c>
      <c r="C21" s="15">
        <v>6963.0794528369197</v>
      </c>
      <c r="D21" s="15">
        <v>301.24671342358602</v>
      </c>
      <c r="E21" s="15">
        <v>233.58972658289699</v>
      </c>
      <c r="F21" s="15" t="s">
        <v>72</v>
      </c>
      <c r="G21" s="15">
        <v>2289.4285714285702</v>
      </c>
      <c r="H21" s="15">
        <v>4521.0416666666697</v>
      </c>
      <c r="I21" s="15">
        <v>658.05</v>
      </c>
      <c r="J21" s="15">
        <v>2608.43344407</v>
      </c>
      <c r="K21" s="15">
        <v>10374.7978736765</v>
      </c>
      <c r="L21" s="15">
        <v>799.06056209560995</v>
      </c>
      <c r="M21" s="15">
        <v>341.362061547265</v>
      </c>
      <c r="N21" s="15">
        <v>387.72305022843801</v>
      </c>
      <c r="O21" s="15">
        <v>169.39436557118799</v>
      </c>
      <c r="P21" s="15">
        <v>211.45511789992801</v>
      </c>
      <c r="Q21" s="15">
        <v>247.19875291506099</v>
      </c>
      <c r="R21" s="15">
        <v>169.679279018306</v>
      </c>
    </row>
    <row r="22" spans="1:18" x14ac:dyDescent="0.2">
      <c r="A22" s="18">
        <v>202</v>
      </c>
      <c r="B22" s="15">
        <v>1595.6379310344801</v>
      </c>
      <c r="C22" s="15">
        <v>1587.1327751231399</v>
      </c>
      <c r="D22" s="15">
        <v>294.53902289301402</v>
      </c>
      <c r="E22" s="15">
        <v>206.29241656800099</v>
      </c>
      <c r="F22" s="15" t="s">
        <v>77</v>
      </c>
      <c r="G22" s="15">
        <v>643.357142857143</v>
      </c>
      <c r="H22" s="15">
        <v>2353.25</v>
      </c>
      <c r="I22" s="15">
        <v>1353.1</v>
      </c>
      <c r="J22" s="15">
        <v>443.767144538021</v>
      </c>
      <c r="K22" s="15">
        <v>1939.6770552263099</v>
      </c>
      <c r="L22" s="15">
        <v>1167.6819831585599</v>
      </c>
      <c r="M22" s="15">
        <v>170.17051005782</v>
      </c>
      <c r="N22" s="15">
        <v>395.96329999452701</v>
      </c>
      <c r="O22" s="15">
        <v>259.887849355833</v>
      </c>
      <c r="P22" s="15">
        <v>61.246388673487502</v>
      </c>
      <c r="Q22" s="15">
        <v>235.51220043217501</v>
      </c>
      <c r="R22" s="15">
        <v>177.37209774019601</v>
      </c>
    </row>
    <row r="23" spans="1:18" x14ac:dyDescent="0.2">
      <c r="A23" s="18">
        <v>204</v>
      </c>
      <c r="B23" s="15">
        <v>8102.43103448276</v>
      </c>
      <c r="C23" s="15">
        <v>11612.9871545682</v>
      </c>
      <c r="D23" s="15">
        <v>510.69852174231102</v>
      </c>
      <c r="E23" s="15">
        <v>365.44084735184299</v>
      </c>
      <c r="F23" s="15" t="s">
        <v>78</v>
      </c>
      <c r="G23" s="15">
        <v>12150.714285714301</v>
      </c>
      <c r="H23" s="15">
        <v>8826.625</v>
      </c>
      <c r="I23" s="15">
        <v>4399.6000000000004</v>
      </c>
      <c r="J23" s="15">
        <v>14704.627368256801</v>
      </c>
      <c r="K23" s="15">
        <v>11364.6995996846</v>
      </c>
      <c r="L23" s="15">
        <v>8260.2528541076208</v>
      </c>
      <c r="M23" s="15">
        <v>678.13272545020902</v>
      </c>
      <c r="N23" s="15">
        <v>489.05580533980401</v>
      </c>
      <c r="O23" s="15">
        <v>419.46583882979098</v>
      </c>
      <c r="P23" s="15">
        <v>337.119824600833</v>
      </c>
      <c r="Q23" s="15">
        <v>290.49606803317897</v>
      </c>
      <c r="R23" s="15">
        <v>431.64423403868801</v>
      </c>
    </row>
    <row r="24" spans="1:18" x14ac:dyDescent="0.2">
      <c r="A24" s="18">
        <v>205</v>
      </c>
      <c r="B24" s="15">
        <v>12684.344827586199</v>
      </c>
      <c r="C24" s="15">
        <v>16864.438880259</v>
      </c>
      <c r="D24" s="15">
        <v>740.45642408398896</v>
      </c>
      <c r="E24" s="15">
        <v>332.825868851069</v>
      </c>
      <c r="F24" s="15" t="s">
        <v>79</v>
      </c>
      <c r="G24" s="15">
        <v>14139.4285714286</v>
      </c>
      <c r="H24" s="15">
        <v>10647.583333333299</v>
      </c>
      <c r="I24" s="15">
        <v>14109.9</v>
      </c>
      <c r="J24" s="15">
        <v>11513.3246493853</v>
      </c>
      <c r="K24" s="15">
        <v>14452.705419747501</v>
      </c>
      <c r="L24" s="15">
        <v>22161.220664749599</v>
      </c>
      <c r="M24" s="15">
        <v>840.84982646651201</v>
      </c>
      <c r="N24" s="15">
        <v>668.70577711445799</v>
      </c>
      <c r="O24" s="15">
        <v>756.28181877965994</v>
      </c>
      <c r="P24" s="15">
        <v>309.90178979941101</v>
      </c>
      <c r="Q24" s="15">
        <v>311.87792380995199</v>
      </c>
      <c r="R24" s="15">
        <v>361.83554475993901</v>
      </c>
    </row>
    <row r="25" spans="1:18" x14ac:dyDescent="0.2">
      <c r="A25" s="18">
        <v>209</v>
      </c>
      <c r="B25" s="15">
        <v>1024.58620689655</v>
      </c>
      <c r="C25" s="15">
        <v>1304.8988738482101</v>
      </c>
      <c r="D25" s="15">
        <v>182.64950879667001</v>
      </c>
      <c r="E25" s="15">
        <v>112.62428568796599</v>
      </c>
      <c r="F25" s="15" t="s">
        <v>80</v>
      </c>
      <c r="G25" s="15">
        <v>589.92857142857099</v>
      </c>
      <c r="H25" s="15">
        <v>1203.7083333333301</v>
      </c>
      <c r="I25" s="15">
        <v>1113.9000000000001</v>
      </c>
      <c r="J25" s="15">
        <v>485.216144767316</v>
      </c>
      <c r="K25" s="15">
        <v>872.92509394727404</v>
      </c>
      <c r="L25" s="15">
        <v>1944.9048261441001</v>
      </c>
      <c r="M25" s="15">
        <v>140.388343108295</v>
      </c>
      <c r="N25" s="15">
        <v>211.83855636974499</v>
      </c>
      <c r="O25" s="15">
        <v>177.20546769084299</v>
      </c>
      <c r="P25" s="15">
        <v>56.398084702181798</v>
      </c>
      <c r="Q25" s="15">
        <v>90.753283595975503</v>
      </c>
      <c r="R25" s="15">
        <v>151.98639416657701</v>
      </c>
    </row>
    <row r="26" spans="1:18" x14ac:dyDescent="0.2">
      <c r="A26" s="18">
        <v>210</v>
      </c>
      <c r="B26" s="15">
        <v>31049.086206896602</v>
      </c>
      <c r="C26" s="15">
        <v>40318.350378090901</v>
      </c>
      <c r="D26" s="15">
        <v>856.41406784759397</v>
      </c>
      <c r="E26" s="15">
        <v>543.08123773081297</v>
      </c>
      <c r="F26" s="15" t="s">
        <v>81</v>
      </c>
      <c r="G26" s="15">
        <v>55891.785714285703</v>
      </c>
      <c r="H26" s="15">
        <v>40114.083333333299</v>
      </c>
      <c r="I26" s="15">
        <v>2781.2</v>
      </c>
      <c r="J26" s="15">
        <v>44994.741190102301</v>
      </c>
      <c r="K26" s="15">
        <v>41152.995105633403</v>
      </c>
      <c r="L26" s="15">
        <v>2218.1888488056002</v>
      </c>
      <c r="M26" s="15">
        <v>1171.0924454451599</v>
      </c>
      <c r="N26" s="15">
        <v>1086.9542176569701</v>
      </c>
      <c r="O26" s="15">
        <v>359.49102375805103</v>
      </c>
      <c r="P26" s="15">
        <v>486.93452327615898</v>
      </c>
      <c r="Q26" s="15">
        <v>496.08215169058798</v>
      </c>
      <c r="R26" s="15">
        <v>144.828300248864</v>
      </c>
    </row>
    <row r="27" spans="1:18" x14ac:dyDescent="0.2">
      <c r="A27" s="18">
        <v>214</v>
      </c>
      <c r="B27" s="15">
        <v>260.29310344827599</v>
      </c>
      <c r="C27" s="15">
        <v>371.80127656344899</v>
      </c>
      <c r="D27" s="15">
        <v>182.11385825994699</v>
      </c>
      <c r="E27" s="15">
        <v>176.18262254881901</v>
      </c>
      <c r="F27" s="15" t="s">
        <v>82</v>
      </c>
      <c r="G27" s="15">
        <v>540.21428571428601</v>
      </c>
      <c r="H27" s="15">
        <v>116.375</v>
      </c>
      <c r="I27" s="15">
        <v>237.05</v>
      </c>
      <c r="J27" s="15">
        <v>602.32897098322803</v>
      </c>
      <c r="K27" s="15">
        <v>71.044591128188102</v>
      </c>
      <c r="L27" s="15">
        <v>265.76656694070499</v>
      </c>
      <c r="M27" s="15">
        <v>231.34706906031701</v>
      </c>
      <c r="N27" s="15">
        <v>179.64321761171499</v>
      </c>
      <c r="O27" s="15">
        <v>150.61537947756699</v>
      </c>
      <c r="P27" s="15">
        <v>234.695607038784</v>
      </c>
      <c r="Q27" s="15">
        <v>180.049552825208</v>
      </c>
      <c r="R27" s="15">
        <v>110.22168037283301</v>
      </c>
    </row>
    <row r="28" spans="1:18" x14ac:dyDescent="0.2">
      <c r="A28" s="18">
        <v>214</v>
      </c>
      <c r="B28" s="15">
        <v>1429.2413793103401</v>
      </c>
      <c r="C28" s="15">
        <v>2476.2302954172601</v>
      </c>
      <c r="D28" s="15">
        <v>296.90522461378401</v>
      </c>
      <c r="E28" s="15">
        <v>199.67171980331699</v>
      </c>
      <c r="F28" s="15" t="s">
        <v>83</v>
      </c>
      <c r="G28" s="15">
        <v>3289.2857142857101</v>
      </c>
      <c r="H28" s="15">
        <v>1142.7083333333301</v>
      </c>
      <c r="I28" s="15">
        <v>471.05</v>
      </c>
      <c r="J28" s="15">
        <v>4075.08072794708</v>
      </c>
      <c r="K28" s="15">
        <v>1528.62131802764</v>
      </c>
      <c r="L28" s="15">
        <v>594.90424251186903</v>
      </c>
      <c r="M28" s="15">
        <v>393.99495702551098</v>
      </c>
      <c r="N28" s="15">
        <v>311.04179944847903</v>
      </c>
      <c r="O28" s="15">
        <v>211.97852212394</v>
      </c>
      <c r="P28" s="15">
        <v>265.80038287986798</v>
      </c>
      <c r="Q28" s="15">
        <v>143.54928567569601</v>
      </c>
      <c r="R28" s="15">
        <v>173.50049459546301</v>
      </c>
    </row>
    <row r="29" spans="1:18" x14ac:dyDescent="0.2">
      <c r="A29" s="18">
        <v>215</v>
      </c>
      <c r="B29" s="15">
        <v>4946.7931034482799</v>
      </c>
      <c r="C29" s="15">
        <v>6853.5808890832895</v>
      </c>
      <c r="D29" s="15">
        <v>476.14288782251998</v>
      </c>
      <c r="E29" s="15">
        <v>402.25936136151398</v>
      </c>
      <c r="F29" s="15" t="s">
        <v>84</v>
      </c>
      <c r="G29" s="15">
        <v>1880</v>
      </c>
      <c r="H29" s="15">
        <v>6195.0833333333303</v>
      </c>
      <c r="I29" s="15">
        <v>5595.6</v>
      </c>
      <c r="J29" s="15">
        <v>3408.5345641492299</v>
      </c>
      <c r="K29" s="15">
        <v>5203.2600460809999</v>
      </c>
      <c r="L29" s="15">
        <v>9456.5641564379803</v>
      </c>
      <c r="M29" s="15">
        <v>312.06142439313999</v>
      </c>
      <c r="N29" s="15">
        <v>547.85891852498901</v>
      </c>
      <c r="O29" s="15">
        <v>504.94067538012399</v>
      </c>
      <c r="P29" s="15">
        <v>289.80868055533398</v>
      </c>
      <c r="Q29" s="15">
        <v>377.64201562491098</v>
      </c>
      <c r="R29" s="15">
        <v>472.30973104330502</v>
      </c>
    </row>
    <row r="30" spans="1:18" x14ac:dyDescent="0.2">
      <c r="A30" s="18">
        <v>217</v>
      </c>
      <c r="B30" s="15">
        <v>4937.4655172413804</v>
      </c>
      <c r="C30" s="15">
        <v>8662.7463278487794</v>
      </c>
      <c r="D30" s="15">
        <v>402.474347471317</v>
      </c>
      <c r="E30" s="15">
        <v>315.78743293334003</v>
      </c>
      <c r="F30" s="15" t="s">
        <v>85</v>
      </c>
      <c r="G30" s="15">
        <v>6582.7857142857101</v>
      </c>
      <c r="H30" s="15">
        <v>7196.9583333333303</v>
      </c>
      <c r="I30" s="15">
        <v>1074.3499999999999</v>
      </c>
      <c r="J30" s="15">
        <v>8955.3123557632407</v>
      </c>
      <c r="K30" s="15">
        <v>10773.0806665603</v>
      </c>
      <c r="L30" s="15">
        <v>1850.78407964915</v>
      </c>
      <c r="M30" s="15">
        <v>638.84987728375597</v>
      </c>
      <c r="N30" s="15">
        <v>447.52054549877698</v>
      </c>
      <c r="O30" s="15">
        <v>182.95603896965801</v>
      </c>
      <c r="P30" s="15">
        <v>275.544990326679</v>
      </c>
      <c r="Q30" s="15">
        <v>326.09272336520002</v>
      </c>
      <c r="R30" s="15">
        <v>148.990829878353</v>
      </c>
    </row>
    <row r="31" spans="1:18" x14ac:dyDescent="0.2">
      <c r="A31" s="18">
        <v>219</v>
      </c>
      <c r="B31" s="15">
        <v>20789.086206896602</v>
      </c>
      <c r="C31" s="15">
        <v>27284.146416794199</v>
      </c>
      <c r="D31" s="15">
        <v>912.67980932099704</v>
      </c>
      <c r="E31" s="15">
        <v>571.74974559386499</v>
      </c>
      <c r="F31" s="15" t="s">
        <v>86</v>
      </c>
      <c r="G31" s="15">
        <v>25008.714285714301</v>
      </c>
      <c r="H31" s="15">
        <v>11212.666666666701</v>
      </c>
      <c r="I31" s="15">
        <v>29327.05</v>
      </c>
      <c r="J31" s="15">
        <v>30915.4482389353</v>
      </c>
      <c r="K31" s="15">
        <v>11342.411027391199</v>
      </c>
      <c r="L31" s="15">
        <v>34511.449473039698</v>
      </c>
      <c r="M31" s="15">
        <v>1148.4676077415099</v>
      </c>
      <c r="N31" s="15">
        <v>711.80961520723702</v>
      </c>
      <c r="O31" s="15">
        <v>988.67258336315103</v>
      </c>
      <c r="P31" s="15">
        <v>613.56924495157</v>
      </c>
      <c r="Q31" s="15">
        <v>536.26057472669595</v>
      </c>
      <c r="R31" s="15">
        <v>516.13304014213497</v>
      </c>
    </row>
    <row r="32" spans="1:18" x14ac:dyDescent="0.2">
      <c r="A32" s="18">
        <v>410</v>
      </c>
      <c r="B32" s="15">
        <v>239.44827586206901</v>
      </c>
      <c r="C32" s="15">
        <v>216.484692977366</v>
      </c>
      <c r="D32" s="15">
        <v>139.00365241075301</v>
      </c>
      <c r="E32" s="15">
        <v>131.12100240026501</v>
      </c>
      <c r="F32" s="15" t="s">
        <v>88</v>
      </c>
      <c r="G32" s="15">
        <v>340.71428571428601</v>
      </c>
      <c r="H32" s="15">
        <v>214.541666666667</v>
      </c>
      <c r="I32" s="15">
        <v>198.45</v>
      </c>
      <c r="J32" s="15">
        <v>228.17721026806001</v>
      </c>
      <c r="K32" s="15">
        <v>206.656491204953</v>
      </c>
      <c r="L32" s="15">
        <v>203.952003735159</v>
      </c>
      <c r="M32" s="15">
        <v>229.92277842465799</v>
      </c>
      <c r="N32" s="15">
        <v>132.438757712821</v>
      </c>
      <c r="O32" s="15">
        <v>83.238137838538407</v>
      </c>
      <c r="P32" s="15">
        <v>215.41599697134001</v>
      </c>
      <c r="Q32" s="15">
        <v>79.939876112702905</v>
      </c>
      <c r="R32" s="15">
        <v>44.872186191477198</v>
      </c>
    </row>
    <row r="33" spans="1:18" x14ac:dyDescent="0.2">
      <c r="A33" s="18">
        <v>424</v>
      </c>
      <c r="B33" s="15">
        <v>1553.46551724138</v>
      </c>
      <c r="C33" s="15">
        <v>2274.1376819514498</v>
      </c>
      <c r="D33" s="15">
        <v>231.37090299121601</v>
      </c>
      <c r="E33" s="15">
        <v>128.01667594077901</v>
      </c>
      <c r="F33" s="15" t="s">
        <v>89</v>
      </c>
      <c r="G33" s="15">
        <v>2553</v>
      </c>
      <c r="H33" s="15">
        <v>1942.25</v>
      </c>
      <c r="I33" s="15">
        <v>387.25</v>
      </c>
      <c r="J33" s="15">
        <v>2265.4095987260198</v>
      </c>
      <c r="K33" s="15">
        <v>2797.4223581718902</v>
      </c>
      <c r="L33" s="15">
        <v>186.25417144136799</v>
      </c>
      <c r="M33" s="15">
        <v>319.62373625680402</v>
      </c>
      <c r="N33" s="15">
        <v>246.98295721070801</v>
      </c>
      <c r="O33" s="15">
        <v>150.859454641914</v>
      </c>
      <c r="P33" s="15">
        <v>88.475594144246202</v>
      </c>
      <c r="Q33" s="15">
        <v>148.00564176571899</v>
      </c>
      <c r="R33" s="15">
        <v>64.148797467805494</v>
      </c>
    </row>
    <row r="34" spans="1:18" x14ac:dyDescent="0.2">
      <c r="A34" s="18">
        <v>480</v>
      </c>
      <c r="B34" s="15">
        <v>823.29310344827604</v>
      </c>
      <c r="C34" s="15">
        <v>1768.9128584761099</v>
      </c>
      <c r="D34" s="15">
        <v>164.71249416611801</v>
      </c>
      <c r="E34" s="15">
        <v>188.33899183244699</v>
      </c>
      <c r="F34" s="15" t="s">
        <v>90</v>
      </c>
      <c r="G34" s="15">
        <v>31.785714285714299</v>
      </c>
      <c r="H34" s="15">
        <v>1544.2916666666699</v>
      </c>
      <c r="I34" s="15">
        <v>512.15</v>
      </c>
      <c r="J34" s="15">
        <v>33.650249415335502</v>
      </c>
      <c r="K34" s="15">
        <v>2509.7019127919202</v>
      </c>
      <c r="L34" s="15">
        <v>691.078394549991</v>
      </c>
      <c r="M34" s="15">
        <v>65.052027768678201</v>
      </c>
      <c r="N34" s="15">
        <v>255.59769758956199</v>
      </c>
      <c r="O34" s="15">
        <v>125.41257653619201</v>
      </c>
      <c r="P34" s="15">
        <v>38.820675341869702</v>
      </c>
      <c r="Q34" s="15">
        <v>252.021549343831</v>
      </c>
      <c r="R34" s="15">
        <v>91.936872350982</v>
      </c>
    </row>
    <row r="35" spans="1:18" x14ac:dyDescent="0.2">
      <c r="A35" s="18">
        <v>482</v>
      </c>
      <c r="B35" s="15">
        <v>501.10344827586198</v>
      </c>
      <c r="C35" s="15">
        <v>539.906554888183</v>
      </c>
      <c r="D35" s="15">
        <v>218.471487115738</v>
      </c>
      <c r="E35" s="15">
        <v>117.013311164529</v>
      </c>
      <c r="F35" s="15" t="s">
        <v>91</v>
      </c>
      <c r="G35" s="15">
        <v>824.42857142857099</v>
      </c>
      <c r="H35" s="15">
        <v>427.20833333333297</v>
      </c>
      <c r="I35" s="15">
        <v>363.45</v>
      </c>
      <c r="J35" s="15">
        <v>523.17199097701803</v>
      </c>
      <c r="K35" s="15">
        <v>459.28396717063799</v>
      </c>
      <c r="L35" s="15">
        <v>564.81390511724601</v>
      </c>
      <c r="M35" s="15">
        <v>305.74495452650501</v>
      </c>
      <c r="N35" s="15">
        <v>170.93945781663299</v>
      </c>
      <c r="O35" s="15">
        <v>214.41849508712599</v>
      </c>
      <c r="P35" s="15">
        <v>137.660193711505</v>
      </c>
      <c r="Q35" s="15">
        <v>98.166241345662996</v>
      </c>
      <c r="R35" s="15">
        <v>86.991225816706105</v>
      </c>
    </row>
    <row r="36" spans="1:18" x14ac:dyDescent="0.2">
      <c r="A36" s="18">
        <v>532</v>
      </c>
      <c r="B36" s="15">
        <v>294.67241379310298</v>
      </c>
      <c r="C36" s="15">
        <v>367.10917224502998</v>
      </c>
      <c r="D36" s="15">
        <v>129.75825900058601</v>
      </c>
      <c r="E36" s="15">
        <v>78.610966177936106</v>
      </c>
      <c r="F36" s="15" t="s">
        <v>93</v>
      </c>
      <c r="G36" s="15">
        <v>359.21428571428601</v>
      </c>
      <c r="H36" s="15">
        <v>411.75</v>
      </c>
      <c r="I36" s="15">
        <v>109</v>
      </c>
      <c r="J36" s="15">
        <v>256.03772043531802</v>
      </c>
      <c r="K36" s="15">
        <v>487.33949005947397</v>
      </c>
      <c r="L36" s="15">
        <v>110.075835927657</v>
      </c>
      <c r="M36" s="15">
        <v>158.27130470470499</v>
      </c>
      <c r="N36" s="15">
        <v>137.98222101440999</v>
      </c>
      <c r="O36" s="15">
        <v>99.930372591112601</v>
      </c>
      <c r="P36" s="15">
        <v>70.776476793492193</v>
      </c>
      <c r="Q36" s="15">
        <v>81.176187653699699</v>
      </c>
      <c r="R36" s="15">
        <v>72.9744402878366</v>
      </c>
    </row>
    <row r="37" spans="1:18" x14ac:dyDescent="0.2">
      <c r="A37" s="18">
        <v>538</v>
      </c>
      <c r="B37" s="15">
        <v>2026.1896551724101</v>
      </c>
      <c r="C37" s="15">
        <v>3964.9743013928501</v>
      </c>
      <c r="D37" s="15">
        <v>302.81086568676</v>
      </c>
      <c r="E37" s="15">
        <v>314.653385103228</v>
      </c>
      <c r="F37" s="15" t="s">
        <v>94</v>
      </c>
      <c r="G37" s="15">
        <v>1909.42857142857</v>
      </c>
      <c r="H37" s="15">
        <v>612.625</v>
      </c>
      <c r="I37" s="15">
        <v>3804.2</v>
      </c>
      <c r="J37" s="15">
        <v>2202.5675772023101</v>
      </c>
      <c r="K37" s="15">
        <v>807.55472503637304</v>
      </c>
      <c r="L37" s="15">
        <v>6060.3198456050604</v>
      </c>
      <c r="M37" s="15">
        <v>245.242101582206</v>
      </c>
      <c r="N37" s="15">
        <v>143.80707269295399</v>
      </c>
      <c r="O37" s="15">
        <v>533.91355215251394</v>
      </c>
      <c r="P37" s="15">
        <v>86.974345025335296</v>
      </c>
      <c r="Q37" s="15">
        <v>76.585043481515001</v>
      </c>
      <c r="R37" s="15">
        <v>438.49252752620902</v>
      </c>
    </row>
    <row r="38" spans="1:18" x14ac:dyDescent="0.2">
      <c r="A38" s="18">
        <v>593</v>
      </c>
      <c r="B38" s="15">
        <v>713.43103448275895</v>
      </c>
      <c r="C38" s="15">
        <v>470.578035025985</v>
      </c>
      <c r="D38" s="15">
        <v>210.059442907045</v>
      </c>
      <c r="E38" s="15">
        <v>81.125445782942904</v>
      </c>
      <c r="F38" s="15" t="s">
        <v>95</v>
      </c>
      <c r="G38" s="15">
        <v>722.42857142857099</v>
      </c>
      <c r="H38" s="15">
        <v>733.41666666666697</v>
      </c>
      <c r="I38" s="15">
        <v>683.15</v>
      </c>
      <c r="J38" s="15">
        <v>482.26865660423903</v>
      </c>
      <c r="K38" s="15">
        <v>424.61231897881999</v>
      </c>
      <c r="L38" s="15">
        <v>526.49005541251802</v>
      </c>
      <c r="M38" s="15">
        <v>181.12431034693901</v>
      </c>
      <c r="N38" s="15">
        <v>232.09364491426899</v>
      </c>
      <c r="O38" s="15">
        <v>203.872993290452</v>
      </c>
      <c r="P38" s="15">
        <v>54.948353809658201</v>
      </c>
      <c r="Q38" s="15">
        <v>95.489551913970899</v>
      </c>
      <c r="R38" s="15">
        <v>71.9821005593367</v>
      </c>
    </row>
    <row r="39" spans="1:18" x14ac:dyDescent="0.2">
      <c r="A39" s="18">
        <v>755</v>
      </c>
      <c r="B39" s="15">
        <v>1150.60526315789</v>
      </c>
      <c r="C39" s="15">
        <v>1287.6456981945601</v>
      </c>
      <c r="D39" s="15">
        <v>206.267747302679</v>
      </c>
      <c r="E39" s="15">
        <v>101.94635880193</v>
      </c>
      <c r="F39" s="15" t="s">
        <v>97</v>
      </c>
      <c r="G39" s="15">
        <v>1802.5</v>
      </c>
      <c r="H39" s="15">
        <v>770.33333333333303</v>
      </c>
      <c r="I39" s="15" t="s">
        <v>113</v>
      </c>
      <c r="J39" s="15">
        <v>1488.95349994552</v>
      </c>
      <c r="K39" s="15">
        <v>991.10279126695195</v>
      </c>
      <c r="L39" s="15" t="s">
        <v>113</v>
      </c>
      <c r="M39" s="15">
        <v>258.36161873172802</v>
      </c>
      <c r="N39" s="15">
        <v>175.879655635734</v>
      </c>
      <c r="O39" s="15" t="s">
        <v>113</v>
      </c>
      <c r="P39" s="15">
        <v>82.406496424300201</v>
      </c>
      <c r="Q39" s="15">
        <v>100.848096608196</v>
      </c>
      <c r="R39" s="15" t="s">
        <v>113</v>
      </c>
    </row>
    <row r="40" spans="1:18" x14ac:dyDescent="0.2">
      <c r="A40" s="18">
        <v>792</v>
      </c>
      <c r="B40" s="15">
        <v>658.13793103448302</v>
      </c>
      <c r="C40" s="15">
        <v>841.29312733591598</v>
      </c>
      <c r="D40" s="15">
        <v>191.29432740591901</v>
      </c>
      <c r="E40" s="15">
        <v>141.41316270095601</v>
      </c>
      <c r="F40" s="15" t="s">
        <v>98</v>
      </c>
      <c r="G40" s="15">
        <v>721.357142857143</v>
      </c>
      <c r="H40" s="15">
        <v>598.91666666666697</v>
      </c>
      <c r="I40" s="15">
        <v>684.95</v>
      </c>
      <c r="J40" s="15">
        <v>527.80875188976199</v>
      </c>
      <c r="K40" s="15">
        <v>975.38611768439102</v>
      </c>
      <c r="L40" s="15">
        <v>866.36271322239497</v>
      </c>
      <c r="M40" s="15">
        <v>230.947938135459</v>
      </c>
      <c r="N40" s="15">
        <v>185.04796613715499</v>
      </c>
      <c r="O40" s="15">
        <v>171.03243341775701</v>
      </c>
      <c r="P40" s="15">
        <v>146.85307359191199</v>
      </c>
      <c r="Q40" s="15">
        <v>168.84114293473101</v>
      </c>
      <c r="R40" s="15">
        <v>91.724111160632305</v>
      </c>
    </row>
    <row r="41" spans="1:18" x14ac:dyDescent="0.2">
      <c r="A41" s="18">
        <v>806</v>
      </c>
      <c r="B41" s="15">
        <v>322.34210526315798</v>
      </c>
      <c r="C41" s="15">
        <v>286.53155457456597</v>
      </c>
      <c r="D41" s="15">
        <v>152.206906390554</v>
      </c>
      <c r="E41" s="15">
        <v>77.748294269479601</v>
      </c>
      <c r="F41" s="15" t="s">
        <v>99</v>
      </c>
      <c r="G41" s="15">
        <v>309.71428571428601</v>
      </c>
      <c r="H41" s="15">
        <v>329.70833333333297</v>
      </c>
      <c r="I41" s="15" t="s">
        <v>113</v>
      </c>
      <c r="J41" s="15">
        <v>340.249671984727</v>
      </c>
      <c r="K41" s="15">
        <v>255.05851919566601</v>
      </c>
      <c r="L41" s="15" t="s">
        <v>113</v>
      </c>
      <c r="M41" s="15">
        <v>127.518298311621</v>
      </c>
      <c r="N41" s="15">
        <v>166.608594436598</v>
      </c>
      <c r="O41" s="15" t="s">
        <v>113</v>
      </c>
      <c r="P41" s="15">
        <v>68.509317169791601</v>
      </c>
      <c r="Q41" s="15">
        <v>80.066281625206599</v>
      </c>
      <c r="R41" s="15" t="s">
        <v>113</v>
      </c>
    </row>
    <row r="42" spans="1:18" x14ac:dyDescent="0.2">
      <c r="A42" s="18">
        <v>867</v>
      </c>
      <c r="B42" s="15">
        <v>525.15517241379303</v>
      </c>
      <c r="C42" s="15">
        <v>1037.30859907325</v>
      </c>
      <c r="D42" s="15">
        <v>158.920563254992</v>
      </c>
      <c r="E42" s="15">
        <v>210.812065466001</v>
      </c>
      <c r="F42" s="15" t="s">
        <v>100</v>
      </c>
      <c r="G42" s="15">
        <v>1021.07142857143</v>
      </c>
      <c r="H42" s="15">
        <v>569.875</v>
      </c>
      <c r="I42" s="15">
        <v>124.35</v>
      </c>
      <c r="J42" s="15">
        <v>1854.6480547917599</v>
      </c>
      <c r="K42" s="15">
        <v>619.056313789672</v>
      </c>
      <c r="L42" s="15">
        <v>97.0942618781108</v>
      </c>
      <c r="M42" s="15">
        <v>312.31193375884999</v>
      </c>
      <c r="N42" s="15">
        <v>143.28761569656999</v>
      </c>
      <c r="O42" s="15">
        <v>70.306140972398694</v>
      </c>
      <c r="P42" s="15">
        <v>374.44813583684697</v>
      </c>
      <c r="Q42" s="15">
        <v>83.538992857123304</v>
      </c>
      <c r="R42" s="15">
        <v>34.751843385903499</v>
      </c>
    </row>
    <row r="43" spans="1:18" x14ac:dyDescent="0.2">
      <c r="A43" s="18">
        <v>887</v>
      </c>
      <c r="B43" s="15">
        <v>285.84482758620697</v>
      </c>
      <c r="C43" s="15">
        <v>455.03740780512197</v>
      </c>
      <c r="D43" s="15">
        <v>166.240919464499</v>
      </c>
      <c r="E43" s="15">
        <v>188.61190565336099</v>
      </c>
      <c r="F43" s="15" t="s">
        <v>101</v>
      </c>
      <c r="G43" s="15">
        <v>399.42857142857099</v>
      </c>
      <c r="H43" s="15">
        <v>266.95833333333297</v>
      </c>
      <c r="I43" s="15">
        <v>229</v>
      </c>
      <c r="J43" s="15">
        <v>576.01005385570897</v>
      </c>
      <c r="K43" s="15">
        <v>519.67006531617199</v>
      </c>
      <c r="L43" s="15">
        <v>214.84750004564199</v>
      </c>
      <c r="M43" s="15">
        <v>271.51394627185198</v>
      </c>
      <c r="N43" s="15">
        <v>121.068512814057</v>
      </c>
      <c r="O43" s="15">
        <v>146.75668867988199</v>
      </c>
      <c r="P43" s="15">
        <v>356.93841595945003</v>
      </c>
      <c r="Q43" s="15">
        <v>66.887076411615993</v>
      </c>
      <c r="R43" s="15">
        <v>35.785256498980601</v>
      </c>
    </row>
    <row r="44" spans="1:18" x14ac:dyDescent="0.2">
      <c r="A44" s="18">
        <v>896</v>
      </c>
      <c r="B44" s="15">
        <v>847.39655172413802</v>
      </c>
      <c r="C44" s="15">
        <v>973.71281204306194</v>
      </c>
      <c r="D44" s="15">
        <v>196.41289847507699</v>
      </c>
      <c r="E44" s="15">
        <v>163.905258663328</v>
      </c>
      <c r="F44" s="15" t="s">
        <v>102</v>
      </c>
      <c r="G44" s="15">
        <v>613.21428571428601</v>
      </c>
      <c r="H44" s="15">
        <v>910.16666666666697</v>
      </c>
      <c r="I44" s="15">
        <v>936</v>
      </c>
      <c r="J44" s="15">
        <v>388.58810363380201</v>
      </c>
      <c r="K44" s="15">
        <v>949.22243366422197</v>
      </c>
      <c r="L44" s="15">
        <v>1251.9388480713999</v>
      </c>
      <c r="M44" s="15">
        <v>147.20481479288199</v>
      </c>
      <c r="N44" s="15">
        <v>195.72941846559399</v>
      </c>
      <c r="O44" s="15">
        <v>231.67873306399301</v>
      </c>
      <c r="P44" s="15">
        <v>59.920184839689597</v>
      </c>
      <c r="Q44" s="15">
        <v>121.409402189158</v>
      </c>
      <c r="R44" s="15">
        <v>237.406235501471</v>
      </c>
    </row>
    <row r="45" spans="1:18" x14ac:dyDescent="0.2">
      <c r="A45" s="18">
        <v>933</v>
      </c>
      <c r="B45" s="15">
        <v>661.86206896551698</v>
      </c>
      <c r="C45" s="15">
        <v>1079.9769449780099</v>
      </c>
      <c r="D45" s="15">
        <v>166.35718377172</v>
      </c>
      <c r="E45" s="15">
        <v>94.656293912088302</v>
      </c>
      <c r="F45" s="15" t="s">
        <v>103</v>
      </c>
      <c r="G45" s="15">
        <v>316.42857142857099</v>
      </c>
      <c r="H45" s="15">
        <v>1366.125</v>
      </c>
      <c r="I45" s="15">
        <v>58.55</v>
      </c>
      <c r="J45" s="15">
        <v>227.639423525138</v>
      </c>
      <c r="K45" s="15">
        <v>1393.29299746525</v>
      </c>
      <c r="L45" s="15">
        <v>39.196751712706799</v>
      </c>
      <c r="M45" s="15">
        <v>173.19693570778</v>
      </c>
      <c r="N45" s="15">
        <v>224.50971547833899</v>
      </c>
      <c r="O45" s="15">
        <v>91.786319368536496</v>
      </c>
      <c r="P45" s="15">
        <v>114.047979264654</v>
      </c>
      <c r="Q45" s="15">
        <v>67.525462588075499</v>
      </c>
      <c r="R45" s="15">
        <v>45.963792450455699</v>
      </c>
    </row>
    <row r="46" spans="1:18" x14ac:dyDescent="0.2">
      <c r="A46" s="17">
        <v>1005</v>
      </c>
      <c r="B46" s="15">
        <v>155.625</v>
      </c>
      <c r="C46" s="15">
        <v>249.589605950058</v>
      </c>
      <c r="D46" s="15">
        <v>152.408613914749</v>
      </c>
      <c r="E46" s="15">
        <v>192.370044734836</v>
      </c>
      <c r="F46" s="15" t="s">
        <v>34</v>
      </c>
      <c r="G46" s="15" t="s">
        <v>113</v>
      </c>
      <c r="H46" s="15">
        <v>109.708333333333</v>
      </c>
      <c r="I46" s="15" t="s">
        <v>113</v>
      </c>
      <c r="J46" s="15" t="s">
        <v>113</v>
      </c>
      <c r="K46" s="15">
        <v>105.972932864954</v>
      </c>
      <c r="L46" s="15" t="s">
        <v>113</v>
      </c>
      <c r="M46" s="15" t="s">
        <v>113</v>
      </c>
      <c r="N46" s="15">
        <v>110.15352459911701</v>
      </c>
      <c r="O46" s="15" t="s">
        <v>113</v>
      </c>
      <c r="P46" s="15" t="s">
        <v>113</v>
      </c>
      <c r="Q46" s="15">
        <v>88.762935825161193</v>
      </c>
      <c r="R46" s="15" t="s">
        <v>113</v>
      </c>
    </row>
    <row r="47" spans="1:18" x14ac:dyDescent="0.2">
      <c r="A47" s="18">
        <v>1025</v>
      </c>
      <c r="B47" s="15">
        <v>692.56896551724105</v>
      </c>
      <c r="C47" s="15">
        <v>1192.9258836126801</v>
      </c>
      <c r="D47" s="15">
        <v>164.66510147071801</v>
      </c>
      <c r="E47" s="15">
        <v>115.40259751713501</v>
      </c>
      <c r="F47" s="15" t="s">
        <v>36</v>
      </c>
      <c r="G47" s="15">
        <v>1565.2857142857099</v>
      </c>
      <c r="H47" s="15">
        <v>606.66666666666697</v>
      </c>
      <c r="I47" s="15">
        <v>184.75</v>
      </c>
      <c r="J47" s="15">
        <v>2076.0469080166999</v>
      </c>
      <c r="K47" s="15">
        <v>572.68496700068101</v>
      </c>
      <c r="L47" s="15">
        <v>156.417751329683</v>
      </c>
      <c r="M47" s="15">
        <v>280.04253261412401</v>
      </c>
      <c r="N47" s="15">
        <v>164.49403587921501</v>
      </c>
      <c r="O47" s="15">
        <v>84.106178380138303</v>
      </c>
      <c r="P47" s="15">
        <v>145.262686774017</v>
      </c>
      <c r="Q47" s="15">
        <v>80.985995248268296</v>
      </c>
      <c r="R47" s="15">
        <v>25.9326147653627</v>
      </c>
    </row>
    <row r="48" spans="1:18" x14ac:dyDescent="0.2">
      <c r="A48" s="18">
        <v>1027</v>
      </c>
      <c r="B48" s="15">
        <v>1439.43103448276</v>
      </c>
      <c r="C48" s="15">
        <v>4672.4798195169396</v>
      </c>
      <c r="D48" s="15">
        <v>300.38401899194599</v>
      </c>
      <c r="E48" s="15">
        <v>374.88060387464202</v>
      </c>
      <c r="F48" s="15" t="s">
        <v>37</v>
      </c>
      <c r="G48" s="15">
        <v>1402.92857142857</v>
      </c>
      <c r="H48" s="15">
        <v>176.875</v>
      </c>
      <c r="I48" s="15">
        <v>2980.05</v>
      </c>
      <c r="J48" s="15">
        <v>2914.5097455906498</v>
      </c>
      <c r="K48" s="15">
        <v>174.89439160329201</v>
      </c>
      <c r="L48" s="15">
        <v>7376.5261253823501</v>
      </c>
      <c r="M48" s="15">
        <v>295.166840476728</v>
      </c>
      <c r="N48" s="15">
        <v>219.633803397615</v>
      </c>
      <c r="O48" s="15">
        <v>400.93630266579498</v>
      </c>
      <c r="P48" s="15">
        <v>305.39640558912402</v>
      </c>
      <c r="Q48" s="15">
        <v>128.19710985199899</v>
      </c>
      <c r="R48" s="15">
        <v>560.38371911512502</v>
      </c>
    </row>
    <row r="49" spans="1:18" x14ac:dyDescent="0.2">
      <c r="A49" s="18">
        <v>1107</v>
      </c>
      <c r="B49" s="15">
        <v>397.62068965517199</v>
      </c>
      <c r="C49" s="15">
        <v>1024.1295991455499</v>
      </c>
      <c r="D49" s="15">
        <v>197.599288515648</v>
      </c>
      <c r="E49" s="15">
        <v>246.609436785627</v>
      </c>
      <c r="F49" s="15" t="s">
        <v>40</v>
      </c>
      <c r="G49" s="15">
        <v>227.5</v>
      </c>
      <c r="H49" s="15">
        <v>792.25</v>
      </c>
      <c r="I49" s="15">
        <v>43.15</v>
      </c>
      <c r="J49" s="15">
        <v>290.44444391311703</v>
      </c>
      <c r="K49" s="15">
        <v>1496.8960527896199</v>
      </c>
      <c r="L49" s="15">
        <v>60.2215951070825</v>
      </c>
      <c r="M49" s="15">
        <v>258.789345383068</v>
      </c>
      <c r="N49" s="15">
        <v>286.00576650097202</v>
      </c>
      <c r="O49" s="15">
        <v>48.678475126065202</v>
      </c>
      <c r="P49" s="15">
        <v>379.07346834050003</v>
      </c>
      <c r="Q49" s="15">
        <v>192.99204458473901</v>
      </c>
      <c r="R49" s="15">
        <v>30.702511186237199</v>
      </c>
    </row>
    <row r="50" spans="1:18" x14ac:dyDescent="0.2">
      <c r="A50" s="18">
        <v>1178</v>
      </c>
      <c r="B50" s="15">
        <v>3342.8793103448302</v>
      </c>
      <c r="C50" s="15">
        <v>4508.7560619913502</v>
      </c>
      <c r="D50" s="15">
        <v>364.17257046954597</v>
      </c>
      <c r="E50" s="15">
        <v>257.79266604338699</v>
      </c>
      <c r="F50" s="15" t="s">
        <v>41</v>
      </c>
      <c r="G50" s="15">
        <v>3163.6428571428601</v>
      </c>
      <c r="H50" s="15">
        <v>2277.25</v>
      </c>
      <c r="I50" s="15">
        <v>4747.1000000000004</v>
      </c>
      <c r="J50" s="15">
        <v>2642.0713850256602</v>
      </c>
      <c r="K50" s="15">
        <v>2319.0930909055201</v>
      </c>
      <c r="L50" s="15">
        <v>6745.9467593000099</v>
      </c>
      <c r="M50" s="15">
        <v>348.98519788520798</v>
      </c>
      <c r="N50" s="15">
        <v>282.21946947116402</v>
      </c>
      <c r="O50" s="15">
        <v>473.147452476642</v>
      </c>
      <c r="P50" s="15">
        <v>116.059163749329</v>
      </c>
      <c r="Q50" s="15">
        <v>172.16185106613599</v>
      </c>
      <c r="R50" s="15">
        <v>362.25472724960701</v>
      </c>
    </row>
    <row r="51" spans="1:18" x14ac:dyDescent="0.2">
      <c r="A51" s="18">
        <v>1188</v>
      </c>
      <c r="B51" s="15">
        <v>1488.05263157895</v>
      </c>
      <c r="C51" s="15">
        <v>1432.2582807911199</v>
      </c>
      <c r="D51" s="15">
        <v>253.596257943772</v>
      </c>
      <c r="E51" s="15">
        <v>149.10211374366301</v>
      </c>
      <c r="F51" s="15" t="s">
        <v>42</v>
      </c>
      <c r="G51" s="15">
        <v>1900.07142857143</v>
      </c>
      <c r="H51" s="15">
        <v>1247.7083333333301</v>
      </c>
      <c r="I51" s="15" t="s">
        <v>113</v>
      </c>
      <c r="J51" s="15">
        <v>1546.8156425841</v>
      </c>
      <c r="K51" s="15">
        <v>1324.26902950269</v>
      </c>
      <c r="L51" s="15" t="s">
        <v>113</v>
      </c>
      <c r="M51" s="15">
        <v>224.58532526734501</v>
      </c>
      <c r="N51" s="15">
        <v>270.51930200502102</v>
      </c>
      <c r="O51" s="15" t="s">
        <v>113</v>
      </c>
      <c r="P51" s="15">
        <v>95.515288067971099</v>
      </c>
      <c r="Q51" s="15">
        <v>171.922982369896</v>
      </c>
      <c r="R51" s="15" t="s">
        <v>113</v>
      </c>
    </row>
    <row r="52" spans="1:18" x14ac:dyDescent="0.2">
      <c r="A52" s="18">
        <v>1198</v>
      </c>
      <c r="B52" s="15">
        <v>416.277777777778</v>
      </c>
      <c r="C52" s="15">
        <v>488.720496061338</v>
      </c>
      <c r="D52" s="15">
        <v>125.80544073659399</v>
      </c>
      <c r="E52" s="15">
        <v>59.808139518609003</v>
      </c>
      <c r="F52" s="15" t="s">
        <v>43</v>
      </c>
      <c r="G52" s="15" t="s">
        <v>113</v>
      </c>
      <c r="H52" s="15">
        <v>368.125</v>
      </c>
      <c r="I52" s="15" t="s">
        <v>113</v>
      </c>
      <c r="J52" s="15" t="s">
        <v>113</v>
      </c>
      <c r="K52" s="15">
        <v>536.90482496568097</v>
      </c>
      <c r="L52" s="15" t="s">
        <v>113</v>
      </c>
      <c r="M52" s="15" t="s">
        <v>113</v>
      </c>
      <c r="N52" s="15">
        <v>120.06712057135</v>
      </c>
      <c r="O52" s="15" t="s">
        <v>113</v>
      </c>
      <c r="P52" s="15" t="s">
        <v>113</v>
      </c>
      <c r="Q52" s="15">
        <v>46.0892932516022</v>
      </c>
      <c r="R52" s="15" t="s">
        <v>113</v>
      </c>
    </row>
    <row r="53" spans="1:18" x14ac:dyDescent="0.2">
      <c r="A53" s="18">
        <v>1230</v>
      </c>
      <c r="B53" s="15">
        <v>541.40476190476204</v>
      </c>
      <c r="C53" s="15">
        <v>610.85419342271803</v>
      </c>
      <c r="D53" s="15">
        <v>129.44409053335801</v>
      </c>
      <c r="E53" s="15">
        <v>55.0974146020503</v>
      </c>
      <c r="F53" s="15" t="s">
        <v>44</v>
      </c>
      <c r="G53" s="15" t="s">
        <v>113</v>
      </c>
      <c r="H53" s="15">
        <v>407.83333333333297</v>
      </c>
      <c r="I53" s="15" t="s">
        <v>113</v>
      </c>
      <c r="J53" s="15" t="s">
        <v>113</v>
      </c>
      <c r="K53" s="15">
        <v>319.20354008061997</v>
      </c>
      <c r="L53" s="15" t="s">
        <v>113</v>
      </c>
      <c r="M53" s="15" t="s">
        <v>113</v>
      </c>
      <c r="N53" s="15">
        <v>129.80805364488799</v>
      </c>
      <c r="O53" s="15" t="s">
        <v>113</v>
      </c>
      <c r="P53" s="15" t="s">
        <v>113</v>
      </c>
      <c r="Q53" s="15">
        <v>48.934790749001898</v>
      </c>
      <c r="R53" s="15" t="s">
        <v>113</v>
      </c>
    </row>
    <row r="54" spans="1:18" x14ac:dyDescent="0.2">
      <c r="A54" s="18">
        <v>2002</v>
      </c>
      <c r="B54" s="15">
        <v>1527.55357142857</v>
      </c>
      <c r="C54" s="15">
        <v>2658.8524542744999</v>
      </c>
      <c r="D54" s="15">
        <v>196.551665572497</v>
      </c>
      <c r="E54" s="15">
        <v>107.632714071165</v>
      </c>
      <c r="F54" s="15" t="s">
        <v>58</v>
      </c>
      <c r="G54" s="15">
        <v>815.5</v>
      </c>
      <c r="H54" s="15">
        <v>1951.4583333333301</v>
      </c>
      <c r="I54" s="15" t="s">
        <v>113</v>
      </c>
      <c r="J54" s="15">
        <v>1113.05138021567</v>
      </c>
      <c r="K54" s="15">
        <v>3792.7662791443199</v>
      </c>
      <c r="L54" s="15" t="s">
        <v>113</v>
      </c>
      <c r="M54" s="15">
        <v>162.811678361302</v>
      </c>
      <c r="N54" s="15">
        <v>201.47762890920001</v>
      </c>
      <c r="O54" s="15" t="s">
        <v>113</v>
      </c>
      <c r="P54" s="15">
        <v>64.967952623304598</v>
      </c>
      <c r="Q54" s="15">
        <v>137.61171818115301</v>
      </c>
      <c r="R54" s="15" t="s">
        <v>113</v>
      </c>
    </row>
    <row r="55" spans="1:18" x14ac:dyDescent="0.2">
      <c r="A55" s="18">
        <v>2006</v>
      </c>
      <c r="B55" s="15">
        <v>159.23684210526301</v>
      </c>
      <c r="C55" s="15">
        <v>155.58877533832</v>
      </c>
      <c r="D55" s="15">
        <v>83.951073226331602</v>
      </c>
      <c r="E55" s="15">
        <v>43.250357185676997</v>
      </c>
      <c r="F55" s="15" t="s">
        <v>59</v>
      </c>
      <c r="G55" s="15">
        <v>77.071428571428598</v>
      </c>
      <c r="H55" s="15">
        <v>207.166666666667</v>
      </c>
      <c r="I55" s="15" t="s">
        <v>113</v>
      </c>
      <c r="J55" s="15">
        <v>58.1389038670075</v>
      </c>
      <c r="K55" s="15">
        <v>174.320066872078</v>
      </c>
      <c r="L55" s="15" t="s">
        <v>113</v>
      </c>
      <c r="M55" s="15">
        <v>93.509250319292704</v>
      </c>
      <c r="N55" s="15">
        <v>78.375469922104202</v>
      </c>
      <c r="O55" s="15" t="s">
        <v>113</v>
      </c>
      <c r="P55" s="15">
        <v>60.308658867985699</v>
      </c>
      <c r="Q55" s="15">
        <v>28.771446713659898</v>
      </c>
      <c r="R55" s="15" t="s">
        <v>113</v>
      </c>
    </row>
    <row r="56" spans="1:18" x14ac:dyDescent="0.2">
      <c r="A56" s="18">
        <v>2008</v>
      </c>
      <c r="B56" s="15">
        <v>790.36206896551698</v>
      </c>
      <c r="C56" s="15">
        <v>962.95911940098995</v>
      </c>
      <c r="D56" s="15">
        <v>192.22536198019199</v>
      </c>
      <c r="E56" s="15">
        <v>138.04935256718201</v>
      </c>
      <c r="F56" s="15" t="s">
        <v>60</v>
      </c>
      <c r="G56" s="15">
        <v>1193.6428571428601</v>
      </c>
      <c r="H56" s="15">
        <v>766.79166666666697</v>
      </c>
      <c r="I56" s="15">
        <v>536.35</v>
      </c>
      <c r="J56" s="15">
        <v>1089.07670922274</v>
      </c>
      <c r="K56" s="15">
        <v>1136.2184546933399</v>
      </c>
      <c r="L56" s="15">
        <v>434.28341989201402</v>
      </c>
      <c r="M56" s="15">
        <v>198.277041395407</v>
      </c>
      <c r="N56" s="15">
        <v>184.49352178526601</v>
      </c>
      <c r="O56" s="15">
        <v>197.26739462345199</v>
      </c>
      <c r="P56" s="15">
        <v>97.802774434577202</v>
      </c>
      <c r="Q56" s="15">
        <v>180.56704556141301</v>
      </c>
      <c r="R56" s="15">
        <v>102.184432559692</v>
      </c>
    </row>
    <row r="57" spans="1:18" x14ac:dyDescent="0.2">
      <c r="A57" s="18">
        <v>2009</v>
      </c>
      <c r="B57" s="15">
        <v>225.172413793103</v>
      </c>
      <c r="C57" s="15">
        <v>226.32548628420099</v>
      </c>
      <c r="D57" s="15">
        <v>89.739827001511003</v>
      </c>
      <c r="E57" s="15">
        <v>39.181569686861899</v>
      </c>
      <c r="F57" s="15" t="s">
        <v>61</v>
      </c>
      <c r="G57" s="15">
        <v>256</v>
      </c>
      <c r="H57" s="15">
        <v>175.083333333333</v>
      </c>
      <c r="I57" s="15">
        <v>263.7</v>
      </c>
      <c r="J57" s="15">
        <v>283.55356636797899</v>
      </c>
      <c r="K57" s="15">
        <v>149.28527341014899</v>
      </c>
      <c r="L57" s="15">
        <v>253.41272727475101</v>
      </c>
      <c r="M57" s="15">
        <v>89.328946162208496</v>
      </c>
      <c r="N57" s="15">
        <v>73.080372645950604</v>
      </c>
      <c r="O57" s="15">
        <v>110.018788815695</v>
      </c>
      <c r="P57" s="15">
        <v>42.723133952376699</v>
      </c>
      <c r="Q57" s="15">
        <v>28.583503140318001</v>
      </c>
      <c r="R57" s="15">
        <v>39.213789451432397</v>
      </c>
    </row>
    <row r="58" spans="1:18" x14ac:dyDescent="0.2">
      <c r="A58" s="18">
        <v>2010</v>
      </c>
      <c r="B58" s="15">
        <v>1807.1551724137901</v>
      </c>
      <c r="C58" s="15">
        <v>2425.0700712848602</v>
      </c>
      <c r="D58" s="15">
        <v>236.329653302525</v>
      </c>
      <c r="E58" s="15">
        <v>146.01314817485201</v>
      </c>
      <c r="F58" s="15" t="s">
        <v>62</v>
      </c>
      <c r="G58" s="15">
        <v>1174</v>
      </c>
      <c r="H58" s="15">
        <v>1185</v>
      </c>
      <c r="I58" s="15">
        <v>2996.95</v>
      </c>
      <c r="J58" s="15">
        <v>586.58989080958395</v>
      </c>
      <c r="K58" s="15">
        <v>1393.1358973809499</v>
      </c>
      <c r="L58" s="15">
        <v>3553.1944596522499</v>
      </c>
      <c r="M58" s="15">
        <v>190.35076235191801</v>
      </c>
      <c r="N58" s="15">
        <v>196.113183475021</v>
      </c>
      <c r="O58" s="15">
        <v>316.774640760956</v>
      </c>
      <c r="P58" s="15">
        <v>33.9746895111588</v>
      </c>
      <c r="Q58" s="15">
        <v>127.047406933972</v>
      </c>
      <c r="R58" s="15">
        <v>180.871629850674</v>
      </c>
    </row>
    <row r="59" spans="1:18" x14ac:dyDescent="0.2">
      <c r="A59" s="18">
        <v>2011</v>
      </c>
      <c r="B59" s="15">
        <v>1700.5</v>
      </c>
      <c r="C59" s="15">
        <v>2896.32676851214</v>
      </c>
      <c r="D59" s="15">
        <v>392.365510895456</v>
      </c>
      <c r="E59" s="15">
        <v>501.40633239026499</v>
      </c>
      <c r="F59" s="15" t="s">
        <v>63</v>
      </c>
      <c r="G59" s="15">
        <v>3234.7857142857101</v>
      </c>
      <c r="H59" s="15">
        <v>190.541666666667</v>
      </c>
      <c r="I59" s="15">
        <v>2438.4499999999998</v>
      </c>
      <c r="J59" s="15">
        <v>4403.1194270977603</v>
      </c>
      <c r="K59" s="15">
        <v>255.98402224134401</v>
      </c>
      <c r="L59" s="15">
        <v>2515.7120276443602</v>
      </c>
      <c r="M59" s="15">
        <v>844.80081548100497</v>
      </c>
      <c r="N59" s="15">
        <v>142.14770012429199</v>
      </c>
      <c r="O59" s="15">
        <v>375.92217061096898</v>
      </c>
      <c r="P59" s="15">
        <v>811.642404754371</v>
      </c>
      <c r="Q59" s="15">
        <v>154.31533245496499</v>
      </c>
      <c r="R59" s="15">
        <v>190.434932263191</v>
      </c>
    </row>
    <row r="60" spans="1:18" x14ac:dyDescent="0.2">
      <c r="A60" s="18">
        <v>2012</v>
      </c>
      <c r="B60" s="15">
        <v>1651.3275862068999</v>
      </c>
      <c r="C60" s="15">
        <v>2417.5482990143901</v>
      </c>
      <c r="D60" s="15">
        <v>295.79411540379903</v>
      </c>
      <c r="E60" s="15">
        <v>286.51703581492802</v>
      </c>
      <c r="F60" s="15" t="s">
        <v>64</v>
      </c>
      <c r="G60" s="15">
        <v>3387.2142857142899</v>
      </c>
      <c r="H60" s="15">
        <v>973.375</v>
      </c>
      <c r="I60" s="15">
        <v>1249.75</v>
      </c>
      <c r="J60" s="15">
        <v>2070.7179888351998</v>
      </c>
      <c r="K60" s="15">
        <v>2646.20479548406</v>
      </c>
      <c r="L60" s="15">
        <v>1733.29828973749</v>
      </c>
      <c r="M60" s="15">
        <v>333.72989633138002</v>
      </c>
      <c r="N60" s="15">
        <v>177.551121185341</v>
      </c>
      <c r="O60" s="15">
        <v>411.130661816643</v>
      </c>
      <c r="P60" s="15">
        <v>143.60232725260801</v>
      </c>
      <c r="Q60" s="15">
        <v>181.31141652717901</v>
      </c>
      <c r="R60" s="15">
        <v>396.722288023739</v>
      </c>
    </row>
    <row r="61" spans="1:18" x14ac:dyDescent="0.2">
      <c r="A61" s="18">
        <v>2013</v>
      </c>
      <c r="B61" s="15">
        <v>839.94827586206895</v>
      </c>
      <c r="C61" s="15">
        <v>585.408538695179</v>
      </c>
      <c r="D61" s="15">
        <v>147.57711911280401</v>
      </c>
      <c r="E61" s="15">
        <v>47.198617039018202</v>
      </c>
      <c r="F61" s="15" t="s">
        <v>65</v>
      </c>
      <c r="G61" s="15">
        <v>1106.1428571428601</v>
      </c>
      <c r="H61" s="15">
        <v>733.45833333333303</v>
      </c>
      <c r="I61" s="15">
        <v>781.4</v>
      </c>
      <c r="J61" s="15">
        <v>623.52498231540699</v>
      </c>
      <c r="K61" s="15">
        <v>598.28058843656299</v>
      </c>
      <c r="L61" s="15">
        <v>497.22622687229102</v>
      </c>
      <c r="M61" s="15">
        <v>167.38185189720599</v>
      </c>
      <c r="N61" s="15">
        <v>145.56582193318701</v>
      </c>
      <c r="O61" s="15">
        <v>136.12736277926399</v>
      </c>
      <c r="P61" s="15">
        <v>48.780903867684003</v>
      </c>
      <c r="Q61" s="15">
        <v>47.558267425124903</v>
      </c>
      <c r="R61" s="15">
        <v>42.5536407247765</v>
      </c>
    </row>
    <row r="62" spans="1:18" x14ac:dyDescent="0.2">
      <c r="A62" s="18">
        <v>2014</v>
      </c>
      <c r="B62" s="15">
        <v>258.81578947368399</v>
      </c>
      <c r="C62" s="15">
        <v>357.61730882001399</v>
      </c>
      <c r="D62" s="15">
        <v>108.954396811188</v>
      </c>
      <c r="E62" s="15">
        <v>79.888795415668298</v>
      </c>
      <c r="F62" s="15" t="s">
        <v>66</v>
      </c>
      <c r="G62" s="15">
        <v>117.642857142857</v>
      </c>
      <c r="H62" s="15">
        <v>341.16666666666703</v>
      </c>
      <c r="I62" s="15" t="s">
        <v>113</v>
      </c>
      <c r="J62" s="15">
        <v>151.205831803633</v>
      </c>
      <c r="K62" s="15">
        <v>415.48312669882102</v>
      </c>
      <c r="L62" s="15" t="s">
        <v>113</v>
      </c>
      <c r="M62" s="15">
        <v>92.079673038852405</v>
      </c>
      <c r="N62" s="15">
        <v>118.797985678383</v>
      </c>
      <c r="O62" s="15" t="s">
        <v>113</v>
      </c>
      <c r="P62" s="15">
        <v>84.568042556565004</v>
      </c>
      <c r="Q62" s="15">
        <v>76.513505055286998</v>
      </c>
      <c r="R62" s="15" t="s">
        <v>113</v>
      </c>
    </row>
    <row r="63" spans="1:18" x14ac:dyDescent="0.2">
      <c r="A63" s="18">
        <v>2015</v>
      </c>
      <c r="B63" s="15">
        <v>607.32758620689594</v>
      </c>
      <c r="C63" s="15">
        <v>1314.32551635852</v>
      </c>
      <c r="D63" s="15">
        <v>195.014137303361</v>
      </c>
      <c r="E63" s="15">
        <v>339.02651090446199</v>
      </c>
      <c r="F63" s="15" t="s">
        <v>67</v>
      </c>
      <c r="G63" s="15">
        <v>746.07142857142901</v>
      </c>
      <c r="H63" s="15">
        <v>200.875</v>
      </c>
      <c r="I63" s="15">
        <v>997.95</v>
      </c>
      <c r="J63" s="15">
        <v>1627.9481739732601</v>
      </c>
      <c r="K63" s="15">
        <v>389.98907264911202</v>
      </c>
      <c r="L63" s="15">
        <v>1653.67064200867</v>
      </c>
      <c r="M63" s="15">
        <v>256.44548731641299</v>
      </c>
      <c r="N63" s="15">
        <v>92.503021012246293</v>
      </c>
      <c r="O63" s="15">
        <v>275.02553184356299</v>
      </c>
      <c r="P63" s="15">
        <v>492.51959282381301</v>
      </c>
      <c r="Q63" s="15">
        <v>88.753955536511995</v>
      </c>
      <c r="R63" s="15">
        <v>376.36761393330698</v>
      </c>
    </row>
    <row r="64" spans="1:18" x14ac:dyDescent="0.2">
      <c r="A64" s="18">
        <v>2016</v>
      </c>
      <c r="B64" s="15">
        <v>4244.8448275862102</v>
      </c>
      <c r="C64" s="15">
        <v>11147.0693093679</v>
      </c>
      <c r="D64" s="15">
        <v>397.49351989260998</v>
      </c>
      <c r="E64" s="15">
        <v>463.64474339046802</v>
      </c>
      <c r="F64" s="15" t="s">
        <v>68</v>
      </c>
      <c r="G64" s="15">
        <v>8402</v>
      </c>
      <c r="H64" s="15">
        <v>1282.2083333333301</v>
      </c>
      <c r="I64" s="15">
        <v>4890</v>
      </c>
      <c r="J64" s="15">
        <v>18303.388231417699</v>
      </c>
      <c r="K64" s="15">
        <v>1416.2196630214401</v>
      </c>
      <c r="L64" s="15">
        <v>10544.2399588754</v>
      </c>
      <c r="M64" s="15">
        <v>469.72056447498301</v>
      </c>
      <c r="N64" s="15">
        <v>251.41667453147701</v>
      </c>
      <c r="O64" s="15">
        <v>522.22680311830902</v>
      </c>
      <c r="P64" s="15">
        <v>549.64278014989998</v>
      </c>
      <c r="Q64" s="15">
        <v>156.87632636915501</v>
      </c>
      <c r="R64" s="15">
        <v>594.19975226267798</v>
      </c>
    </row>
    <row r="65" spans="1:18" x14ac:dyDescent="0.2">
      <c r="A65" s="18">
        <v>2017</v>
      </c>
      <c r="B65" s="15">
        <v>26081.017241379301</v>
      </c>
      <c r="C65" s="15">
        <v>30324.230357902201</v>
      </c>
      <c r="D65" s="15">
        <v>1054.31825154891</v>
      </c>
      <c r="E65" s="15">
        <v>453.71139474844398</v>
      </c>
      <c r="F65" s="15" t="s">
        <v>69</v>
      </c>
      <c r="G65" s="15">
        <v>19903.571428571398</v>
      </c>
      <c r="H65" s="15">
        <v>35554.916666666701</v>
      </c>
      <c r="I65" s="15">
        <v>19036.55</v>
      </c>
      <c r="J65" s="15">
        <v>23946.626370579699</v>
      </c>
      <c r="K65" s="15">
        <v>36224.944453570701</v>
      </c>
      <c r="L65" s="15">
        <v>23608.396552538201</v>
      </c>
      <c r="M65" s="15">
        <v>886.47326893060495</v>
      </c>
      <c r="N65" s="15">
        <v>1245.9568884958101</v>
      </c>
      <c r="O65" s="15">
        <v>941.84337504544601</v>
      </c>
      <c r="P65" s="15">
        <v>572.98962571106404</v>
      </c>
      <c r="Q65" s="15">
        <v>349.40651062198702</v>
      </c>
      <c r="R65" s="15">
        <v>397.00997290997401</v>
      </c>
    </row>
    <row r="66" spans="1:18" x14ac:dyDescent="0.2">
      <c r="A66" s="18">
        <v>2018</v>
      </c>
      <c r="B66" s="15">
        <v>2224.89655172414</v>
      </c>
      <c r="C66" s="15">
        <v>2992.4664781572701</v>
      </c>
      <c r="D66" s="15">
        <v>302.26948475736901</v>
      </c>
      <c r="E66" s="15">
        <v>198.133994421702</v>
      </c>
      <c r="F66" s="15" t="s">
        <v>70</v>
      </c>
      <c r="G66" s="15">
        <v>2569</v>
      </c>
      <c r="H66" s="15">
        <v>2521.0416666666702</v>
      </c>
      <c r="I66" s="15">
        <v>1628.65</v>
      </c>
      <c r="J66" s="15">
        <v>2933.4991776034299</v>
      </c>
      <c r="K66" s="15">
        <v>3878.5147771776901</v>
      </c>
      <c r="L66" s="15">
        <v>1379.6479507843501</v>
      </c>
      <c r="M66" s="15">
        <v>246.67913947099501</v>
      </c>
      <c r="N66" s="15">
        <v>377.486797986238</v>
      </c>
      <c r="O66" s="15">
        <v>250.92195058318799</v>
      </c>
      <c r="P66" s="15">
        <v>122.53237709989899</v>
      </c>
      <c r="Q66" s="15">
        <v>256.98290122520399</v>
      </c>
      <c r="R66" s="15">
        <v>119.87773948586501</v>
      </c>
    </row>
    <row r="67" spans="1:18" x14ac:dyDescent="0.2">
      <c r="A67" s="18">
        <v>2019</v>
      </c>
      <c r="B67" s="15">
        <v>926.77586206896501</v>
      </c>
      <c r="C67" s="15">
        <v>1133.81681172495</v>
      </c>
      <c r="D67" s="15">
        <v>220.82013763366501</v>
      </c>
      <c r="E67" s="15">
        <v>99.532650775160405</v>
      </c>
      <c r="F67" s="15" t="s">
        <v>71</v>
      </c>
      <c r="G67" s="15">
        <v>1153.1428571428601</v>
      </c>
      <c r="H67" s="15">
        <v>926.41666666666697</v>
      </c>
      <c r="I67" s="15">
        <v>768.75</v>
      </c>
      <c r="J67" s="15">
        <v>818.56869202983103</v>
      </c>
      <c r="K67" s="15">
        <v>1361.3847860595099</v>
      </c>
      <c r="L67" s="15">
        <v>1024.9010612468101</v>
      </c>
      <c r="M67" s="15">
        <v>228.683096093193</v>
      </c>
      <c r="N67" s="15">
        <v>215.787144930035</v>
      </c>
      <c r="O67" s="15">
        <v>221.35565795635199</v>
      </c>
      <c r="P67" s="15">
        <v>66.290738653803203</v>
      </c>
      <c r="Q67" s="15">
        <v>113.80586916655599</v>
      </c>
      <c r="R67" s="15">
        <v>103.150394551153</v>
      </c>
    </row>
    <row r="68" spans="1:18" x14ac:dyDescent="0.2">
      <c r="A68" s="18">
        <v>2020</v>
      </c>
      <c r="B68" s="15">
        <v>55877.413793103398</v>
      </c>
      <c r="C68" s="15">
        <v>51163.525253348598</v>
      </c>
      <c r="D68" s="15">
        <v>1296.17419391622</v>
      </c>
      <c r="E68" s="15">
        <v>423.509330059104</v>
      </c>
      <c r="F68" s="15" t="s">
        <v>73</v>
      </c>
      <c r="G68" s="15">
        <v>49789.642857142899</v>
      </c>
      <c r="H68" s="15">
        <v>62757.375</v>
      </c>
      <c r="I68" s="15">
        <v>51882.9</v>
      </c>
      <c r="J68" s="15">
        <v>47866.006680666098</v>
      </c>
      <c r="K68" s="15">
        <v>54393.003593342401</v>
      </c>
      <c r="L68" s="15">
        <v>50099.111578329699</v>
      </c>
      <c r="M68" s="15">
        <v>1272.8123888254099</v>
      </c>
      <c r="N68" s="15">
        <v>1379.7664400502899</v>
      </c>
      <c r="O68" s="15">
        <v>1212.2167621189201</v>
      </c>
      <c r="P68" s="15">
        <v>409.184231995728</v>
      </c>
      <c r="Q68" s="15">
        <v>349.72624796497098</v>
      </c>
      <c r="R68" s="15">
        <v>502.44437200862899</v>
      </c>
    </row>
    <row r="69" spans="1:18" x14ac:dyDescent="0.2">
      <c r="A69" s="18">
        <v>2021</v>
      </c>
      <c r="B69" s="15">
        <v>3597.4137931034502</v>
      </c>
      <c r="C69" s="15">
        <v>3593.2711098169002</v>
      </c>
      <c r="D69" s="15">
        <v>334.30398542995198</v>
      </c>
      <c r="E69" s="15">
        <v>140.213576187569</v>
      </c>
      <c r="F69" s="15" t="s">
        <v>74</v>
      </c>
      <c r="G69" s="15">
        <v>4252.7857142857101</v>
      </c>
      <c r="H69" s="15">
        <v>3243.8333333333298</v>
      </c>
      <c r="I69" s="15">
        <v>3562.95</v>
      </c>
      <c r="J69" s="15">
        <v>3404.8266790375301</v>
      </c>
      <c r="K69" s="15">
        <v>3583.3957338974301</v>
      </c>
      <c r="L69" s="15">
        <v>3785.4486144882499</v>
      </c>
      <c r="M69" s="15">
        <v>382.71132236038301</v>
      </c>
      <c r="N69" s="15">
        <v>304.76344009638399</v>
      </c>
      <c r="O69" s="15">
        <v>335.86750397893297</v>
      </c>
      <c r="P69" s="15">
        <v>114.430186317112</v>
      </c>
      <c r="Q69" s="15">
        <v>149.590031180393</v>
      </c>
      <c r="R69" s="15">
        <v>139.57609293336699</v>
      </c>
    </row>
    <row r="70" spans="1:18" x14ac:dyDescent="0.2">
      <c r="A70" s="18">
        <v>2022</v>
      </c>
      <c r="B70" s="15">
        <v>203.36206896551701</v>
      </c>
      <c r="C70" s="15">
        <v>215.97241815790301</v>
      </c>
      <c r="D70" s="15">
        <v>152.27880187498101</v>
      </c>
      <c r="E70" s="15">
        <v>127.046413116978</v>
      </c>
      <c r="F70" s="15" t="s">
        <v>75</v>
      </c>
      <c r="G70" s="15">
        <v>200.92857142857099</v>
      </c>
      <c r="H70" s="15">
        <v>155.291666666667</v>
      </c>
      <c r="I70" s="15">
        <v>262.75</v>
      </c>
      <c r="J70" s="15">
        <v>155.973898915354</v>
      </c>
      <c r="K70" s="15">
        <v>274.086336111192</v>
      </c>
      <c r="L70" s="15">
        <v>156.072305855883</v>
      </c>
      <c r="M70" s="15">
        <v>142.674104673784</v>
      </c>
      <c r="N70" s="15">
        <v>92.196136390400795</v>
      </c>
      <c r="O70" s="15">
        <v>231.10128849731501</v>
      </c>
      <c r="P70" s="15">
        <v>94.816944940100299</v>
      </c>
      <c r="Q70" s="15">
        <v>79.359381432047499</v>
      </c>
      <c r="R70" s="15">
        <v>151.95188956051101</v>
      </c>
    </row>
    <row r="71" spans="1:18" x14ac:dyDescent="0.2">
      <c r="A71" s="18">
        <v>2023</v>
      </c>
      <c r="B71" s="15">
        <v>2350.7931034482799</v>
      </c>
      <c r="C71" s="15">
        <v>4574.2030997096899</v>
      </c>
      <c r="D71" s="15">
        <v>287.46358431268999</v>
      </c>
      <c r="E71" s="15">
        <v>175.42642735277201</v>
      </c>
      <c r="F71" s="15" t="s">
        <v>76</v>
      </c>
      <c r="G71" s="15">
        <v>3544.6428571428601</v>
      </c>
      <c r="H71" s="15">
        <v>677.125</v>
      </c>
      <c r="I71" s="15">
        <v>3523.5</v>
      </c>
      <c r="J71" s="15">
        <v>5940.2208147990104</v>
      </c>
      <c r="K71" s="15">
        <v>1538.39485631244</v>
      </c>
      <c r="L71" s="15">
        <v>5378.1781253762701</v>
      </c>
      <c r="M71" s="15">
        <v>304.88721327399799</v>
      </c>
      <c r="N71" s="15">
        <v>231.03996734470101</v>
      </c>
      <c r="O71" s="15">
        <v>342.97538440136202</v>
      </c>
      <c r="P71" s="15">
        <v>176.401724952986</v>
      </c>
      <c r="Q71" s="15">
        <v>170.298371330544</v>
      </c>
      <c r="R71" s="15">
        <v>165.65059545109199</v>
      </c>
    </row>
  </sheetData>
  <sortState xmlns:xlrd2="http://schemas.microsoft.com/office/spreadsheetml/2017/richdata2" ref="A2:R71">
    <sortCondition ref="A1:A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5052-C4DE-0541-B5FB-2EDBC164050D}">
  <dimension ref="A1:AJ82"/>
  <sheetViews>
    <sheetView topLeftCell="A30" zoomScale="121" zoomScaleNormal="121" workbookViewId="0">
      <selection activeCell="A39" sqref="A39:XFD39"/>
    </sheetView>
  </sheetViews>
  <sheetFormatPr baseColWidth="10" defaultRowHeight="16" x14ac:dyDescent="0.2"/>
  <cols>
    <col min="21" max="21" width="6.33203125" customWidth="1"/>
    <col min="26" max="26" width="12.5" bestFit="1" customWidth="1"/>
    <col min="27" max="30" width="13.6640625" bestFit="1" customWidth="1"/>
    <col min="31" max="33" width="12.5" bestFit="1" customWidth="1"/>
    <col min="35" max="35" width="13.1640625" bestFit="1" customWidth="1"/>
  </cols>
  <sheetData>
    <row r="1" spans="1:36" x14ac:dyDescent="0.2">
      <c r="A1" s="2" t="s">
        <v>5</v>
      </c>
      <c r="B1" s="3" t="s">
        <v>10</v>
      </c>
      <c r="C1" s="3" t="s">
        <v>12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2" t="s">
        <v>6</v>
      </c>
      <c r="K1" s="5" t="s">
        <v>104</v>
      </c>
      <c r="L1" s="4" t="s">
        <v>19</v>
      </c>
      <c r="M1" s="4" t="s">
        <v>17</v>
      </c>
      <c r="N1" s="4" t="s">
        <v>22</v>
      </c>
      <c r="O1" s="4" t="s">
        <v>23</v>
      </c>
      <c r="P1" s="4" t="s">
        <v>24</v>
      </c>
      <c r="Q1" s="4" t="s">
        <v>28</v>
      </c>
      <c r="R1" s="4" t="s">
        <v>29</v>
      </c>
      <c r="S1" s="4" t="s">
        <v>30</v>
      </c>
      <c r="T1" s="7" t="s">
        <v>111</v>
      </c>
      <c r="U1" s="7" t="s">
        <v>112</v>
      </c>
      <c r="V1" s="7" t="s">
        <v>19</v>
      </c>
      <c r="W1" s="7" t="s">
        <v>17</v>
      </c>
      <c r="Y1" s="19"/>
      <c r="Z1" s="20" t="s">
        <v>19</v>
      </c>
      <c r="AA1" s="20" t="s">
        <v>17</v>
      </c>
      <c r="AB1" s="20" t="s">
        <v>22</v>
      </c>
      <c r="AC1" s="20" t="s">
        <v>23</v>
      </c>
      <c r="AD1" s="20" t="s">
        <v>24</v>
      </c>
      <c r="AE1" s="20" t="s">
        <v>28</v>
      </c>
      <c r="AF1" s="20" t="s">
        <v>29</v>
      </c>
      <c r="AG1" s="20" t="s">
        <v>30</v>
      </c>
      <c r="AI1" s="7" t="s">
        <v>19</v>
      </c>
      <c r="AJ1" s="7" t="s">
        <v>17</v>
      </c>
    </row>
    <row r="2" spans="1:36" x14ac:dyDescent="0.2">
      <c r="A2" s="2">
        <v>1</v>
      </c>
      <c r="B2" s="3">
        <v>665.09802967124301</v>
      </c>
      <c r="C2" s="3">
        <v>14152.103448275862</v>
      </c>
      <c r="D2" s="3">
        <v>598.87461619165276</v>
      </c>
      <c r="E2" s="3">
        <v>13942.2</v>
      </c>
      <c r="F2" s="3">
        <v>414.91264494608401</v>
      </c>
      <c r="G2" s="3">
        <v>4087.7142857142858</v>
      </c>
      <c r="H2" s="3">
        <v>866.22568199391105</v>
      </c>
      <c r="I2" s="3">
        <v>20197.916666666668</v>
      </c>
      <c r="J2" s="2" t="s">
        <v>14</v>
      </c>
      <c r="K2" s="5">
        <v>1</v>
      </c>
      <c r="L2" s="4">
        <v>665.09802967124301</v>
      </c>
      <c r="M2" s="4">
        <v>14152.103448275901</v>
      </c>
      <c r="N2" s="4">
        <v>4087.7142857142899</v>
      </c>
      <c r="O2" s="4">
        <v>20197.916666666701</v>
      </c>
      <c r="P2" s="4">
        <v>13942.2</v>
      </c>
      <c r="Q2" s="4">
        <v>414.91264494608401</v>
      </c>
      <c r="R2" s="4">
        <v>866.22568199391105</v>
      </c>
      <c r="S2" s="4">
        <v>598.87461619165299</v>
      </c>
      <c r="U2" t="b">
        <f>A2=K2</f>
        <v>1</v>
      </c>
      <c r="V2" t="str">
        <f>IF(NOT(B2 = L2),(B2-L2),"OK")</f>
        <v>OK</v>
      </c>
      <c r="W2" t="str">
        <f>IF(NOT(C2 = M2),(C2-M2),"OK")</f>
        <v>OK</v>
      </c>
      <c r="Y2" s="20">
        <v>1</v>
      </c>
      <c r="Z2" s="21">
        <v>665.09802999999999</v>
      </c>
      <c r="AA2" s="21">
        <v>14152.1034</v>
      </c>
      <c r="AB2" s="21">
        <v>4087.7142899999999</v>
      </c>
      <c r="AC2" s="21">
        <v>20197.916700000002</v>
      </c>
      <c r="AD2" s="21">
        <v>13942.2</v>
      </c>
      <c r="AE2" s="21">
        <v>414.912645</v>
      </c>
      <c r="AF2" s="21">
        <v>866.22568200000001</v>
      </c>
      <c r="AG2" s="21">
        <v>598.87461599999995</v>
      </c>
      <c r="AI2" t="str">
        <f>IF(NOT(ROUND(B2,2) = ROUND(Z2,2)),(B2-Z2),"OK")</f>
        <v>OK</v>
      </c>
      <c r="AJ2" t="str">
        <f>IF(NOT(ROUND(C2,2) = ROUND(AA2,2)),(C2-AA2),"OK")</f>
        <v>OK</v>
      </c>
    </row>
    <row r="3" spans="1:36" x14ac:dyDescent="0.2">
      <c r="A3" s="2">
        <v>3</v>
      </c>
      <c r="B3" s="3">
        <v>191.87135701435966</v>
      </c>
      <c r="C3" s="3">
        <v>712.65517241379314</v>
      </c>
      <c r="D3" s="3">
        <v>288.34038075619185</v>
      </c>
      <c r="E3" s="3">
        <v>1535.35</v>
      </c>
      <c r="F3" s="3">
        <v>134.39982894183782</v>
      </c>
      <c r="G3" s="3">
        <v>251.78571428571428</v>
      </c>
      <c r="H3" s="3">
        <v>145.00556193847063</v>
      </c>
      <c r="I3" s="3">
        <v>295.91666666666669</v>
      </c>
      <c r="J3" s="2" t="s">
        <v>15</v>
      </c>
      <c r="K3" s="5">
        <v>3</v>
      </c>
      <c r="L3" s="4">
        <v>191.87135701436</v>
      </c>
      <c r="M3" s="4">
        <v>712.65517241379303</v>
      </c>
      <c r="N3" s="4">
        <v>251.78571428571399</v>
      </c>
      <c r="O3" s="4">
        <v>295.91666666666703</v>
      </c>
      <c r="P3" s="4">
        <v>1535.35</v>
      </c>
      <c r="Q3" s="4">
        <v>134.399828941838</v>
      </c>
      <c r="R3" s="4">
        <v>145.005561938471</v>
      </c>
      <c r="S3" s="4">
        <v>288.34038075619202</v>
      </c>
      <c r="U3" t="b">
        <f>A3=K3</f>
        <v>1</v>
      </c>
      <c r="V3" t="str">
        <f t="shared" ref="V3:V14" si="0">IF(NOT(B3 = L3),(B3-L3),"OK")</f>
        <v>OK</v>
      </c>
      <c r="W3" t="str">
        <f t="shared" ref="W3:W14" si="1">IF(NOT(C3 = M3),(C3-M3),"OK")</f>
        <v>OK</v>
      </c>
      <c r="Y3" s="20">
        <v>3</v>
      </c>
      <c r="Z3" s="21">
        <v>191.87135699999999</v>
      </c>
      <c r="AA3" s="21">
        <v>712.65517199999999</v>
      </c>
      <c r="AB3" s="21">
        <v>251.78571400000001</v>
      </c>
      <c r="AC3" s="21">
        <v>295.91666700000002</v>
      </c>
      <c r="AD3" s="21">
        <v>1535.35</v>
      </c>
      <c r="AE3" s="21">
        <v>134.39982900000001</v>
      </c>
      <c r="AF3" s="21">
        <v>145.005562</v>
      </c>
      <c r="AG3" s="21">
        <v>288.34038099999998</v>
      </c>
      <c r="AI3" t="str">
        <f t="shared" ref="AI3:AI15" si="2">IF(NOT(ROUND(B3,2) = ROUND(Z3,2)),(B3-Z3),"OK")</f>
        <v>OK</v>
      </c>
      <c r="AJ3" t="str">
        <f t="shared" ref="AJ3:AJ15" si="3">IF(NOT(ROUND(C3,2) = ROUND(AA3,2)),(C3-AA3),"OK")</f>
        <v>OK</v>
      </c>
    </row>
    <row r="4" spans="1:36" x14ac:dyDescent="0.2">
      <c r="A4" s="2">
        <v>4</v>
      </c>
      <c r="B4" s="3">
        <v>550.61928813739939</v>
      </c>
      <c r="C4" s="3">
        <v>7823.1785714285716</v>
      </c>
      <c r="D4" s="3"/>
      <c r="E4" s="3"/>
      <c r="F4" s="3">
        <v>320.43564756321638</v>
      </c>
      <c r="G4" s="3">
        <v>3177.375</v>
      </c>
      <c r="H4" s="3">
        <v>642.69274436707269</v>
      </c>
      <c r="I4" s="3">
        <v>9681.5</v>
      </c>
      <c r="J4" s="2" t="s">
        <v>15</v>
      </c>
      <c r="K4" s="5">
        <v>4</v>
      </c>
      <c r="L4" s="4">
        <v>499.666993343748</v>
      </c>
      <c r="M4" s="4">
        <v>5596.56896551724</v>
      </c>
      <c r="N4" s="4">
        <v>2832.0714285714298</v>
      </c>
      <c r="O4" s="4">
        <v>11873</v>
      </c>
      <c r="P4" s="4">
        <v>0</v>
      </c>
      <c r="Q4" s="4">
        <v>705.26324784539304</v>
      </c>
      <c r="R4" s="4">
        <v>725.64845355987097</v>
      </c>
      <c r="S4" s="4">
        <v>84.571862933247502</v>
      </c>
      <c r="U4" t="b">
        <f>A4=K4</f>
        <v>1</v>
      </c>
      <c r="V4">
        <f t="shared" si="0"/>
        <v>50.95229479365139</v>
      </c>
      <c r="W4">
        <f t="shared" si="1"/>
        <v>2226.6096059113315</v>
      </c>
      <c r="Y4" s="20">
        <v>4</v>
      </c>
      <c r="Z4" s="21">
        <v>550.61928799999998</v>
      </c>
      <c r="AA4" s="21">
        <v>7823.17857</v>
      </c>
      <c r="AB4" s="21" t="s">
        <v>113</v>
      </c>
      <c r="AC4" s="21" t="s">
        <v>113</v>
      </c>
      <c r="AD4" s="21" t="s">
        <v>113</v>
      </c>
      <c r="AE4" s="21" t="s">
        <v>113</v>
      </c>
      <c r="AF4" s="21" t="s">
        <v>113</v>
      </c>
      <c r="AG4" s="21" t="s">
        <v>113</v>
      </c>
      <c r="AI4" t="str">
        <f t="shared" si="2"/>
        <v>OK</v>
      </c>
      <c r="AJ4" t="str">
        <f t="shared" si="3"/>
        <v>OK</v>
      </c>
    </row>
    <row r="5" spans="1:36" x14ac:dyDescent="0.2">
      <c r="A5" s="2">
        <v>6</v>
      </c>
      <c r="B5" s="3">
        <v>126.2175360883364</v>
      </c>
      <c r="C5" s="3">
        <v>135.58620689655172</v>
      </c>
      <c r="D5" s="3">
        <v>139.58931795344461</v>
      </c>
      <c r="E5" s="3">
        <v>153.80000000000001</v>
      </c>
      <c r="F5" s="3">
        <v>85.321171231174986</v>
      </c>
      <c r="G5" s="3">
        <v>84.071428571428569</v>
      </c>
      <c r="H5" s="3">
        <v>138.93059736742373</v>
      </c>
      <c r="I5" s="3">
        <v>150.45833333333334</v>
      </c>
      <c r="J5" s="2" t="s">
        <v>14</v>
      </c>
      <c r="K5" s="5">
        <v>6</v>
      </c>
      <c r="L5" s="4">
        <v>126.217536088336</v>
      </c>
      <c r="M5" s="4">
        <v>135.586206896552</v>
      </c>
      <c r="N5" s="4">
        <v>84.071428571428598</v>
      </c>
      <c r="O5" s="4">
        <v>150.458333333333</v>
      </c>
      <c r="P5" s="4">
        <v>153.80000000000001</v>
      </c>
      <c r="Q5" s="4">
        <v>85.321171231175001</v>
      </c>
      <c r="R5" s="4">
        <v>138.93059736742401</v>
      </c>
      <c r="S5" s="4">
        <v>139.589317953445</v>
      </c>
      <c r="U5" t="b">
        <f>A5=K5</f>
        <v>1</v>
      </c>
      <c r="V5" t="str">
        <f t="shared" si="0"/>
        <v>OK</v>
      </c>
      <c r="W5" t="str">
        <f t="shared" si="1"/>
        <v>OK</v>
      </c>
      <c r="Y5" s="20">
        <v>6</v>
      </c>
      <c r="Z5" s="21">
        <v>126.217536</v>
      </c>
      <c r="AA5" s="21">
        <v>135.586207</v>
      </c>
      <c r="AB5" s="21">
        <v>84.071428600000004</v>
      </c>
      <c r="AC5" s="21">
        <v>150.45833300000001</v>
      </c>
      <c r="AD5" s="21">
        <v>153.80000000000001</v>
      </c>
      <c r="AE5" s="21">
        <v>85.321171199999995</v>
      </c>
      <c r="AF5" s="21">
        <v>138.93059700000001</v>
      </c>
      <c r="AG5" s="21">
        <v>139.58931799999999</v>
      </c>
      <c r="AI5" t="str">
        <f t="shared" si="2"/>
        <v>OK</v>
      </c>
      <c r="AJ5" t="str">
        <f t="shared" si="3"/>
        <v>OK</v>
      </c>
    </row>
    <row r="6" spans="1:36" x14ac:dyDescent="0.2">
      <c r="A6" s="2">
        <v>10</v>
      </c>
      <c r="B6" s="3">
        <v>273.84278041713696</v>
      </c>
      <c r="C6" s="3">
        <v>1823.1428571428571</v>
      </c>
      <c r="D6" s="3">
        <v>283.77463722874211</v>
      </c>
      <c r="E6" s="3">
        <v>1089.3333333333333</v>
      </c>
      <c r="F6" s="3">
        <v>258.08120546927898</v>
      </c>
      <c r="G6" s="3">
        <v>2045.8571428571429</v>
      </c>
      <c r="H6" s="3">
        <v>275.58813986135016</v>
      </c>
      <c r="I6" s="3">
        <v>2243.5833333333335</v>
      </c>
      <c r="J6" s="2" t="s">
        <v>15</v>
      </c>
      <c r="K6" s="5">
        <v>10</v>
      </c>
      <c r="L6" s="4">
        <v>324.62387134380498</v>
      </c>
      <c r="M6" s="4">
        <v>4457.2586206896603</v>
      </c>
      <c r="N6" s="4">
        <v>2045.8571428571399</v>
      </c>
      <c r="O6" s="4">
        <v>2243.5833333333298</v>
      </c>
      <c r="P6" s="4">
        <v>8801.65</v>
      </c>
      <c r="Q6" s="4">
        <v>258.08120546927898</v>
      </c>
      <c r="R6" s="4">
        <v>275.58813986134999</v>
      </c>
      <c r="S6" s="4">
        <v>430.04661523491899</v>
      </c>
      <c r="U6" t="b">
        <f>A6=K6</f>
        <v>1</v>
      </c>
      <c r="V6">
        <f t="shared" si="0"/>
        <v>-50.781090926668014</v>
      </c>
      <c r="W6">
        <f t="shared" si="1"/>
        <v>-2634.1157635468035</v>
      </c>
      <c r="Y6" s="20">
        <v>10</v>
      </c>
      <c r="Z6" s="21">
        <v>273.84278</v>
      </c>
      <c r="AA6" s="21">
        <v>1823.1428599999999</v>
      </c>
      <c r="AB6" s="21">
        <v>2045.8571400000001</v>
      </c>
      <c r="AC6" s="21">
        <v>2243.5833299999999</v>
      </c>
      <c r="AD6" s="21" t="s">
        <v>113</v>
      </c>
      <c r="AE6" s="21">
        <v>258.08120500000001</v>
      </c>
      <c r="AF6" s="21">
        <v>275.58814000000001</v>
      </c>
      <c r="AG6" s="21" t="s">
        <v>113</v>
      </c>
      <c r="AI6" t="str">
        <f t="shared" si="2"/>
        <v>OK</v>
      </c>
      <c r="AJ6" t="str">
        <f t="shared" si="3"/>
        <v>OK</v>
      </c>
    </row>
    <row r="7" spans="1:36" x14ac:dyDescent="0.2">
      <c r="A7" s="2">
        <v>12</v>
      </c>
      <c r="B7" s="3">
        <v>165.52155844687621</v>
      </c>
      <c r="C7" s="3">
        <v>579.13636363636363</v>
      </c>
      <c r="D7" s="3"/>
      <c r="E7" s="3"/>
      <c r="F7" s="3"/>
      <c r="G7" s="3"/>
      <c r="H7" s="3">
        <v>165.52155844687621</v>
      </c>
      <c r="I7" s="3">
        <v>579.13636363636363</v>
      </c>
      <c r="J7" s="2" t="s">
        <v>15</v>
      </c>
      <c r="K7" s="5">
        <v>12</v>
      </c>
      <c r="L7" s="4">
        <v>163.00101754099799</v>
      </c>
      <c r="M7" s="4">
        <v>439.931034482759</v>
      </c>
      <c r="N7" s="4">
        <v>0</v>
      </c>
      <c r="O7" s="4">
        <v>1063.1666666666699</v>
      </c>
      <c r="P7" s="4">
        <v>0</v>
      </c>
      <c r="Q7" s="4">
        <v>0</v>
      </c>
      <c r="R7" s="4">
        <v>291.95603327282902</v>
      </c>
      <c r="S7" s="4">
        <v>122.35571094150001</v>
      </c>
      <c r="U7" t="b">
        <f>A7=K7</f>
        <v>1</v>
      </c>
      <c r="V7">
        <f t="shared" si="0"/>
        <v>2.5205409058782209</v>
      </c>
      <c r="W7">
        <f t="shared" si="1"/>
        <v>139.20532915360462</v>
      </c>
      <c r="Y7" s="20">
        <v>12</v>
      </c>
      <c r="Z7" s="21">
        <v>165.521558</v>
      </c>
      <c r="AA7" s="21">
        <v>579.13636399999996</v>
      </c>
      <c r="AB7" s="21" t="s">
        <v>113</v>
      </c>
      <c r="AC7" s="21" t="s">
        <v>113</v>
      </c>
      <c r="AD7" s="21" t="s">
        <v>113</v>
      </c>
      <c r="AE7" s="21" t="s">
        <v>113</v>
      </c>
      <c r="AF7" s="21" t="s">
        <v>113</v>
      </c>
      <c r="AG7" s="21" t="s">
        <v>113</v>
      </c>
      <c r="AI7" t="str">
        <f t="shared" si="2"/>
        <v>OK</v>
      </c>
      <c r="AJ7" t="str">
        <f t="shared" si="3"/>
        <v>OK</v>
      </c>
    </row>
    <row r="8" spans="1:36" x14ac:dyDescent="0.2">
      <c r="A8" s="2">
        <v>13</v>
      </c>
      <c r="B8" s="3">
        <v>128.9787202324359</v>
      </c>
      <c r="C8" s="3">
        <v>329.94827586206895</v>
      </c>
      <c r="D8" s="3">
        <v>131.69087656990229</v>
      </c>
      <c r="E8" s="3">
        <v>472.9</v>
      </c>
      <c r="F8" s="3">
        <v>118.5982288982232</v>
      </c>
      <c r="G8" s="3">
        <v>228.85714285714286</v>
      </c>
      <c r="H8" s="3">
        <v>132.77387656283821</v>
      </c>
      <c r="I8" s="3">
        <v>269.79166666666669</v>
      </c>
      <c r="J8" s="2" t="s">
        <v>15</v>
      </c>
      <c r="K8" s="5">
        <v>13</v>
      </c>
      <c r="L8" s="4">
        <v>128.97872023243599</v>
      </c>
      <c r="M8" s="4">
        <v>329.94827586206901</v>
      </c>
      <c r="N8" s="4">
        <v>228.857142857143</v>
      </c>
      <c r="O8" s="4">
        <v>269.79166666666703</v>
      </c>
      <c r="P8" s="4">
        <v>472.9</v>
      </c>
      <c r="Q8" s="4">
        <v>118.598228898223</v>
      </c>
      <c r="R8" s="4">
        <v>132.77387656283801</v>
      </c>
      <c r="S8" s="4">
        <v>131.690876569902</v>
      </c>
      <c r="U8" t="b">
        <f>A8=K8</f>
        <v>1</v>
      </c>
      <c r="V8" t="str">
        <f t="shared" si="0"/>
        <v>OK</v>
      </c>
      <c r="W8" t="str">
        <f t="shared" si="1"/>
        <v>OK</v>
      </c>
      <c r="Y8" s="20">
        <v>13</v>
      </c>
      <c r="Z8" s="21">
        <v>128.97872000000001</v>
      </c>
      <c r="AA8" s="21">
        <v>329.94827600000002</v>
      </c>
      <c r="AB8" s="21">
        <v>228.85714300000001</v>
      </c>
      <c r="AC8" s="21">
        <v>269.79166700000002</v>
      </c>
      <c r="AD8" s="21">
        <v>472.9</v>
      </c>
      <c r="AE8" s="21">
        <v>118.598229</v>
      </c>
      <c r="AF8" s="21">
        <v>132.773877</v>
      </c>
      <c r="AG8" s="21">
        <v>131.690877</v>
      </c>
      <c r="AI8" t="str">
        <f t="shared" si="2"/>
        <v>OK</v>
      </c>
      <c r="AJ8" t="str">
        <f t="shared" si="3"/>
        <v>OK</v>
      </c>
    </row>
    <row r="9" spans="1:36" x14ac:dyDescent="0.2">
      <c r="A9" s="2">
        <v>101</v>
      </c>
      <c r="B9" s="3">
        <v>164.3898878217156</v>
      </c>
      <c r="C9" s="3">
        <v>777.89473684210532</v>
      </c>
      <c r="D9" s="3"/>
      <c r="E9" s="3"/>
      <c r="F9" s="3">
        <v>125.1459212459055</v>
      </c>
      <c r="G9" s="3">
        <v>316.92857142857144</v>
      </c>
      <c r="H9" s="3">
        <v>187.2822016576047</v>
      </c>
      <c r="I9" s="3">
        <v>1046.7916666666667</v>
      </c>
      <c r="J9" s="2" t="s">
        <v>15</v>
      </c>
      <c r="K9" s="5">
        <v>101</v>
      </c>
      <c r="L9" s="4">
        <v>107.703719607331</v>
      </c>
      <c r="M9" s="4">
        <v>509.65517241379303</v>
      </c>
      <c r="N9" s="4">
        <v>316.92857142857099</v>
      </c>
      <c r="O9" s="4">
        <v>1046.7916666666699</v>
      </c>
      <c r="P9" s="4">
        <v>0</v>
      </c>
      <c r="Q9" s="4">
        <v>125.145921245906</v>
      </c>
      <c r="R9" s="4">
        <v>187.28220165760499</v>
      </c>
      <c r="S9" s="4">
        <v>0</v>
      </c>
      <c r="U9" t="b">
        <f>A9=K9</f>
        <v>1</v>
      </c>
      <c r="V9">
        <f t="shared" si="0"/>
        <v>56.686168214384608</v>
      </c>
      <c r="W9">
        <f t="shared" si="1"/>
        <v>268.23956442831229</v>
      </c>
      <c r="Y9" s="20">
        <v>101</v>
      </c>
      <c r="Z9" s="21">
        <v>164.38988800000001</v>
      </c>
      <c r="AA9" s="21">
        <v>777.89473699999996</v>
      </c>
      <c r="AB9" s="21">
        <v>316.92857099999998</v>
      </c>
      <c r="AC9" s="21">
        <v>1046.7916700000001</v>
      </c>
      <c r="AD9" s="21" t="s">
        <v>113</v>
      </c>
      <c r="AE9" s="21">
        <v>125.145921</v>
      </c>
      <c r="AF9" s="21">
        <v>187.28220200000001</v>
      </c>
      <c r="AG9" s="21" t="s">
        <v>113</v>
      </c>
      <c r="AI9" t="str">
        <f t="shared" si="2"/>
        <v>OK</v>
      </c>
      <c r="AJ9" t="str">
        <f t="shared" si="3"/>
        <v>OK</v>
      </c>
    </row>
    <row r="10" spans="1:36" x14ac:dyDescent="0.2">
      <c r="A10" s="2">
        <v>103</v>
      </c>
      <c r="B10" s="3">
        <v>187.99745813355133</v>
      </c>
      <c r="C10" s="3">
        <v>1126.8620689655172</v>
      </c>
      <c r="D10" s="3">
        <v>47.684912049525579</v>
      </c>
      <c r="E10" s="3">
        <v>48.35</v>
      </c>
      <c r="F10" s="3">
        <v>260.06665248376078</v>
      </c>
      <c r="G10" s="3">
        <v>1782</v>
      </c>
      <c r="H10" s="3">
        <v>262.88421649928387</v>
      </c>
      <c r="I10" s="3">
        <v>1643.4583333333333</v>
      </c>
      <c r="J10" s="2" t="s">
        <v>15</v>
      </c>
      <c r="K10" s="5">
        <v>103</v>
      </c>
      <c r="L10" s="4">
        <v>187.99745813355099</v>
      </c>
      <c r="M10" s="4">
        <v>1126.8620689655199</v>
      </c>
      <c r="N10" s="4">
        <v>1782</v>
      </c>
      <c r="O10" s="4">
        <v>1643.4583333333301</v>
      </c>
      <c r="P10" s="4">
        <v>48.35</v>
      </c>
      <c r="Q10" s="4">
        <v>260.066652483761</v>
      </c>
      <c r="R10" s="4">
        <v>262.88421649928398</v>
      </c>
      <c r="S10" s="4">
        <v>47.6849120495256</v>
      </c>
      <c r="U10" t="b">
        <f>A10=K10</f>
        <v>1</v>
      </c>
      <c r="V10" t="str">
        <f t="shared" si="0"/>
        <v>OK</v>
      </c>
      <c r="W10" t="str">
        <f t="shared" si="1"/>
        <v>OK</v>
      </c>
      <c r="Y10" s="20">
        <v>103</v>
      </c>
      <c r="Z10" s="21">
        <v>187.99745799999999</v>
      </c>
      <c r="AA10" s="21">
        <v>1126.8620699999999</v>
      </c>
      <c r="AB10" s="21">
        <v>1782</v>
      </c>
      <c r="AC10" s="21">
        <v>1643.4583299999999</v>
      </c>
      <c r="AD10" s="21">
        <v>48.35</v>
      </c>
      <c r="AE10" s="21">
        <v>260.06665199999998</v>
      </c>
      <c r="AF10" s="21">
        <v>262.88421599999998</v>
      </c>
      <c r="AG10" s="21">
        <v>47.684911999999997</v>
      </c>
      <c r="AI10" t="str">
        <f t="shared" si="2"/>
        <v>OK</v>
      </c>
      <c r="AJ10" t="str">
        <f t="shared" si="3"/>
        <v>OK</v>
      </c>
    </row>
    <row r="11" spans="1:36" x14ac:dyDescent="0.2">
      <c r="A11" s="2">
        <v>146</v>
      </c>
      <c r="B11" s="3">
        <v>148.11209701684669</v>
      </c>
      <c r="C11" s="3">
        <v>167.82758620689654</v>
      </c>
      <c r="D11" s="3">
        <v>150.37966923842799</v>
      </c>
      <c r="E11" s="3">
        <v>178.8</v>
      </c>
      <c r="F11" s="3">
        <v>178.26500950926967</v>
      </c>
      <c r="G11" s="3">
        <v>123.21428571428571</v>
      </c>
      <c r="H11" s="3">
        <v>128.63325454494876</v>
      </c>
      <c r="I11" s="3">
        <v>184.70833333333334</v>
      </c>
      <c r="J11" s="2" t="s">
        <v>14</v>
      </c>
      <c r="K11" s="5">
        <v>146</v>
      </c>
      <c r="L11" s="4">
        <v>148.112097016847</v>
      </c>
      <c r="M11" s="4">
        <v>167.827586206897</v>
      </c>
      <c r="N11" s="4">
        <v>123.21428571428601</v>
      </c>
      <c r="O11" s="4">
        <v>184.708333333333</v>
      </c>
      <c r="P11" s="4">
        <v>178.8</v>
      </c>
      <c r="Q11" s="4">
        <v>178.26500950926999</v>
      </c>
      <c r="R11" s="4">
        <v>128.63325454494901</v>
      </c>
      <c r="S11" s="4">
        <v>150.37966923842799</v>
      </c>
      <c r="U11" t="b">
        <f>A11=K11</f>
        <v>1</v>
      </c>
      <c r="V11" t="str">
        <f t="shared" si="0"/>
        <v>OK</v>
      </c>
      <c r="W11" t="str">
        <f t="shared" si="1"/>
        <v>OK</v>
      </c>
      <c r="Y11" s="20">
        <v>146</v>
      </c>
      <c r="Z11" s="21">
        <v>148.11209700000001</v>
      </c>
      <c r="AA11" s="21">
        <v>167.827586</v>
      </c>
      <c r="AB11" s="21">
        <v>123.214286</v>
      </c>
      <c r="AC11" s="21">
        <v>184.70833300000001</v>
      </c>
      <c r="AD11" s="21">
        <v>178.8</v>
      </c>
      <c r="AE11" s="21">
        <v>178.26500999999999</v>
      </c>
      <c r="AF11" s="21">
        <v>128.63325499999999</v>
      </c>
      <c r="AG11" s="21">
        <v>150.37966900000001</v>
      </c>
      <c r="AI11" t="str">
        <f t="shared" si="2"/>
        <v>OK</v>
      </c>
      <c r="AJ11" t="str">
        <f t="shared" si="3"/>
        <v>OK</v>
      </c>
    </row>
    <row r="12" spans="1:36" x14ac:dyDescent="0.2">
      <c r="A12" s="2">
        <v>147</v>
      </c>
      <c r="B12" s="3">
        <v>653.6410311318424</v>
      </c>
      <c r="C12" s="3">
        <v>9719</v>
      </c>
      <c r="D12" s="3">
        <v>591.52875304613178</v>
      </c>
      <c r="E12" s="3">
        <v>11595.65</v>
      </c>
      <c r="F12" s="3">
        <v>563.38117667706024</v>
      </c>
      <c r="G12" s="3">
        <v>8417.1428571428569</v>
      </c>
      <c r="H12" s="3">
        <v>758.05284463522457</v>
      </c>
      <c r="I12" s="3">
        <v>8914.5416666666661</v>
      </c>
      <c r="J12" s="2" t="s">
        <v>14</v>
      </c>
      <c r="K12" s="5">
        <v>147</v>
      </c>
      <c r="L12" s="4">
        <v>653.64103113184296</v>
      </c>
      <c r="M12" s="4">
        <v>9719</v>
      </c>
      <c r="N12" s="4">
        <v>8417.1428571428605</v>
      </c>
      <c r="O12" s="4">
        <v>8914.5416666666697</v>
      </c>
      <c r="P12" s="4">
        <v>11595.65</v>
      </c>
      <c r="Q12" s="4">
        <v>563.38117667706001</v>
      </c>
      <c r="R12" s="4">
        <v>758.05284463522401</v>
      </c>
      <c r="S12" s="4">
        <v>591.52875304613201</v>
      </c>
      <c r="U12" t="b">
        <f>A12=K12</f>
        <v>1</v>
      </c>
      <c r="V12">
        <f t="shared" si="0"/>
        <v>-5.6843418860808015E-13</v>
      </c>
      <c r="W12" t="str">
        <f t="shared" si="1"/>
        <v>OK</v>
      </c>
      <c r="Y12" s="20">
        <v>147</v>
      </c>
      <c r="Z12" s="21">
        <v>653.641031</v>
      </c>
      <c r="AA12" s="21">
        <v>9719</v>
      </c>
      <c r="AB12" s="21">
        <v>8417.1428599999999</v>
      </c>
      <c r="AC12" s="21">
        <v>8914.5416700000005</v>
      </c>
      <c r="AD12" s="21">
        <v>11595.65</v>
      </c>
      <c r="AE12" s="21">
        <v>563.38117699999998</v>
      </c>
      <c r="AF12" s="21">
        <v>758.05284500000005</v>
      </c>
      <c r="AG12" s="21">
        <v>591.52875300000005</v>
      </c>
      <c r="AI12" t="str">
        <f t="shared" si="2"/>
        <v>OK</v>
      </c>
      <c r="AJ12" t="str">
        <f t="shared" si="3"/>
        <v>OK</v>
      </c>
    </row>
    <row r="13" spans="1:36" x14ac:dyDescent="0.2">
      <c r="A13" s="2">
        <v>148</v>
      </c>
      <c r="B13" s="3">
        <v>248.91750217296163</v>
      </c>
      <c r="C13" s="3">
        <v>1681.4827586206898</v>
      </c>
      <c r="D13" s="3">
        <v>233.86102984765526</v>
      </c>
      <c r="E13" s="3">
        <v>618.85</v>
      </c>
      <c r="F13" s="3">
        <v>266.7317779503777</v>
      </c>
      <c r="G13" s="3">
        <v>3164.7857142857142</v>
      </c>
      <c r="H13" s="3">
        <v>251.07290157389093</v>
      </c>
      <c r="I13" s="3">
        <v>1701.75</v>
      </c>
      <c r="J13" s="2" t="s">
        <v>14</v>
      </c>
      <c r="K13" s="5">
        <v>148</v>
      </c>
      <c r="L13" s="4">
        <v>248.917502172962</v>
      </c>
      <c r="M13" s="4">
        <v>1681.48275862069</v>
      </c>
      <c r="N13" s="4">
        <v>3164.7857142857101</v>
      </c>
      <c r="O13" s="4">
        <v>1701.75</v>
      </c>
      <c r="P13" s="4">
        <v>618.85</v>
      </c>
      <c r="Q13" s="4">
        <v>266.73177795037799</v>
      </c>
      <c r="R13" s="4">
        <v>251.07290157389099</v>
      </c>
      <c r="S13" s="4">
        <v>233.861029847655</v>
      </c>
      <c r="U13" t="b">
        <f>A13=K13</f>
        <v>1</v>
      </c>
      <c r="V13" t="str">
        <f t="shared" si="0"/>
        <v>OK</v>
      </c>
      <c r="W13" t="str">
        <f t="shared" si="1"/>
        <v>OK</v>
      </c>
      <c r="Y13" s="20">
        <v>148</v>
      </c>
      <c r="Z13" s="21">
        <v>248.91750200000001</v>
      </c>
      <c r="AA13" s="21">
        <v>1681.4827600000001</v>
      </c>
      <c r="AB13" s="21">
        <v>3164.7857100000001</v>
      </c>
      <c r="AC13" s="21">
        <v>1701.75</v>
      </c>
      <c r="AD13" s="21">
        <v>618.85</v>
      </c>
      <c r="AE13" s="21">
        <v>266.73177800000002</v>
      </c>
      <c r="AF13" s="21">
        <v>251.072902</v>
      </c>
      <c r="AG13" s="21">
        <v>233.86103</v>
      </c>
      <c r="AI13" t="str">
        <f t="shared" si="2"/>
        <v>OK</v>
      </c>
      <c r="AJ13" t="str">
        <f t="shared" si="3"/>
        <v>OK</v>
      </c>
    </row>
    <row r="14" spans="1:36" x14ac:dyDescent="0.2">
      <c r="A14" s="2">
        <v>149</v>
      </c>
      <c r="B14" s="3">
        <v>267.31065844472306</v>
      </c>
      <c r="C14" s="3">
        <v>2127.6379310344828</v>
      </c>
      <c r="D14" s="3">
        <v>238.66677690820728</v>
      </c>
      <c r="E14" s="3">
        <v>1264.25</v>
      </c>
      <c r="F14" s="3">
        <v>251.58645688418341</v>
      </c>
      <c r="G14" s="3">
        <v>1968.2857142857142</v>
      </c>
      <c r="H14" s="3">
        <v>300.35301063546774</v>
      </c>
      <c r="I14" s="3">
        <v>2940.0833333333335</v>
      </c>
      <c r="J14" s="2" t="s">
        <v>14</v>
      </c>
      <c r="K14" s="5">
        <v>149</v>
      </c>
      <c r="L14" s="4">
        <v>267.310658444723</v>
      </c>
      <c r="M14" s="4">
        <v>2127.6379310344801</v>
      </c>
      <c r="N14" s="4">
        <v>1968.2857142857099</v>
      </c>
      <c r="O14" s="4">
        <v>2940.0833333333298</v>
      </c>
      <c r="P14" s="4">
        <v>1264.25</v>
      </c>
      <c r="Q14" s="4">
        <v>251.58645688418301</v>
      </c>
      <c r="R14" s="4">
        <v>300.35301063546802</v>
      </c>
      <c r="S14" s="4">
        <v>238.666776908207</v>
      </c>
      <c r="U14" t="b">
        <f>A14=K14</f>
        <v>1</v>
      </c>
      <c r="V14" t="str">
        <f t="shared" si="0"/>
        <v>OK</v>
      </c>
      <c r="W14" t="str">
        <f t="shared" si="1"/>
        <v>OK</v>
      </c>
      <c r="Y14" s="20">
        <v>149</v>
      </c>
      <c r="Z14" s="21">
        <v>267.31065799999999</v>
      </c>
      <c r="AA14" s="21">
        <v>2127.6379299999999</v>
      </c>
      <c r="AB14" s="21">
        <v>1968.2857100000001</v>
      </c>
      <c r="AC14" s="21">
        <v>2940.0833299999999</v>
      </c>
      <c r="AD14" s="21">
        <v>1264.25</v>
      </c>
      <c r="AE14" s="21">
        <v>251.586457</v>
      </c>
      <c r="AF14" s="21">
        <v>300.35301099999998</v>
      </c>
      <c r="AG14" s="21">
        <v>238.666777</v>
      </c>
      <c r="AI14" t="str">
        <f t="shared" si="2"/>
        <v>OK</v>
      </c>
      <c r="AJ14" t="str">
        <f t="shared" si="3"/>
        <v>OK</v>
      </c>
    </row>
    <row r="15" spans="1:36" x14ac:dyDescent="0.2">
      <c r="A15" s="2">
        <v>150</v>
      </c>
      <c r="B15" s="3">
        <v>560.42757069221034</v>
      </c>
      <c r="C15" s="3">
        <v>6253.2758620689656</v>
      </c>
      <c r="D15" s="3">
        <v>391.61493996443892</v>
      </c>
      <c r="E15" s="3">
        <v>5135.3999999999996</v>
      </c>
      <c r="F15" s="3">
        <v>796.34586811967438</v>
      </c>
      <c r="G15" s="3">
        <v>8325</v>
      </c>
      <c r="H15" s="3">
        <v>563.48575613266564</v>
      </c>
      <c r="I15" s="3">
        <v>5976.333333333333</v>
      </c>
      <c r="J15" s="2" t="s">
        <v>14</v>
      </c>
      <c r="K15" s="5">
        <v>150</v>
      </c>
      <c r="L15" s="4">
        <v>560.42757069221</v>
      </c>
      <c r="M15" s="4">
        <v>6253.2758620689701</v>
      </c>
      <c r="N15" s="4">
        <v>8325</v>
      </c>
      <c r="O15" s="4">
        <v>5976.3333333333303</v>
      </c>
      <c r="P15" s="4">
        <v>5135.3999999999996</v>
      </c>
      <c r="Q15" s="4">
        <v>796.34586811967404</v>
      </c>
      <c r="R15" s="4">
        <v>563.48575613266598</v>
      </c>
      <c r="S15" s="4">
        <v>391.61493996443897</v>
      </c>
      <c r="U15" t="b">
        <f>A15=K15</f>
        <v>1</v>
      </c>
      <c r="V15" t="str">
        <f t="shared" ref="V15:V39" si="4">IF(NOT(B15 = L15),(B15-L15),"OK")</f>
        <v>OK</v>
      </c>
      <c r="W15" t="str">
        <f t="shared" ref="W15:W39" si="5">IF(NOT(C15 = M15),(C15-M15),"OK")</f>
        <v>OK</v>
      </c>
      <c r="Y15" s="20">
        <v>150</v>
      </c>
      <c r="Z15" s="21">
        <v>560.42757099999994</v>
      </c>
      <c r="AA15" s="21">
        <v>6253.2758599999997</v>
      </c>
      <c r="AB15" s="21">
        <v>8325</v>
      </c>
      <c r="AC15" s="21">
        <v>5976.3333300000004</v>
      </c>
      <c r="AD15" s="21">
        <v>5135.3999999999996</v>
      </c>
      <c r="AE15" s="21">
        <v>796.345868</v>
      </c>
      <c r="AF15" s="21">
        <v>563.48575600000004</v>
      </c>
      <c r="AG15" s="21">
        <v>391.61493999999999</v>
      </c>
      <c r="AI15" t="str">
        <f t="shared" si="2"/>
        <v>OK</v>
      </c>
      <c r="AJ15" t="str">
        <f t="shared" si="3"/>
        <v>OK</v>
      </c>
    </row>
    <row r="16" spans="1:36" x14ac:dyDescent="0.2">
      <c r="A16" s="2">
        <v>156</v>
      </c>
      <c r="B16" s="3">
        <v>199.68458658524432</v>
      </c>
      <c r="C16" s="3">
        <v>250.74137931034483</v>
      </c>
      <c r="D16" s="3">
        <v>262.13860536088453</v>
      </c>
      <c r="E16" s="3">
        <v>203.45</v>
      </c>
      <c r="F16" s="3">
        <v>179.51245089985142</v>
      </c>
      <c r="G16" s="3">
        <v>256.21428571428572</v>
      </c>
      <c r="H16" s="3">
        <v>159.40665008869007</v>
      </c>
      <c r="I16" s="3">
        <v>286.95833333333331</v>
      </c>
      <c r="J16" s="2" t="s">
        <v>14</v>
      </c>
      <c r="K16" s="5">
        <v>156</v>
      </c>
      <c r="L16" s="4">
        <v>199.68458658524401</v>
      </c>
      <c r="M16" s="4">
        <v>250.741379310345</v>
      </c>
      <c r="N16" s="4">
        <v>256.21428571428601</v>
      </c>
      <c r="O16" s="4">
        <v>286.95833333333297</v>
      </c>
      <c r="P16" s="4">
        <v>203.45</v>
      </c>
      <c r="Q16" s="4">
        <v>179.51245089985099</v>
      </c>
      <c r="R16" s="4">
        <v>159.40665008868999</v>
      </c>
      <c r="S16" s="4">
        <v>262.13860536088401</v>
      </c>
      <c r="U16" t="b">
        <f>A16=K16</f>
        <v>1</v>
      </c>
      <c r="V16" t="str">
        <f t="shared" si="4"/>
        <v>OK</v>
      </c>
      <c r="W16" t="str">
        <f t="shared" si="5"/>
        <v>OK</v>
      </c>
      <c r="Y16" s="20">
        <v>156</v>
      </c>
      <c r="Z16" s="21">
        <v>199.68458699999999</v>
      </c>
      <c r="AA16" s="21">
        <v>250.74137899999999</v>
      </c>
      <c r="AB16" s="21">
        <v>256.21428600000002</v>
      </c>
      <c r="AC16" s="21">
        <v>286.95833299999998</v>
      </c>
      <c r="AD16" s="21">
        <v>203.45</v>
      </c>
      <c r="AE16" s="21">
        <v>179.512451</v>
      </c>
      <c r="AF16" s="21">
        <v>159.40665000000001</v>
      </c>
      <c r="AG16" s="21">
        <v>262.13860499999998</v>
      </c>
      <c r="AI16" t="str">
        <f t="shared" ref="AI16:AI42" si="6">IF(NOT(ROUND(B16,2) = ROUND(Z16,2)),(B16-Z16),"OK")</f>
        <v>OK</v>
      </c>
      <c r="AJ16" t="str">
        <f t="shared" ref="AJ16:AJ42" si="7">IF(NOT(ROUND(C16,2) = ROUND(AA16,2)),(C16-AA16),"OK")</f>
        <v>OK</v>
      </c>
    </row>
    <row r="17" spans="1:36" x14ac:dyDescent="0.2">
      <c r="A17" s="2">
        <v>157</v>
      </c>
      <c r="B17" s="3">
        <v>268.7061719502509</v>
      </c>
      <c r="C17" s="3">
        <v>1650.0862068965516</v>
      </c>
      <c r="D17" s="3">
        <v>262.42184570212112</v>
      </c>
      <c r="E17" s="3">
        <v>1083.3</v>
      </c>
      <c r="F17" s="3">
        <v>411.12333411287506</v>
      </c>
      <c r="G17" s="3">
        <v>3344.9285714285716</v>
      </c>
      <c r="H17" s="3">
        <v>190.86643256216155</v>
      </c>
      <c r="I17" s="3">
        <v>1133.75</v>
      </c>
      <c r="J17" s="2" t="s">
        <v>14</v>
      </c>
      <c r="K17" s="5">
        <v>157</v>
      </c>
      <c r="L17" s="4">
        <v>268.70617195025102</v>
      </c>
      <c r="M17" s="4">
        <v>1650.08620689655</v>
      </c>
      <c r="N17" s="4">
        <v>3344.9285714285702</v>
      </c>
      <c r="O17" s="4">
        <v>1133.75</v>
      </c>
      <c r="P17" s="4">
        <v>1083.3</v>
      </c>
      <c r="Q17" s="4">
        <v>411.123334112875</v>
      </c>
      <c r="R17" s="4">
        <v>190.866432562162</v>
      </c>
      <c r="S17" s="4">
        <v>262.421845702121</v>
      </c>
      <c r="U17" t="b">
        <f>A17=K17</f>
        <v>1</v>
      </c>
      <c r="V17" t="str">
        <f t="shared" si="4"/>
        <v>OK</v>
      </c>
      <c r="W17" t="str">
        <f t="shared" si="5"/>
        <v>OK</v>
      </c>
      <c r="Y17" s="20">
        <v>157</v>
      </c>
      <c r="Z17" s="21">
        <v>268.70617199999998</v>
      </c>
      <c r="AA17" s="21">
        <v>1650.0862099999999</v>
      </c>
      <c r="AB17" s="21">
        <v>3344.92857</v>
      </c>
      <c r="AC17" s="21">
        <v>1133.75</v>
      </c>
      <c r="AD17" s="21">
        <v>1083.3</v>
      </c>
      <c r="AE17" s="21">
        <v>411.123334</v>
      </c>
      <c r="AF17" s="21">
        <v>190.866433</v>
      </c>
      <c r="AG17" s="21">
        <v>262.42184600000002</v>
      </c>
      <c r="AI17" t="str">
        <f t="shared" si="6"/>
        <v>OK</v>
      </c>
      <c r="AJ17" t="str">
        <f t="shared" si="7"/>
        <v>OK</v>
      </c>
    </row>
    <row r="18" spans="1:36" x14ac:dyDescent="0.2">
      <c r="A18" s="2">
        <v>158</v>
      </c>
      <c r="B18" s="3">
        <v>880.25770473431453</v>
      </c>
      <c r="C18" s="3">
        <v>21837.741379310344</v>
      </c>
      <c r="D18" s="3">
        <v>735.777189319797</v>
      </c>
      <c r="E18" s="3">
        <v>17559.650000000001</v>
      </c>
      <c r="F18" s="3">
        <v>883.56083385764737</v>
      </c>
      <c r="G18" s="3">
        <v>9373.6428571428569</v>
      </c>
      <c r="H18" s="3">
        <v>998.73130892446841</v>
      </c>
      <c r="I18" s="3">
        <v>32673.541666666668</v>
      </c>
      <c r="J18" s="2" t="s">
        <v>14</v>
      </c>
      <c r="K18" s="5">
        <v>158</v>
      </c>
      <c r="L18" s="4">
        <v>880.25770473431498</v>
      </c>
      <c r="M18" s="4">
        <v>21837.741379310301</v>
      </c>
      <c r="N18" s="4">
        <v>9373.6428571428605</v>
      </c>
      <c r="O18" s="4">
        <v>32673.541666666701</v>
      </c>
      <c r="P18" s="4">
        <v>17559.650000000001</v>
      </c>
      <c r="Q18" s="4">
        <v>883.56083385764703</v>
      </c>
      <c r="R18" s="4">
        <v>998.73130892446795</v>
      </c>
      <c r="S18" s="4">
        <v>735.777189319797</v>
      </c>
      <c r="U18" t="b">
        <f>A18=K18</f>
        <v>1</v>
      </c>
      <c r="V18" t="str">
        <f t="shared" si="4"/>
        <v>OK</v>
      </c>
      <c r="W18" t="str">
        <f t="shared" si="5"/>
        <v>OK</v>
      </c>
      <c r="Y18" s="20">
        <v>158</v>
      </c>
      <c r="Z18" s="21">
        <v>880.25770499999999</v>
      </c>
      <c r="AA18" s="21">
        <v>21837.741399999999</v>
      </c>
      <c r="AB18" s="21">
        <v>9373.6428599999999</v>
      </c>
      <c r="AC18" s="21">
        <v>32673.541700000002</v>
      </c>
      <c r="AD18" s="21">
        <v>17559.650000000001</v>
      </c>
      <c r="AE18" s="21">
        <v>883.560834</v>
      </c>
      <c r="AF18" s="21">
        <v>998.73130900000001</v>
      </c>
      <c r="AG18" s="21">
        <v>735.77718900000002</v>
      </c>
      <c r="AI18" t="str">
        <f t="shared" si="6"/>
        <v>OK</v>
      </c>
      <c r="AJ18" t="str">
        <f t="shared" si="7"/>
        <v>OK</v>
      </c>
    </row>
    <row r="19" spans="1:36" x14ac:dyDescent="0.2">
      <c r="A19" s="2">
        <v>160</v>
      </c>
      <c r="B19" s="3">
        <v>376.07464544877178</v>
      </c>
      <c r="C19" s="3">
        <v>3359.1034482758619</v>
      </c>
      <c r="D19" s="3">
        <v>377.62929503557109</v>
      </c>
      <c r="E19" s="3">
        <v>2543.3000000000002</v>
      </c>
      <c r="F19" s="3">
        <v>419.02526412299591</v>
      </c>
      <c r="G19" s="3">
        <v>3369.6428571428573</v>
      </c>
      <c r="H19" s="3">
        <v>349.72457656647498</v>
      </c>
      <c r="I19" s="3">
        <v>4032.7916666666665</v>
      </c>
      <c r="J19" s="2" t="s">
        <v>14</v>
      </c>
      <c r="K19" s="5">
        <v>160</v>
      </c>
      <c r="L19" s="4">
        <v>376.074645448772</v>
      </c>
      <c r="M19" s="4">
        <v>3359.10344827586</v>
      </c>
      <c r="N19" s="4">
        <v>3369.6428571428601</v>
      </c>
      <c r="O19" s="4">
        <v>4032.7916666666702</v>
      </c>
      <c r="P19" s="4">
        <v>2543.3000000000002</v>
      </c>
      <c r="Q19" s="4">
        <v>419.02526412299602</v>
      </c>
      <c r="R19" s="4">
        <v>349.72457656647498</v>
      </c>
      <c r="S19" s="4">
        <v>377.62929503557098</v>
      </c>
      <c r="U19" t="b">
        <f>A19=K19</f>
        <v>1</v>
      </c>
      <c r="V19" t="str">
        <f t="shared" si="4"/>
        <v>OK</v>
      </c>
      <c r="W19" t="str">
        <f t="shared" si="5"/>
        <v>OK</v>
      </c>
      <c r="Y19" s="20">
        <v>160</v>
      </c>
      <c r="Z19" s="21">
        <v>376.07464499999998</v>
      </c>
      <c r="AA19" s="21">
        <v>3359.1034500000001</v>
      </c>
      <c r="AB19" s="21">
        <v>3369.6428599999999</v>
      </c>
      <c r="AC19" s="21">
        <v>4032.7916700000001</v>
      </c>
      <c r="AD19" s="21">
        <v>2543.3000000000002</v>
      </c>
      <c r="AE19" s="21">
        <v>419.02526399999999</v>
      </c>
      <c r="AF19" s="21">
        <v>349.72457700000001</v>
      </c>
      <c r="AG19" s="21">
        <v>377.62929500000001</v>
      </c>
      <c r="AI19" t="str">
        <f t="shared" si="6"/>
        <v>OK</v>
      </c>
      <c r="AJ19" t="str">
        <f t="shared" si="7"/>
        <v>OK</v>
      </c>
    </row>
    <row r="20" spans="1:36" x14ac:dyDescent="0.2">
      <c r="A20" s="2">
        <v>161</v>
      </c>
      <c r="B20" s="3">
        <v>504.55700511112332</v>
      </c>
      <c r="C20" s="3">
        <v>7641.1724137931033</v>
      </c>
      <c r="D20" s="3">
        <v>508.05353171975651</v>
      </c>
      <c r="E20" s="3">
        <v>9542.75</v>
      </c>
      <c r="F20" s="3">
        <v>380.97714434655273</v>
      </c>
      <c r="G20" s="3">
        <v>5453.9285714285716</v>
      </c>
      <c r="H20" s="3">
        <v>573.73148504992866</v>
      </c>
      <c r="I20" s="3">
        <v>7332.416666666667</v>
      </c>
      <c r="J20" s="2" t="s">
        <v>14</v>
      </c>
      <c r="K20" s="5">
        <v>161</v>
      </c>
      <c r="L20" s="4">
        <v>504.55700511112298</v>
      </c>
      <c r="M20" s="4">
        <v>7641.1724137930996</v>
      </c>
      <c r="N20" s="4">
        <v>5453.9285714285697</v>
      </c>
      <c r="O20" s="4">
        <v>7332.4166666666697</v>
      </c>
      <c r="P20" s="4">
        <v>9542.75</v>
      </c>
      <c r="Q20" s="4">
        <v>380.97714434655302</v>
      </c>
      <c r="R20" s="4">
        <v>573.73148504992901</v>
      </c>
      <c r="S20" s="4">
        <v>508.05353171975702</v>
      </c>
      <c r="U20" t="b">
        <f>A20=K20</f>
        <v>1</v>
      </c>
      <c r="V20" t="str">
        <f t="shared" si="4"/>
        <v>OK</v>
      </c>
      <c r="W20" t="str">
        <f t="shared" si="5"/>
        <v>OK</v>
      </c>
      <c r="Y20" s="20">
        <v>161</v>
      </c>
      <c r="Z20" s="21">
        <v>504.557005</v>
      </c>
      <c r="AA20" s="21">
        <v>7641.1724100000001</v>
      </c>
      <c r="AB20" s="21">
        <v>5453.92857</v>
      </c>
      <c r="AC20" s="21">
        <v>7332.4166699999996</v>
      </c>
      <c r="AD20" s="21">
        <v>9542.75</v>
      </c>
      <c r="AE20" s="21">
        <v>380.97714400000001</v>
      </c>
      <c r="AF20" s="21">
        <v>573.73148500000002</v>
      </c>
      <c r="AG20" s="21">
        <v>508.05353200000002</v>
      </c>
      <c r="AI20" t="str">
        <f t="shared" si="6"/>
        <v>OK</v>
      </c>
      <c r="AJ20" t="str">
        <f t="shared" si="7"/>
        <v>OK</v>
      </c>
    </row>
    <row r="21" spans="1:36" x14ac:dyDescent="0.2">
      <c r="A21" s="2">
        <v>201</v>
      </c>
      <c r="B21" s="3">
        <v>301.24671342358579</v>
      </c>
      <c r="C21" s="3">
        <v>2650.3103448275861</v>
      </c>
      <c r="D21" s="3">
        <v>169.39436557118768</v>
      </c>
      <c r="E21" s="3">
        <v>658.05</v>
      </c>
      <c r="F21" s="3">
        <v>341.3620615472654</v>
      </c>
      <c r="G21" s="3">
        <v>2289.4285714285716</v>
      </c>
      <c r="H21" s="3">
        <v>387.72305022843773</v>
      </c>
      <c r="I21" s="3">
        <v>4521.041666666667</v>
      </c>
      <c r="J21" s="2" t="s">
        <v>14</v>
      </c>
      <c r="K21" s="5">
        <v>201</v>
      </c>
      <c r="L21" s="4">
        <v>301.24671342358602</v>
      </c>
      <c r="M21" s="4">
        <v>2650.3103448275901</v>
      </c>
      <c r="N21" s="4">
        <v>2289.4285714285702</v>
      </c>
      <c r="O21" s="4">
        <v>4521.0416666666697</v>
      </c>
      <c r="P21" s="4">
        <v>658.05</v>
      </c>
      <c r="Q21" s="4">
        <v>341.362061547265</v>
      </c>
      <c r="R21" s="4">
        <v>387.72305022843801</v>
      </c>
      <c r="S21" s="4">
        <v>169.39436557118799</v>
      </c>
      <c r="U21" t="b">
        <f>A21=K21</f>
        <v>1</v>
      </c>
      <c r="V21" t="str">
        <f t="shared" si="4"/>
        <v>OK</v>
      </c>
      <c r="W21" t="str">
        <f t="shared" si="5"/>
        <v>OK</v>
      </c>
      <c r="Y21" s="20">
        <v>201</v>
      </c>
      <c r="Z21" s="21">
        <v>301.246713</v>
      </c>
      <c r="AA21" s="21">
        <v>2650.31034</v>
      </c>
      <c r="AB21" s="21">
        <v>2289.42857</v>
      </c>
      <c r="AC21" s="21">
        <v>4521.0416699999996</v>
      </c>
      <c r="AD21" s="21">
        <v>658.05</v>
      </c>
      <c r="AE21" s="21">
        <v>341.36206199999998</v>
      </c>
      <c r="AF21" s="21">
        <v>387.72305</v>
      </c>
      <c r="AG21" s="21">
        <v>169.39436599999999</v>
      </c>
      <c r="AI21" t="str">
        <f t="shared" si="6"/>
        <v>OK</v>
      </c>
      <c r="AJ21" t="str">
        <f t="shared" si="7"/>
        <v>OK</v>
      </c>
    </row>
    <row r="22" spans="1:36" x14ac:dyDescent="0.2">
      <c r="A22" s="2">
        <v>202</v>
      </c>
      <c r="B22" s="3">
        <v>294.53902289301368</v>
      </c>
      <c r="C22" s="3">
        <v>1595.6379310344828</v>
      </c>
      <c r="D22" s="3">
        <v>259.88784935583323</v>
      </c>
      <c r="E22" s="3">
        <v>1353.1</v>
      </c>
      <c r="F22" s="3">
        <v>170.17051005781985</v>
      </c>
      <c r="G22" s="3">
        <v>643.35714285714289</v>
      </c>
      <c r="H22" s="3">
        <v>395.96329999452706</v>
      </c>
      <c r="I22" s="3">
        <v>2353.25</v>
      </c>
      <c r="J22" s="2" t="s">
        <v>14</v>
      </c>
      <c r="K22" s="5">
        <v>202</v>
      </c>
      <c r="L22" s="4">
        <v>294.53902289301402</v>
      </c>
      <c r="M22" s="4">
        <v>1595.6379310344801</v>
      </c>
      <c r="N22" s="4">
        <v>643.357142857143</v>
      </c>
      <c r="O22" s="4">
        <v>2353.25</v>
      </c>
      <c r="P22" s="4">
        <v>1353.1</v>
      </c>
      <c r="Q22" s="4">
        <v>170.17051005782</v>
      </c>
      <c r="R22" s="4">
        <v>395.96329999452701</v>
      </c>
      <c r="S22" s="4">
        <v>259.887849355833</v>
      </c>
      <c r="U22" t="b">
        <f>A22=K22</f>
        <v>1</v>
      </c>
      <c r="V22" t="str">
        <f t="shared" si="4"/>
        <v>OK</v>
      </c>
      <c r="W22" t="str">
        <f t="shared" si="5"/>
        <v>OK</v>
      </c>
      <c r="Y22" s="20">
        <v>202</v>
      </c>
      <c r="Z22" s="21">
        <v>294.53902299999999</v>
      </c>
      <c r="AA22" s="21">
        <v>1595.6379300000001</v>
      </c>
      <c r="AB22" s="21">
        <v>643.35714299999995</v>
      </c>
      <c r="AC22" s="21">
        <v>2353.25</v>
      </c>
      <c r="AD22" s="21">
        <v>1353.1</v>
      </c>
      <c r="AE22" s="21">
        <v>170.17051000000001</v>
      </c>
      <c r="AF22" s="21">
        <v>395.9633</v>
      </c>
      <c r="AG22" s="21">
        <v>259.88784900000002</v>
      </c>
      <c r="AI22" t="str">
        <f t="shared" si="6"/>
        <v>OK</v>
      </c>
      <c r="AJ22" t="str">
        <f t="shared" si="7"/>
        <v>OK</v>
      </c>
    </row>
    <row r="23" spans="1:36" x14ac:dyDescent="0.2">
      <c r="A23" s="2">
        <v>204</v>
      </c>
      <c r="B23" s="3">
        <v>510.69852174231141</v>
      </c>
      <c r="C23" s="3">
        <v>8102.4310344827591</v>
      </c>
      <c r="D23" s="3">
        <v>419.46583882979098</v>
      </c>
      <c r="E23" s="3">
        <v>4399.6000000000004</v>
      </c>
      <c r="F23" s="3">
        <v>678.13272545020914</v>
      </c>
      <c r="G23" s="3">
        <v>12150.714285714286</v>
      </c>
      <c r="H23" s="3">
        <v>489.05580533980446</v>
      </c>
      <c r="I23" s="3">
        <v>8826.625</v>
      </c>
      <c r="J23" s="2" t="s">
        <v>14</v>
      </c>
      <c r="K23" s="5">
        <v>204</v>
      </c>
      <c r="L23" s="4">
        <v>510.69852174231102</v>
      </c>
      <c r="M23" s="4">
        <v>8102.43103448276</v>
      </c>
      <c r="N23" s="4">
        <v>12150.714285714301</v>
      </c>
      <c r="O23" s="4">
        <v>8826.625</v>
      </c>
      <c r="P23" s="4">
        <v>4399.6000000000004</v>
      </c>
      <c r="Q23" s="4">
        <v>678.13272545020902</v>
      </c>
      <c r="R23" s="4">
        <v>489.05580533980401</v>
      </c>
      <c r="S23" s="4">
        <v>419.46583882979098</v>
      </c>
      <c r="U23" t="b">
        <f>A23=K23</f>
        <v>1</v>
      </c>
      <c r="V23" t="str">
        <f t="shared" si="4"/>
        <v>OK</v>
      </c>
      <c r="W23" t="str">
        <f t="shared" si="5"/>
        <v>OK</v>
      </c>
      <c r="Y23" s="20">
        <v>204</v>
      </c>
      <c r="Z23" s="21">
        <v>510.69852200000003</v>
      </c>
      <c r="AA23" s="21">
        <v>8102.4310299999997</v>
      </c>
      <c r="AB23" s="21">
        <v>12150.7143</v>
      </c>
      <c r="AC23" s="21">
        <v>8826.625</v>
      </c>
      <c r="AD23" s="21">
        <v>4399.6000000000004</v>
      </c>
      <c r="AE23" s="21">
        <v>678.13272500000005</v>
      </c>
      <c r="AF23" s="21">
        <v>489.05580500000002</v>
      </c>
      <c r="AG23" s="21">
        <v>419.46583900000002</v>
      </c>
      <c r="AI23" t="str">
        <f t="shared" si="6"/>
        <v>OK</v>
      </c>
      <c r="AJ23" t="str">
        <f t="shared" si="7"/>
        <v>OK</v>
      </c>
    </row>
    <row r="24" spans="1:36" x14ac:dyDescent="0.2">
      <c r="A24" s="2">
        <v>205</v>
      </c>
      <c r="B24" s="3">
        <v>740.45642408398896</v>
      </c>
      <c r="C24" s="3">
        <v>12684.344827586207</v>
      </c>
      <c r="D24" s="3">
        <v>756.28181877966017</v>
      </c>
      <c r="E24" s="3">
        <v>14109.9</v>
      </c>
      <c r="F24" s="3">
        <v>840.84982646651224</v>
      </c>
      <c r="G24" s="3">
        <v>14139.428571428571</v>
      </c>
      <c r="H24" s="3">
        <v>668.70577711445765</v>
      </c>
      <c r="I24" s="3">
        <v>10647.583333333334</v>
      </c>
      <c r="J24" s="2" t="s">
        <v>14</v>
      </c>
      <c r="K24" s="5">
        <v>205</v>
      </c>
      <c r="L24" s="4">
        <v>740.45642408398896</v>
      </c>
      <c r="M24" s="4">
        <v>12684.344827586199</v>
      </c>
      <c r="N24" s="4">
        <v>14139.4285714286</v>
      </c>
      <c r="O24" s="4">
        <v>10647.583333333299</v>
      </c>
      <c r="P24" s="4">
        <v>14109.9</v>
      </c>
      <c r="Q24" s="4">
        <v>840.84982646651201</v>
      </c>
      <c r="R24" s="4">
        <v>668.70577711445799</v>
      </c>
      <c r="S24" s="4">
        <v>756.28181877965994</v>
      </c>
      <c r="U24" t="b">
        <f>A24=K24</f>
        <v>1</v>
      </c>
      <c r="V24" t="str">
        <f t="shared" si="4"/>
        <v>OK</v>
      </c>
      <c r="W24" t="str">
        <f t="shared" si="5"/>
        <v>OK</v>
      </c>
      <c r="Y24" s="20">
        <v>205</v>
      </c>
      <c r="Z24" s="21">
        <v>740.45642399999997</v>
      </c>
      <c r="AA24" s="21">
        <v>12684.344800000001</v>
      </c>
      <c r="AB24" s="21">
        <v>14139.428599999999</v>
      </c>
      <c r="AC24" s="21">
        <v>10647.5833</v>
      </c>
      <c r="AD24" s="21">
        <v>14109.9</v>
      </c>
      <c r="AE24" s="21">
        <v>840.84982600000001</v>
      </c>
      <c r="AF24" s="21">
        <v>668.70577700000001</v>
      </c>
      <c r="AG24" s="21">
        <v>756.28181900000004</v>
      </c>
      <c r="AI24" t="str">
        <f t="shared" si="6"/>
        <v>OK</v>
      </c>
      <c r="AJ24" t="str">
        <f t="shared" si="7"/>
        <v>OK</v>
      </c>
    </row>
    <row r="25" spans="1:36" x14ac:dyDescent="0.2">
      <c r="A25" s="2">
        <v>209</v>
      </c>
      <c r="B25" s="3">
        <v>182.64950879667018</v>
      </c>
      <c r="C25" s="3">
        <v>1024.5862068965516</v>
      </c>
      <c r="D25" s="3">
        <v>177.20546769084257</v>
      </c>
      <c r="E25" s="3">
        <v>1113.9000000000001</v>
      </c>
      <c r="F25" s="3">
        <v>140.38834310829543</v>
      </c>
      <c r="G25" s="3">
        <v>589.92857142857144</v>
      </c>
      <c r="H25" s="3">
        <v>211.83855636974511</v>
      </c>
      <c r="I25" s="3">
        <v>1203.7083333333333</v>
      </c>
      <c r="J25" s="2" t="s">
        <v>14</v>
      </c>
      <c r="K25" s="5">
        <v>209</v>
      </c>
      <c r="L25" s="4">
        <v>182.64950879667001</v>
      </c>
      <c r="M25" s="4">
        <v>1024.58620689655</v>
      </c>
      <c r="N25" s="4">
        <v>589.92857142857099</v>
      </c>
      <c r="O25" s="4">
        <v>1203.7083333333301</v>
      </c>
      <c r="P25" s="4">
        <v>1113.9000000000001</v>
      </c>
      <c r="Q25" s="4">
        <v>140.388343108295</v>
      </c>
      <c r="R25" s="4">
        <v>211.83855636974499</v>
      </c>
      <c r="S25" s="4">
        <v>177.20546769084299</v>
      </c>
      <c r="U25" t="b">
        <f>A25=K25</f>
        <v>1</v>
      </c>
      <c r="V25" t="str">
        <f t="shared" si="4"/>
        <v>OK</v>
      </c>
      <c r="W25" t="str">
        <f t="shared" si="5"/>
        <v>OK</v>
      </c>
      <c r="Y25" s="20">
        <v>209</v>
      </c>
      <c r="Z25" s="21">
        <v>182.64950899999999</v>
      </c>
      <c r="AA25" s="21">
        <v>1024.5862099999999</v>
      </c>
      <c r="AB25" s="21">
        <v>589.92857100000003</v>
      </c>
      <c r="AC25" s="21">
        <v>1203.7083299999999</v>
      </c>
      <c r="AD25" s="21">
        <v>1113.9000000000001</v>
      </c>
      <c r="AE25" s="21">
        <v>140.38834299999999</v>
      </c>
      <c r="AF25" s="21">
        <v>211.83855600000001</v>
      </c>
      <c r="AG25" s="21">
        <v>177.205468</v>
      </c>
      <c r="AI25" t="str">
        <f t="shared" si="6"/>
        <v>OK</v>
      </c>
      <c r="AJ25" t="str">
        <f t="shared" si="7"/>
        <v>OK</v>
      </c>
    </row>
    <row r="26" spans="1:36" x14ac:dyDescent="0.2">
      <c r="A26" s="2">
        <v>210</v>
      </c>
      <c r="B26" s="3">
        <v>856.41406784759397</v>
      </c>
      <c r="C26" s="3">
        <v>31049.086206896551</v>
      </c>
      <c r="D26" s="3">
        <v>359.49102375805103</v>
      </c>
      <c r="E26" s="3">
        <v>2781.2</v>
      </c>
      <c r="F26" s="3">
        <v>1171.0924454451567</v>
      </c>
      <c r="G26" s="3">
        <v>55891.785714285717</v>
      </c>
      <c r="H26" s="3">
        <v>1086.9542176569685</v>
      </c>
      <c r="I26" s="3">
        <v>40114.083333333336</v>
      </c>
      <c r="J26" s="2" t="s">
        <v>14</v>
      </c>
      <c r="K26" s="5">
        <v>210</v>
      </c>
      <c r="L26" s="4">
        <v>856.41406784759397</v>
      </c>
      <c r="M26" s="4">
        <v>31049.086206896602</v>
      </c>
      <c r="N26" s="4">
        <v>55891.785714285703</v>
      </c>
      <c r="O26" s="4">
        <v>40114.083333333299</v>
      </c>
      <c r="P26" s="4">
        <v>2781.2</v>
      </c>
      <c r="Q26" s="4">
        <v>1171.0924454451599</v>
      </c>
      <c r="R26" s="4">
        <v>1086.9542176569701</v>
      </c>
      <c r="S26" s="4">
        <v>359.49102375805103</v>
      </c>
      <c r="U26" t="b">
        <f>A26=K26</f>
        <v>1</v>
      </c>
      <c r="V26" t="str">
        <f t="shared" si="4"/>
        <v>OK</v>
      </c>
      <c r="W26" t="str">
        <f t="shared" si="5"/>
        <v>OK</v>
      </c>
      <c r="Y26" s="20">
        <v>210</v>
      </c>
      <c r="Z26" s="21">
        <v>856.41406800000004</v>
      </c>
      <c r="AA26" s="21">
        <v>31049.086200000002</v>
      </c>
      <c r="AB26" s="21">
        <v>55891.7857</v>
      </c>
      <c r="AC26" s="21">
        <v>40114.083299999998</v>
      </c>
      <c r="AD26" s="21">
        <v>2781.2</v>
      </c>
      <c r="AE26" s="21">
        <v>1171.0924500000001</v>
      </c>
      <c r="AF26" s="21">
        <v>1086.9542200000001</v>
      </c>
      <c r="AG26" s="21">
        <v>359.49102399999998</v>
      </c>
      <c r="AI26" t="str">
        <f t="shared" si="6"/>
        <v>OK</v>
      </c>
      <c r="AJ26" t="str">
        <f t="shared" si="7"/>
        <v>OK</v>
      </c>
    </row>
    <row r="27" spans="1:36" x14ac:dyDescent="0.2">
      <c r="A27" s="2">
        <v>214</v>
      </c>
      <c r="B27" s="3">
        <v>182.11385825994719</v>
      </c>
      <c r="C27" s="3">
        <v>260.29310344827587</v>
      </c>
      <c r="D27" s="3">
        <v>150.61537947756716</v>
      </c>
      <c r="E27" s="3">
        <v>237.05</v>
      </c>
      <c r="F27" s="3">
        <v>231.34706906031738</v>
      </c>
      <c r="G27" s="3">
        <v>540.21428571428567</v>
      </c>
      <c r="H27" s="3">
        <v>179.64321761171473</v>
      </c>
      <c r="I27" s="3">
        <v>116.375</v>
      </c>
      <c r="J27" s="2" t="s">
        <v>14</v>
      </c>
      <c r="K27" s="5">
        <v>214</v>
      </c>
      <c r="L27" s="4">
        <v>182.11385825994699</v>
      </c>
      <c r="M27" s="4">
        <v>260.29310344827599</v>
      </c>
      <c r="N27" s="4">
        <v>540.21428571428601</v>
      </c>
      <c r="O27" s="4">
        <v>116.375</v>
      </c>
      <c r="P27" s="4">
        <v>237.05</v>
      </c>
      <c r="Q27" s="4">
        <v>231.34706906031701</v>
      </c>
      <c r="R27" s="4">
        <v>179.64321761171499</v>
      </c>
      <c r="S27" s="4">
        <v>150.61537947756699</v>
      </c>
      <c r="U27" t="b">
        <f>A27=K27</f>
        <v>1</v>
      </c>
      <c r="V27" t="str">
        <f t="shared" si="4"/>
        <v>OK</v>
      </c>
      <c r="W27" t="str">
        <f t="shared" si="5"/>
        <v>OK</v>
      </c>
      <c r="Y27" s="20">
        <v>214</v>
      </c>
      <c r="Z27" s="21">
        <v>182.11385799999999</v>
      </c>
      <c r="AA27" s="21">
        <v>260.29310299999997</v>
      </c>
      <c r="AB27" s="21">
        <v>540.21428600000002</v>
      </c>
      <c r="AC27" s="21">
        <v>116.375</v>
      </c>
      <c r="AD27" s="21">
        <v>237.05</v>
      </c>
      <c r="AE27" s="21">
        <v>231.347069</v>
      </c>
      <c r="AF27" s="21">
        <v>179.64321799999999</v>
      </c>
      <c r="AG27" s="21">
        <v>150.61537899999999</v>
      </c>
      <c r="AI27" t="str">
        <f t="shared" si="6"/>
        <v>OK</v>
      </c>
      <c r="AJ27" t="str">
        <f t="shared" si="7"/>
        <v>OK</v>
      </c>
    </row>
    <row r="28" spans="1:36" x14ac:dyDescent="0.2">
      <c r="A28" s="2">
        <v>214</v>
      </c>
      <c r="B28" s="3">
        <v>296.90522461378379</v>
      </c>
      <c r="C28" s="3">
        <v>1429.2413793103449</v>
      </c>
      <c r="D28" s="3">
        <v>211.97852212394037</v>
      </c>
      <c r="E28" s="3">
        <v>471.05</v>
      </c>
      <c r="F28" s="3">
        <v>393.99495702551104</v>
      </c>
      <c r="G28" s="3">
        <v>3289.2857142857142</v>
      </c>
      <c r="H28" s="3">
        <v>311.04179944847999</v>
      </c>
      <c r="I28" s="3">
        <v>1142.7083333333333</v>
      </c>
      <c r="J28" s="2" t="s">
        <v>15</v>
      </c>
      <c r="K28" s="5">
        <v>214</v>
      </c>
      <c r="L28" s="4">
        <v>296.90522461378401</v>
      </c>
      <c r="M28" s="4">
        <v>1429.2413793103401</v>
      </c>
      <c r="N28" s="4">
        <v>3289.2857142857101</v>
      </c>
      <c r="O28" s="4">
        <v>1142.7083333333301</v>
      </c>
      <c r="P28" s="4">
        <v>471.05</v>
      </c>
      <c r="Q28" s="4">
        <v>393.99495702551098</v>
      </c>
      <c r="R28" s="4">
        <v>311.04179944847903</v>
      </c>
      <c r="S28" s="4">
        <v>211.97852212394</v>
      </c>
      <c r="U28" t="b">
        <f>A28=K28</f>
        <v>1</v>
      </c>
      <c r="V28" t="str">
        <f t="shared" si="4"/>
        <v>OK</v>
      </c>
      <c r="W28" t="str">
        <f t="shared" si="5"/>
        <v>OK</v>
      </c>
      <c r="Y28" s="20">
        <v>214</v>
      </c>
      <c r="Z28" s="21">
        <v>296.90522499999997</v>
      </c>
      <c r="AA28" s="21">
        <v>1429.2413799999999</v>
      </c>
      <c r="AB28" s="21">
        <v>3289.2857100000001</v>
      </c>
      <c r="AC28" s="21">
        <v>1142.7083299999999</v>
      </c>
      <c r="AD28" s="21">
        <v>471.05</v>
      </c>
      <c r="AE28" s="21">
        <v>393.994957</v>
      </c>
      <c r="AF28" s="21">
        <v>311.04179900000003</v>
      </c>
      <c r="AG28" s="21">
        <v>211.978522</v>
      </c>
      <c r="AI28" t="str">
        <f t="shared" si="6"/>
        <v>OK</v>
      </c>
      <c r="AJ28" t="str">
        <f t="shared" si="7"/>
        <v>OK</v>
      </c>
    </row>
    <row r="29" spans="1:36" x14ac:dyDescent="0.2">
      <c r="A29" s="2">
        <v>215</v>
      </c>
      <c r="B29" s="3">
        <v>476.14288782252044</v>
      </c>
      <c r="C29" s="3">
        <v>4946.7931034482763</v>
      </c>
      <c r="D29" s="3">
        <v>504.94067538012422</v>
      </c>
      <c r="E29" s="3">
        <v>5595.6</v>
      </c>
      <c r="F29" s="3">
        <v>312.06142439314021</v>
      </c>
      <c r="G29" s="3">
        <v>1880</v>
      </c>
      <c r="H29" s="3">
        <v>547.85891852498889</v>
      </c>
      <c r="I29" s="3">
        <v>6195.083333333333</v>
      </c>
      <c r="J29" s="2" t="s">
        <v>14</v>
      </c>
      <c r="K29" s="5">
        <v>215</v>
      </c>
      <c r="L29" s="4">
        <v>476.14288782251998</v>
      </c>
      <c r="M29" s="4">
        <v>4946.7931034482799</v>
      </c>
      <c r="N29" s="4">
        <v>1880</v>
      </c>
      <c r="O29" s="4">
        <v>6195.0833333333303</v>
      </c>
      <c r="P29" s="4">
        <v>5595.6</v>
      </c>
      <c r="Q29" s="4">
        <v>312.06142439313999</v>
      </c>
      <c r="R29" s="4">
        <v>547.85891852498901</v>
      </c>
      <c r="S29" s="4">
        <v>504.94067538012399</v>
      </c>
      <c r="U29" t="b">
        <f>A29=K29</f>
        <v>1</v>
      </c>
      <c r="V29" t="str">
        <f t="shared" si="4"/>
        <v>OK</v>
      </c>
      <c r="W29" t="str">
        <f t="shared" si="5"/>
        <v>OK</v>
      </c>
      <c r="Y29" s="20">
        <v>215</v>
      </c>
      <c r="Z29" s="21">
        <v>476.14288800000003</v>
      </c>
      <c r="AA29" s="21">
        <v>4946.7930999999999</v>
      </c>
      <c r="AB29" s="21">
        <v>1880</v>
      </c>
      <c r="AC29" s="21">
        <v>6195.0833300000004</v>
      </c>
      <c r="AD29" s="21">
        <v>5595.6</v>
      </c>
      <c r="AE29" s="21">
        <v>312.06142399999999</v>
      </c>
      <c r="AF29" s="21">
        <v>547.85891900000001</v>
      </c>
      <c r="AG29" s="21">
        <v>504.940675</v>
      </c>
      <c r="AI29" t="str">
        <f t="shared" si="6"/>
        <v>OK</v>
      </c>
      <c r="AJ29" t="str">
        <f t="shared" si="7"/>
        <v>OK</v>
      </c>
    </row>
    <row r="30" spans="1:36" x14ac:dyDescent="0.2">
      <c r="A30" s="2">
        <v>217</v>
      </c>
      <c r="B30" s="3">
        <v>402.47434747131706</v>
      </c>
      <c r="C30" s="3">
        <v>4937.4655172413795</v>
      </c>
      <c r="D30" s="3">
        <v>182.95603896965815</v>
      </c>
      <c r="E30" s="3">
        <v>1074.3499999999999</v>
      </c>
      <c r="F30" s="3">
        <v>638.84987728375643</v>
      </c>
      <c r="G30" s="3">
        <v>6582.7857142857147</v>
      </c>
      <c r="H30" s="3">
        <v>447.52054549877653</v>
      </c>
      <c r="I30" s="3">
        <v>7196.958333333333</v>
      </c>
      <c r="J30" s="2" t="s">
        <v>14</v>
      </c>
      <c r="K30" s="5">
        <v>217</v>
      </c>
      <c r="L30" s="4">
        <v>402.474347471317</v>
      </c>
      <c r="M30" s="4">
        <v>4937.4655172413804</v>
      </c>
      <c r="N30" s="4">
        <v>6582.7857142857101</v>
      </c>
      <c r="O30" s="4">
        <v>7196.9583333333303</v>
      </c>
      <c r="P30" s="4">
        <v>1074.3499999999999</v>
      </c>
      <c r="Q30" s="4">
        <v>638.84987728375597</v>
      </c>
      <c r="R30" s="4">
        <v>447.52054549877698</v>
      </c>
      <c r="S30" s="4">
        <v>182.95603896965801</v>
      </c>
      <c r="U30" t="b">
        <f>A30=K30</f>
        <v>1</v>
      </c>
      <c r="V30" t="str">
        <f t="shared" si="4"/>
        <v>OK</v>
      </c>
      <c r="W30" t="str">
        <f t="shared" si="5"/>
        <v>OK</v>
      </c>
      <c r="Y30" s="20">
        <v>217</v>
      </c>
      <c r="Z30" s="21">
        <v>402.47434700000002</v>
      </c>
      <c r="AA30" s="21">
        <v>4937.4655199999997</v>
      </c>
      <c r="AB30" s="21">
        <v>6582.7857100000001</v>
      </c>
      <c r="AC30" s="21">
        <v>7196.9583300000004</v>
      </c>
      <c r="AD30" s="21">
        <v>1074.3499999999999</v>
      </c>
      <c r="AE30" s="21">
        <v>638.84987699999999</v>
      </c>
      <c r="AF30" s="21">
        <v>447.52054500000003</v>
      </c>
      <c r="AG30" s="21">
        <v>182.956039</v>
      </c>
      <c r="AI30" t="str">
        <f t="shared" si="6"/>
        <v>OK</v>
      </c>
      <c r="AJ30" t="str">
        <f t="shared" si="7"/>
        <v>OK</v>
      </c>
    </row>
    <row r="31" spans="1:36" x14ac:dyDescent="0.2">
      <c r="A31" s="2">
        <v>219</v>
      </c>
      <c r="B31" s="3">
        <v>912.67980932099658</v>
      </c>
      <c r="C31" s="3">
        <v>20789.086206896551</v>
      </c>
      <c r="D31" s="3">
        <v>988.67258336315103</v>
      </c>
      <c r="E31" s="3">
        <v>29327.05</v>
      </c>
      <c r="F31" s="3">
        <v>1148.4676077415079</v>
      </c>
      <c r="G31" s="3">
        <v>25008.714285714286</v>
      </c>
      <c r="H31" s="3">
        <v>711.80961520723736</v>
      </c>
      <c r="I31" s="3">
        <v>11212.666666666666</v>
      </c>
      <c r="J31" s="2" t="s">
        <v>14</v>
      </c>
      <c r="K31" s="5">
        <v>219</v>
      </c>
      <c r="L31" s="4">
        <v>912.67980932099704</v>
      </c>
      <c r="M31" s="4">
        <v>20789.086206896602</v>
      </c>
      <c r="N31" s="4">
        <v>25008.714285714301</v>
      </c>
      <c r="O31" s="4">
        <v>11212.666666666701</v>
      </c>
      <c r="P31" s="4">
        <v>29327.05</v>
      </c>
      <c r="Q31" s="4">
        <v>1148.4676077415099</v>
      </c>
      <c r="R31" s="4">
        <v>711.80961520723702</v>
      </c>
      <c r="S31" s="4">
        <v>988.67258336315103</v>
      </c>
      <c r="U31" t="b">
        <f>A31=K31</f>
        <v>1</v>
      </c>
      <c r="V31" t="str">
        <f t="shared" si="4"/>
        <v>OK</v>
      </c>
      <c r="W31" t="str">
        <f t="shared" si="5"/>
        <v>OK</v>
      </c>
      <c r="Y31" s="20">
        <v>219</v>
      </c>
      <c r="Z31" s="21">
        <v>912.67980899999998</v>
      </c>
      <c r="AA31" s="21">
        <v>20789.086200000002</v>
      </c>
      <c r="AB31" s="21">
        <v>25008.7143</v>
      </c>
      <c r="AC31" s="21">
        <v>11212.6667</v>
      </c>
      <c r="AD31" s="21">
        <v>29327.05</v>
      </c>
      <c r="AE31" s="21">
        <v>1148.4676099999999</v>
      </c>
      <c r="AF31" s="21">
        <v>711.80961500000001</v>
      </c>
      <c r="AG31" s="21">
        <v>988.67258300000003</v>
      </c>
      <c r="AI31" t="str">
        <f t="shared" si="6"/>
        <v>OK</v>
      </c>
      <c r="AJ31" t="str">
        <f t="shared" si="7"/>
        <v>OK</v>
      </c>
    </row>
    <row r="32" spans="1:36" x14ac:dyDescent="0.2">
      <c r="A32" s="2">
        <v>410</v>
      </c>
      <c r="B32" s="3">
        <v>139.0036524107532</v>
      </c>
      <c r="C32" s="3">
        <v>239.44827586206895</v>
      </c>
      <c r="D32" s="3">
        <v>83.238137838538506</v>
      </c>
      <c r="E32" s="3">
        <v>198.45</v>
      </c>
      <c r="F32" s="3">
        <v>229.92277842465808</v>
      </c>
      <c r="G32" s="3">
        <v>340.71428571428572</v>
      </c>
      <c r="H32" s="3">
        <v>132.4387577128212</v>
      </c>
      <c r="I32" s="3">
        <v>214.54166666666666</v>
      </c>
      <c r="J32" s="2" t="s">
        <v>15</v>
      </c>
      <c r="K32" s="5">
        <v>410</v>
      </c>
      <c r="L32" s="4">
        <v>139.00365241075301</v>
      </c>
      <c r="M32" s="4">
        <v>239.44827586206901</v>
      </c>
      <c r="N32" s="4">
        <v>340.71428571428601</v>
      </c>
      <c r="O32" s="4">
        <v>214.541666666667</v>
      </c>
      <c r="P32" s="4">
        <v>198.45</v>
      </c>
      <c r="Q32" s="4">
        <v>229.92277842465799</v>
      </c>
      <c r="R32" s="4">
        <v>132.438757712821</v>
      </c>
      <c r="S32" s="4">
        <v>83.238137838538407</v>
      </c>
      <c r="U32" t="b">
        <f>A32=K32</f>
        <v>1</v>
      </c>
      <c r="V32" t="str">
        <f t="shared" si="4"/>
        <v>OK</v>
      </c>
      <c r="W32" t="str">
        <f t="shared" si="5"/>
        <v>OK</v>
      </c>
      <c r="Y32" s="20">
        <v>410</v>
      </c>
      <c r="Z32" s="21">
        <v>139.00365199999999</v>
      </c>
      <c r="AA32" s="21">
        <v>239.44827599999999</v>
      </c>
      <c r="AB32" s="21">
        <v>340.71428600000002</v>
      </c>
      <c r="AC32" s="21">
        <v>214.54166699999999</v>
      </c>
      <c r="AD32" s="21">
        <v>198.45</v>
      </c>
      <c r="AE32" s="21">
        <v>229.92277799999999</v>
      </c>
      <c r="AF32" s="21">
        <v>132.43875800000001</v>
      </c>
      <c r="AG32" s="21">
        <v>83.238137800000004</v>
      </c>
      <c r="AI32" t="str">
        <f t="shared" si="6"/>
        <v>OK</v>
      </c>
      <c r="AJ32" t="str">
        <f t="shared" si="7"/>
        <v>OK</v>
      </c>
    </row>
    <row r="33" spans="1:36" x14ac:dyDescent="0.2">
      <c r="A33" s="2">
        <v>424</v>
      </c>
      <c r="B33" s="3">
        <v>231.37090299121618</v>
      </c>
      <c r="C33" s="3">
        <v>1553.4655172413793</v>
      </c>
      <c r="D33" s="3">
        <v>150.85945464191371</v>
      </c>
      <c r="E33" s="3">
        <v>387.25</v>
      </c>
      <c r="F33" s="3">
        <v>319.62373625680505</v>
      </c>
      <c r="G33" s="3">
        <v>2553</v>
      </c>
      <c r="H33" s="3">
        <v>246.98295721070849</v>
      </c>
      <c r="I33" s="3">
        <v>1942.25</v>
      </c>
      <c r="J33" s="2" t="s">
        <v>15</v>
      </c>
      <c r="K33" s="5">
        <v>424</v>
      </c>
      <c r="L33" s="4">
        <v>231.37090299121601</v>
      </c>
      <c r="M33" s="4">
        <v>1553.46551724138</v>
      </c>
      <c r="N33" s="4">
        <v>2553</v>
      </c>
      <c r="O33" s="4">
        <v>1942.25</v>
      </c>
      <c r="P33" s="4">
        <v>387.25</v>
      </c>
      <c r="Q33" s="4">
        <v>319.62373625680402</v>
      </c>
      <c r="R33" s="4">
        <v>246.98295721070801</v>
      </c>
      <c r="S33" s="4">
        <v>150.859454641914</v>
      </c>
      <c r="U33" t="b">
        <f>A33=K33</f>
        <v>1</v>
      </c>
      <c r="V33" t="str">
        <f t="shared" si="4"/>
        <v>OK</v>
      </c>
      <c r="W33" t="str">
        <f t="shared" si="5"/>
        <v>OK</v>
      </c>
      <c r="Y33" s="20">
        <v>424</v>
      </c>
      <c r="Z33" s="21">
        <v>231.370903</v>
      </c>
      <c r="AA33" s="21">
        <v>1553.46552</v>
      </c>
      <c r="AB33" s="21">
        <v>2553</v>
      </c>
      <c r="AC33" s="21">
        <v>1942.25</v>
      </c>
      <c r="AD33" s="21">
        <v>387.25</v>
      </c>
      <c r="AE33" s="21">
        <v>319.62373600000001</v>
      </c>
      <c r="AF33" s="21">
        <v>246.982957</v>
      </c>
      <c r="AG33" s="21">
        <v>150.859455</v>
      </c>
      <c r="AI33" t="str">
        <f t="shared" si="6"/>
        <v>OK</v>
      </c>
      <c r="AJ33" t="str">
        <f t="shared" si="7"/>
        <v>OK</v>
      </c>
    </row>
    <row r="34" spans="1:36" x14ac:dyDescent="0.2">
      <c r="A34" s="2">
        <v>480</v>
      </c>
      <c r="B34" s="3">
        <v>164.71249416611761</v>
      </c>
      <c r="C34" s="3">
        <v>823.29310344827582</v>
      </c>
      <c r="D34" s="3">
        <v>125.41257653619211</v>
      </c>
      <c r="E34" s="3">
        <v>512.15</v>
      </c>
      <c r="F34" s="3">
        <v>65.0520277686783</v>
      </c>
      <c r="G34" s="3">
        <v>31.785714285714285</v>
      </c>
      <c r="H34" s="3">
        <v>255.59769758956202</v>
      </c>
      <c r="I34" s="3">
        <v>1544.2916666666667</v>
      </c>
      <c r="J34" s="2" t="s">
        <v>15</v>
      </c>
      <c r="K34" s="5">
        <v>480</v>
      </c>
      <c r="L34" s="4">
        <v>164.71249416611801</v>
      </c>
      <c r="M34" s="4">
        <v>823.29310344827604</v>
      </c>
      <c r="N34" s="4">
        <v>31.785714285714299</v>
      </c>
      <c r="O34" s="4">
        <v>1544.2916666666699</v>
      </c>
      <c r="P34" s="4">
        <v>512.15</v>
      </c>
      <c r="Q34" s="4">
        <v>65.052027768678201</v>
      </c>
      <c r="R34" s="4">
        <v>255.59769758956199</v>
      </c>
      <c r="S34" s="4">
        <v>125.41257653619201</v>
      </c>
      <c r="U34" t="b">
        <f>A34=K34</f>
        <v>1</v>
      </c>
      <c r="V34" t="str">
        <f t="shared" si="4"/>
        <v>OK</v>
      </c>
      <c r="W34" t="str">
        <f t="shared" si="5"/>
        <v>OK</v>
      </c>
      <c r="Y34" s="20">
        <v>480</v>
      </c>
      <c r="Z34" s="21">
        <v>164.71249399999999</v>
      </c>
      <c r="AA34" s="21">
        <v>823.29310299999997</v>
      </c>
      <c r="AB34" s="21">
        <v>31.785714299999999</v>
      </c>
      <c r="AC34" s="21">
        <v>1544.2916700000001</v>
      </c>
      <c r="AD34" s="21">
        <v>512.15</v>
      </c>
      <c r="AE34" s="21">
        <v>65.052027800000005</v>
      </c>
      <c r="AF34" s="21">
        <v>255.59769800000001</v>
      </c>
      <c r="AG34" s="21">
        <v>125.412577</v>
      </c>
      <c r="AI34" t="str">
        <f t="shared" si="6"/>
        <v>OK</v>
      </c>
      <c r="AJ34" t="str">
        <f t="shared" si="7"/>
        <v>OK</v>
      </c>
    </row>
    <row r="35" spans="1:36" x14ac:dyDescent="0.2">
      <c r="A35" s="2">
        <v>482</v>
      </c>
      <c r="B35" s="3">
        <v>218.4714871157376</v>
      </c>
      <c r="C35" s="3">
        <v>501.10344827586209</v>
      </c>
      <c r="D35" s="3">
        <v>214.41849508712642</v>
      </c>
      <c r="E35" s="3">
        <v>363.45</v>
      </c>
      <c r="F35" s="3">
        <v>305.74495452650399</v>
      </c>
      <c r="G35" s="3">
        <v>824.42857142857144</v>
      </c>
      <c r="H35" s="3">
        <v>170.9394578166324</v>
      </c>
      <c r="I35" s="3">
        <v>427.20833333333331</v>
      </c>
      <c r="J35" s="2" t="s">
        <v>15</v>
      </c>
      <c r="K35" s="5">
        <v>482</v>
      </c>
      <c r="L35" s="4">
        <v>218.471487115738</v>
      </c>
      <c r="M35" s="4">
        <v>501.10344827586198</v>
      </c>
      <c r="N35" s="4">
        <v>824.42857142857099</v>
      </c>
      <c r="O35" s="4">
        <v>427.20833333333297</v>
      </c>
      <c r="P35" s="4">
        <v>363.45</v>
      </c>
      <c r="Q35" s="4">
        <v>305.74495452650501</v>
      </c>
      <c r="R35" s="4">
        <v>170.93945781663299</v>
      </c>
      <c r="S35" s="4">
        <v>214.41849508712599</v>
      </c>
      <c r="U35" t="b">
        <f>A35=K35</f>
        <v>1</v>
      </c>
      <c r="V35" t="str">
        <f t="shared" si="4"/>
        <v>OK</v>
      </c>
      <c r="W35" t="str">
        <f t="shared" si="5"/>
        <v>OK</v>
      </c>
      <c r="Y35" s="20">
        <v>482</v>
      </c>
      <c r="Z35" s="21">
        <v>218.471487</v>
      </c>
      <c r="AA35" s="21">
        <v>501.10344800000001</v>
      </c>
      <c r="AB35" s="21">
        <v>824.42857100000003</v>
      </c>
      <c r="AC35" s="21">
        <v>427.20833299999998</v>
      </c>
      <c r="AD35" s="21">
        <v>363.45</v>
      </c>
      <c r="AE35" s="21">
        <v>305.744955</v>
      </c>
      <c r="AF35" s="21">
        <v>170.939458</v>
      </c>
      <c r="AG35" s="21">
        <v>214.41849500000001</v>
      </c>
      <c r="AI35" t="str">
        <f t="shared" si="6"/>
        <v>OK</v>
      </c>
      <c r="AJ35" t="str">
        <f t="shared" si="7"/>
        <v>OK</v>
      </c>
    </row>
    <row r="36" spans="1:36" x14ac:dyDescent="0.2">
      <c r="A36" s="2">
        <v>532</v>
      </c>
      <c r="B36" s="3">
        <v>129.75825900058561</v>
      </c>
      <c r="C36" s="3">
        <v>294.67241379310343</v>
      </c>
      <c r="D36" s="3">
        <v>99.930372591112501</v>
      </c>
      <c r="E36" s="3">
        <v>109</v>
      </c>
      <c r="F36" s="3">
        <v>158.2713047047047</v>
      </c>
      <c r="G36" s="3">
        <v>359.21428571428572</v>
      </c>
      <c r="H36" s="3">
        <v>137.9822210144103</v>
      </c>
      <c r="I36" s="3">
        <v>411.75</v>
      </c>
      <c r="J36" s="2" t="s">
        <v>15</v>
      </c>
      <c r="K36" s="5">
        <v>532</v>
      </c>
      <c r="L36" s="4">
        <v>129.75825900058601</v>
      </c>
      <c r="M36" s="4">
        <v>294.67241379310298</v>
      </c>
      <c r="N36" s="4">
        <v>359.21428571428601</v>
      </c>
      <c r="O36" s="4">
        <v>411.75</v>
      </c>
      <c r="P36" s="4">
        <v>109</v>
      </c>
      <c r="Q36" s="4">
        <v>158.27130470470499</v>
      </c>
      <c r="R36" s="4">
        <v>137.98222101440999</v>
      </c>
      <c r="S36" s="4">
        <v>99.930372591112601</v>
      </c>
      <c r="U36" t="b">
        <f>A36=K36</f>
        <v>1</v>
      </c>
      <c r="V36" t="str">
        <f t="shared" si="4"/>
        <v>OK</v>
      </c>
      <c r="W36" t="str">
        <f t="shared" si="5"/>
        <v>OK</v>
      </c>
      <c r="Y36" s="20">
        <v>532</v>
      </c>
      <c r="Z36" s="21">
        <v>129.75825900000001</v>
      </c>
      <c r="AA36" s="21">
        <v>294.672414</v>
      </c>
      <c r="AB36" s="21">
        <v>359.21428600000002</v>
      </c>
      <c r="AC36" s="21">
        <v>411.75</v>
      </c>
      <c r="AD36" s="21">
        <v>109</v>
      </c>
      <c r="AE36" s="21">
        <v>158.27130500000001</v>
      </c>
      <c r="AF36" s="21">
        <v>137.98222100000001</v>
      </c>
      <c r="AG36" s="21">
        <v>99.930372599999998</v>
      </c>
      <c r="AI36" t="str">
        <f t="shared" si="6"/>
        <v>OK</v>
      </c>
      <c r="AJ36" t="str">
        <f t="shared" si="7"/>
        <v>OK</v>
      </c>
    </row>
    <row r="37" spans="1:36" x14ac:dyDescent="0.2">
      <c r="A37" s="2">
        <v>538</v>
      </c>
      <c r="B37" s="3">
        <v>302.81086568676</v>
      </c>
      <c r="C37" s="3">
        <v>2026.1896551724137</v>
      </c>
      <c r="D37" s="3">
        <v>533.91355215251394</v>
      </c>
      <c r="E37" s="3">
        <v>3804.2</v>
      </c>
      <c r="F37" s="3">
        <v>245.2421015822064</v>
      </c>
      <c r="G37" s="3">
        <v>1909.4285714285713</v>
      </c>
      <c r="H37" s="3">
        <v>143.8070726929536</v>
      </c>
      <c r="I37" s="3">
        <v>612.625</v>
      </c>
      <c r="J37" s="2" t="s">
        <v>15</v>
      </c>
      <c r="K37" s="5">
        <v>538</v>
      </c>
      <c r="L37" s="4">
        <v>302.81086568676</v>
      </c>
      <c r="M37" s="4">
        <v>2026.1896551724101</v>
      </c>
      <c r="N37" s="4">
        <v>1909.42857142857</v>
      </c>
      <c r="O37" s="4">
        <v>612.625</v>
      </c>
      <c r="P37" s="4">
        <v>3804.2</v>
      </c>
      <c r="Q37" s="4">
        <v>245.242101582206</v>
      </c>
      <c r="R37" s="4">
        <v>143.80707269295399</v>
      </c>
      <c r="S37" s="4">
        <v>533.91355215251394</v>
      </c>
      <c r="U37" t="b">
        <f>A37=K37</f>
        <v>1</v>
      </c>
      <c r="V37" t="str">
        <f t="shared" si="4"/>
        <v>OK</v>
      </c>
      <c r="W37" t="str">
        <f t="shared" si="5"/>
        <v>OK</v>
      </c>
      <c r="Y37" s="20">
        <v>538</v>
      </c>
      <c r="Z37" s="21">
        <v>302.81086599999998</v>
      </c>
      <c r="AA37" s="21">
        <v>2026.18966</v>
      </c>
      <c r="AB37" s="21">
        <v>1909.42857</v>
      </c>
      <c r="AC37" s="21">
        <v>612.625</v>
      </c>
      <c r="AD37" s="21">
        <v>3804.2</v>
      </c>
      <c r="AE37" s="21">
        <v>245.24210199999999</v>
      </c>
      <c r="AF37" s="21">
        <v>143.807073</v>
      </c>
      <c r="AG37" s="21">
        <v>533.91355199999998</v>
      </c>
      <c r="AI37" t="str">
        <f t="shared" si="6"/>
        <v>OK</v>
      </c>
      <c r="AJ37" t="str">
        <f t="shared" si="7"/>
        <v>OK</v>
      </c>
    </row>
    <row r="38" spans="1:36" x14ac:dyDescent="0.2">
      <c r="A38" s="2">
        <v>593</v>
      </c>
      <c r="B38" s="3">
        <v>210.05944290704548</v>
      </c>
      <c r="C38" s="3">
        <v>713.43103448275861</v>
      </c>
      <c r="D38" s="3">
        <v>203.87299329045152</v>
      </c>
      <c r="E38" s="3">
        <v>683.15</v>
      </c>
      <c r="F38" s="3">
        <v>181.1243103469389</v>
      </c>
      <c r="G38" s="3">
        <v>722.42857142857144</v>
      </c>
      <c r="H38" s="3">
        <v>232.09364491426891</v>
      </c>
      <c r="I38" s="3">
        <v>733.41666666666663</v>
      </c>
      <c r="J38" s="2" t="s">
        <v>15</v>
      </c>
      <c r="K38" s="5">
        <v>593</v>
      </c>
      <c r="L38" s="4">
        <v>210.059442907045</v>
      </c>
      <c r="M38" s="4">
        <v>713.43103448275895</v>
      </c>
      <c r="N38" s="4">
        <v>722.42857142857099</v>
      </c>
      <c r="O38" s="4">
        <v>733.41666666666697</v>
      </c>
      <c r="P38" s="4">
        <v>683.15</v>
      </c>
      <c r="Q38" s="4">
        <v>181.12431034693901</v>
      </c>
      <c r="R38" s="4">
        <v>232.09364491426899</v>
      </c>
      <c r="S38" s="4">
        <v>203.872993290452</v>
      </c>
      <c r="U38" t="b">
        <f>A38=K38</f>
        <v>1</v>
      </c>
      <c r="V38" t="str">
        <f t="shared" si="4"/>
        <v>OK</v>
      </c>
      <c r="W38" t="str">
        <f t="shared" si="5"/>
        <v>OK</v>
      </c>
      <c r="Y38" s="20">
        <v>593</v>
      </c>
      <c r="Z38" s="21">
        <v>210.05944299999999</v>
      </c>
      <c r="AA38" s="21">
        <v>713.43103399999995</v>
      </c>
      <c r="AB38" s="21">
        <v>722.42857100000003</v>
      </c>
      <c r="AC38" s="21">
        <v>733.41666699999996</v>
      </c>
      <c r="AD38" s="21">
        <v>683.15</v>
      </c>
      <c r="AE38" s="21">
        <v>181.12431000000001</v>
      </c>
      <c r="AF38" s="21">
        <v>232.09364500000001</v>
      </c>
      <c r="AG38" s="21">
        <v>203.87299300000001</v>
      </c>
      <c r="AI38" t="str">
        <f t="shared" si="6"/>
        <v>OK</v>
      </c>
      <c r="AJ38" t="str">
        <f t="shared" si="7"/>
        <v>OK</v>
      </c>
    </row>
    <row r="39" spans="1:36" s="24" customFormat="1" x14ac:dyDescent="0.2">
      <c r="A39" s="24">
        <v>755</v>
      </c>
      <c r="B39" s="25">
        <v>206.2677473026788</v>
      </c>
      <c r="C39" s="25">
        <v>1150.6052631578948</v>
      </c>
      <c r="D39" s="25"/>
      <c r="E39" s="25"/>
      <c r="F39" s="25">
        <v>258.36161873172779</v>
      </c>
      <c r="G39" s="25">
        <v>1802.5</v>
      </c>
      <c r="H39" s="25">
        <v>175.87965563573368</v>
      </c>
      <c r="I39" s="25">
        <v>770.33333333333337</v>
      </c>
      <c r="J39" s="24" t="s">
        <v>15</v>
      </c>
      <c r="K39" s="26">
        <v>755</v>
      </c>
      <c r="L39" s="24">
        <v>135.140937887962</v>
      </c>
      <c r="M39" s="24">
        <v>753.84482758620697</v>
      </c>
      <c r="N39" s="24">
        <v>1802.5</v>
      </c>
      <c r="O39" s="24">
        <v>770.33333333333303</v>
      </c>
      <c r="P39" s="24">
        <v>0</v>
      </c>
      <c r="Q39" s="24">
        <v>258.36161873172802</v>
      </c>
      <c r="R39" s="24">
        <v>175.879655635734</v>
      </c>
      <c r="S39" s="24">
        <v>0</v>
      </c>
      <c r="U39" s="24" t="b">
        <f>A39=K39</f>
        <v>1</v>
      </c>
      <c r="V39" s="24">
        <f t="shared" si="4"/>
        <v>71.126809414716803</v>
      </c>
      <c r="W39" s="24">
        <f t="shared" si="5"/>
        <v>396.76043557168782</v>
      </c>
      <c r="Y39" s="27">
        <v>755</v>
      </c>
      <c r="Z39" s="28">
        <v>206.26774700000001</v>
      </c>
      <c r="AA39" s="28">
        <v>1150.60526</v>
      </c>
      <c r="AB39" s="28">
        <v>1802.5</v>
      </c>
      <c r="AC39" s="28">
        <v>770.33333300000004</v>
      </c>
      <c r="AD39" s="28" t="s">
        <v>113</v>
      </c>
      <c r="AE39" s="28">
        <v>258.36161900000002</v>
      </c>
      <c r="AF39" s="28">
        <v>175.87965600000001</v>
      </c>
      <c r="AG39" s="28" t="s">
        <v>113</v>
      </c>
      <c r="AI39" s="24" t="str">
        <f t="shared" si="6"/>
        <v>OK</v>
      </c>
      <c r="AJ39" s="24" t="str">
        <f t="shared" si="7"/>
        <v>OK</v>
      </c>
    </row>
    <row r="40" spans="1:36" x14ac:dyDescent="0.2">
      <c r="A40" s="2">
        <v>792</v>
      </c>
      <c r="B40" s="3">
        <v>191.29432740591901</v>
      </c>
      <c r="C40" s="3">
        <v>658.13793103448279</v>
      </c>
      <c r="D40" s="3">
        <v>171.03243341775752</v>
      </c>
      <c r="E40" s="3">
        <v>684.95</v>
      </c>
      <c r="F40" s="3">
        <v>230.94793813545931</v>
      </c>
      <c r="G40" s="3">
        <v>721.35714285714289</v>
      </c>
      <c r="H40" s="3">
        <v>185.04796613715482</v>
      </c>
      <c r="I40" s="3">
        <v>598.91666666666663</v>
      </c>
      <c r="J40" s="2" t="s">
        <v>15</v>
      </c>
      <c r="K40" s="5">
        <v>792</v>
      </c>
      <c r="L40" s="4">
        <v>191.29432740591901</v>
      </c>
      <c r="M40" s="4">
        <v>658.13793103448302</v>
      </c>
      <c r="N40" s="4">
        <v>721.357142857143</v>
      </c>
      <c r="O40" s="4">
        <v>598.91666666666697</v>
      </c>
      <c r="P40" s="4">
        <v>684.95</v>
      </c>
      <c r="Q40" s="4">
        <v>230.947938135459</v>
      </c>
      <c r="R40" s="4">
        <v>185.04796613715499</v>
      </c>
      <c r="S40" s="4">
        <v>171.03243341775701</v>
      </c>
      <c r="U40" t="b">
        <f>A40=K40</f>
        <v>1</v>
      </c>
      <c r="V40" t="str">
        <f t="shared" ref="V40:V71" si="8">IF(NOT(B40 = L40),(B40-L40),"OK")</f>
        <v>OK</v>
      </c>
      <c r="W40" t="str">
        <f t="shared" ref="W40:W71" si="9">IF(NOT(C40 = M40),(C40-M40),"OK")</f>
        <v>OK</v>
      </c>
      <c r="Y40" s="20">
        <v>792</v>
      </c>
      <c r="Z40" s="21">
        <v>191.29432700000001</v>
      </c>
      <c r="AA40" s="21">
        <v>658.13793099999998</v>
      </c>
      <c r="AB40" s="21">
        <v>721.35714299999995</v>
      </c>
      <c r="AC40" s="21">
        <v>598.91666699999996</v>
      </c>
      <c r="AD40" s="21">
        <v>684.95</v>
      </c>
      <c r="AE40" s="21">
        <v>230.94793799999999</v>
      </c>
      <c r="AF40" s="21">
        <v>185.047966</v>
      </c>
      <c r="AG40" s="21">
        <v>171.032433</v>
      </c>
      <c r="AI40" t="str">
        <f t="shared" si="6"/>
        <v>OK</v>
      </c>
      <c r="AJ40" t="str">
        <f t="shared" si="7"/>
        <v>OK</v>
      </c>
    </row>
    <row r="41" spans="1:36" x14ac:dyDescent="0.2">
      <c r="A41" s="2">
        <v>806</v>
      </c>
      <c r="B41" s="3">
        <v>152.20690639055371</v>
      </c>
      <c r="C41" s="3">
        <v>322.34210526315792</v>
      </c>
      <c r="D41" s="3"/>
      <c r="E41" s="3"/>
      <c r="F41" s="3">
        <v>127.51829831162129</v>
      </c>
      <c r="G41" s="3">
        <v>309.71428571428572</v>
      </c>
      <c r="H41" s="3">
        <v>166.6085944365978</v>
      </c>
      <c r="I41" s="3">
        <v>329.70833333333331</v>
      </c>
      <c r="J41" s="2" t="s">
        <v>15</v>
      </c>
      <c r="K41" s="5">
        <v>806</v>
      </c>
      <c r="L41" s="4">
        <v>99.721766255880098</v>
      </c>
      <c r="M41" s="4">
        <v>211.18965517241401</v>
      </c>
      <c r="N41" s="4">
        <v>309.71428571428601</v>
      </c>
      <c r="O41" s="4">
        <v>329.70833333333297</v>
      </c>
      <c r="P41" s="4">
        <v>0</v>
      </c>
      <c r="Q41" s="4">
        <v>127.518298311621</v>
      </c>
      <c r="R41" s="4">
        <v>166.608594436598</v>
      </c>
      <c r="S41" s="4">
        <v>0</v>
      </c>
      <c r="U41" t="b">
        <f>A41=K41</f>
        <v>1</v>
      </c>
      <c r="V41">
        <f t="shared" si="8"/>
        <v>52.485140134673614</v>
      </c>
      <c r="W41">
        <f t="shared" si="9"/>
        <v>111.15245009074391</v>
      </c>
      <c r="Y41" s="20">
        <v>806</v>
      </c>
      <c r="Z41" s="21">
        <v>152.206906</v>
      </c>
      <c r="AA41" s="21">
        <v>322.342105</v>
      </c>
      <c r="AB41" s="21">
        <v>309.71428600000002</v>
      </c>
      <c r="AC41" s="21">
        <v>329.70833299999998</v>
      </c>
      <c r="AD41" s="21" t="s">
        <v>113</v>
      </c>
      <c r="AE41" s="21">
        <v>127.518298</v>
      </c>
      <c r="AF41" s="21">
        <v>166.60859400000001</v>
      </c>
      <c r="AG41" s="21" t="s">
        <v>113</v>
      </c>
      <c r="AI41" t="str">
        <f t="shared" si="6"/>
        <v>OK</v>
      </c>
      <c r="AJ41" t="str">
        <f t="shared" si="7"/>
        <v>OK</v>
      </c>
    </row>
    <row r="42" spans="1:36" x14ac:dyDescent="0.2">
      <c r="A42" s="2">
        <v>867</v>
      </c>
      <c r="B42" s="3">
        <v>158.9205632549922</v>
      </c>
      <c r="C42" s="3">
        <v>525.15517241379314</v>
      </c>
      <c r="D42" s="3">
        <v>70.306140972398708</v>
      </c>
      <c r="E42" s="3">
        <v>124.35</v>
      </c>
      <c r="F42" s="3">
        <v>312.31193375885096</v>
      </c>
      <c r="G42" s="3">
        <v>1021.0714285714286</v>
      </c>
      <c r="H42" s="3">
        <v>143.28761569656962</v>
      </c>
      <c r="I42" s="3">
        <v>569.875</v>
      </c>
      <c r="J42" s="2" t="s">
        <v>15</v>
      </c>
      <c r="K42" s="5">
        <v>867</v>
      </c>
      <c r="L42" s="4">
        <v>158.920563254992</v>
      </c>
      <c r="M42" s="4">
        <v>525.15517241379303</v>
      </c>
      <c r="N42" s="4">
        <v>1021.07142857143</v>
      </c>
      <c r="O42" s="4">
        <v>569.875</v>
      </c>
      <c r="P42" s="4">
        <v>124.35</v>
      </c>
      <c r="Q42" s="4">
        <v>312.31193375884999</v>
      </c>
      <c r="R42" s="4">
        <v>143.28761569656999</v>
      </c>
      <c r="S42" s="4">
        <v>70.306140972398694</v>
      </c>
      <c r="U42" t="b">
        <f>A42=K42</f>
        <v>1</v>
      </c>
      <c r="V42" t="str">
        <f t="shared" si="8"/>
        <v>OK</v>
      </c>
      <c r="W42" t="str">
        <f t="shared" si="9"/>
        <v>OK</v>
      </c>
      <c r="Y42" s="20">
        <v>867</v>
      </c>
      <c r="Z42" s="21">
        <v>158.92056299999999</v>
      </c>
      <c r="AA42" s="21">
        <v>525.15517199999999</v>
      </c>
      <c r="AB42" s="21">
        <v>1021.07143</v>
      </c>
      <c r="AC42" s="21">
        <v>569.875</v>
      </c>
      <c r="AD42" s="21">
        <v>124.35</v>
      </c>
      <c r="AE42" s="21">
        <v>312.31193400000001</v>
      </c>
      <c r="AF42" s="21">
        <v>143.28761600000001</v>
      </c>
      <c r="AG42" s="21">
        <v>70.306140999999997</v>
      </c>
      <c r="AI42" t="str">
        <f t="shared" si="6"/>
        <v>OK</v>
      </c>
      <c r="AJ42" t="str">
        <f t="shared" si="7"/>
        <v>OK</v>
      </c>
    </row>
    <row r="43" spans="1:36" x14ac:dyDescent="0.2">
      <c r="A43" s="2">
        <v>887</v>
      </c>
      <c r="B43" s="3">
        <v>166.24091946449909</v>
      </c>
      <c r="C43" s="3">
        <v>285.84482758620692</v>
      </c>
      <c r="D43" s="3">
        <v>146.7566886798825</v>
      </c>
      <c r="E43" s="3">
        <v>229</v>
      </c>
      <c r="F43" s="3">
        <v>271.51394627185198</v>
      </c>
      <c r="G43" s="3">
        <v>399.42857142857144</v>
      </c>
      <c r="H43" s="3">
        <v>121.0685128140573</v>
      </c>
      <c r="I43" s="3">
        <v>266.95833333333331</v>
      </c>
      <c r="J43" s="2" t="s">
        <v>15</v>
      </c>
      <c r="K43" s="5">
        <v>887</v>
      </c>
      <c r="L43" s="4">
        <v>166.240919464499</v>
      </c>
      <c r="M43" s="4">
        <v>285.84482758620697</v>
      </c>
      <c r="N43" s="4">
        <v>399.42857142857099</v>
      </c>
      <c r="O43" s="4">
        <v>266.95833333333297</v>
      </c>
      <c r="P43" s="4">
        <v>229</v>
      </c>
      <c r="Q43" s="4">
        <v>271.51394627185198</v>
      </c>
      <c r="R43" s="4">
        <v>121.068512814057</v>
      </c>
      <c r="S43" s="4">
        <v>146.75668867988199</v>
      </c>
      <c r="U43" t="b">
        <f>A43=K43</f>
        <v>1</v>
      </c>
      <c r="V43" t="str">
        <f t="shared" si="8"/>
        <v>OK</v>
      </c>
      <c r="W43" t="str">
        <f t="shared" si="9"/>
        <v>OK</v>
      </c>
      <c r="Y43" s="20">
        <v>887</v>
      </c>
      <c r="Z43" s="21">
        <v>166.24091899999999</v>
      </c>
      <c r="AA43" s="21">
        <v>285.84482800000001</v>
      </c>
      <c r="AB43" s="21">
        <v>399.42857099999998</v>
      </c>
      <c r="AC43" s="21">
        <v>266.95833299999998</v>
      </c>
      <c r="AD43" s="21">
        <v>229</v>
      </c>
      <c r="AE43" s="21">
        <v>271.51394599999998</v>
      </c>
      <c r="AF43" s="21">
        <v>121.068513</v>
      </c>
      <c r="AG43" s="21">
        <v>146.75668899999999</v>
      </c>
      <c r="AI43" t="str">
        <f t="shared" ref="AI43:AI71" si="10">IF(NOT(ROUND(B43,2) = ROUND(Z43,2)),(B43-Z43),"OK")</f>
        <v>OK</v>
      </c>
      <c r="AJ43" t="str">
        <f t="shared" ref="AJ43:AJ71" si="11">IF(NOT(ROUND(C43,2) = ROUND(AA43,2)),(C43-AA43),"OK")</f>
        <v>OK</v>
      </c>
    </row>
    <row r="44" spans="1:36" x14ac:dyDescent="0.2">
      <c r="A44" s="2">
        <v>896</v>
      </c>
      <c r="B44" s="3">
        <v>196.41289847507701</v>
      </c>
      <c r="C44" s="3">
        <v>847.39655172413791</v>
      </c>
      <c r="D44" s="3">
        <v>231.67873306399261</v>
      </c>
      <c r="E44" s="3">
        <v>936</v>
      </c>
      <c r="F44" s="3">
        <v>147.2048147928819</v>
      </c>
      <c r="G44" s="3">
        <v>613.21428571428567</v>
      </c>
      <c r="H44" s="3">
        <v>195.72941846559451</v>
      </c>
      <c r="I44" s="3">
        <v>910.16666666666663</v>
      </c>
      <c r="J44" s="2" t="s">
        <v>15</v>
      </c>
      <c r="K44" s="5">
        <v>896</v>
      </c>
      <c r="L44" s="4">
        <v>196.41289847507699</v>
      </c>
      <c r="M44" s="4">
        <v>847.39655172413802</v>
      </c>
      <c r="N44" s="4">
        <v>613.21428571428601</v>
      </c>
      <c r="O44" s="4">
        <v>910.16666666666697</v>
      </c>
      <c r="P44" s="4">
        <v>936</v>
      </c>
      <c r="Q44" s="4">
        <v>147.20481479288199</v>
      </c>
      <c r="R44" s="4">
        <v>195.72941846559399</v>
      </c>
      <c r="S44" s="4">
        <v>231.67873306399301</v>
      </c>
      <c r="U44" t="b">
        <f>A44=K44</f>
        <v>1</v>
      </c>
      <c r="V44" t="str">
        <f t="shared" si="8"/>
        <v>OK</v>
      </c>
      <c r="W44" t="str">
        <f t="shared" si="9"/>
        <v>OK</v>
      </c>
      <c r="Y44" s="20">
        <v>896</v>
      </c>
      <c r="Z44" s="21">
        <v>196.41289800000001</v>
      </c>
      <c r="AA44" s="21">
        <v>847.39655200000004</v>
      </c>
      <c r="AB44" s="21">
        <v>613.21428600000002</v>
      </c>
      <c r="AC44" s="21">
        <v>910.16666699999996</v>
      </c>
      <c r="AD44" s="21">
        <v>936</v>
      </c>
      <c r="AE44" s="21">
        <v>147.204815</v>
      </c>
      <c r="AF44" s="21">
        <v>195.72941800000001</v>
      </c>
      <c r="AG44" s="21">
        <v>231.67873299999999</v>
      </c>
      <c r="AI44" t="str">
        <f t="shared" si="10"/>
        <v>OK</v>
      </c>
      <c r="AJ44" t="str">
        <f t="shared" si="11"/>
        <v>OK</v>
      </c>
    </row>
    <row r="45" spans="1:36" x14ac:dyDescent="0.2">
      <c r="A45" s="2">
        <v>933</v>
      </c>
      <c r="B45" s="3">
        <v>166.35718377172049</v>
      </c>
      <c r="C45" s="3">
        <v>661.86206896551721</v>
      </c>
      <c r="D45" s="3">
        <v>91.786319368536596</v>
      </c>
      <c r="E45" s="3">
        <v>58.55</v>
      </c>
      <c r="F45" s="3">
        <v>173.1969357077796</v>
      </c>
      <c r="G45" s="3">
        <v>316.42857142857144</v>
      </c>
      <c r="H45" s="3">
        <v>224.50971547833899</v>
      </c>
      <c r="I45" s="3">
        <v>1366.125</v>
      </c>
      <c r="J45" s="2" t="s">
        <v>15</v>
      </c>
      <c r="K45" s="5">
        <v>933</v>
      </c>
      <c r="L45" s="4">
        <v>166.35718377172</v>
      </c>
      <c r="M45" s="4">
        <v>661.86206896551698</v>
      </c>
      <c r="N45" s="4">
        <v>316.42857142857099</v>
      </c>
      <c r="O45" s="4">
        <v>1366.125</v>
      </c>
      <c r="P45" s="4">
        <v>58.55</v>
      </c>
      <c r="Q45" s="4">
        <v>173.19693570778</v>
      </c>
      <c r="R45" s="4">
        <v>224.50971547833899</v>
      </c>
      <c r="S45" s="4">
        <v>91.786319368536496</v>
      </c>
      <c r="U45" t="b">
        <f>A45=K45</f>
        <v>1</v>
      </c>
      <c r="V45" t="str">
        <f t="shared" si="8"/>
        <v>OK</v>
      </c>
      <c r="W45" t="str">
        <f t="shared" si="9"/>
        <v>OK</v>
      </c>
      <c r="Y45" s="20">
        <v>933</v>
      </c>
      <c r="Z45" s="21">
        <v>166.35718399999999</v>
      </c>
      <c r="AA45" s="21">
        <v>661.86206900000002</v>
      </c>
      <c r="AB45" s="21">
        <v>316.42857099999998</v>
      </c>
      <c r="AC45" s="21">
        <v>1366.125</v>
      </c>
      <c r="AD45" s="21">
        <v>58.55</v>
      </c>
      <c r="AE45" s="21">
        <v>173.19693599999999</v>
      </c>
      <c r="AF45" s="21">
        <v>224.509715</v>
      </c>
      <c r="AG45" s="21">
        <v>91.786319399999996</v>
      </c>
      <c r="AI45" t="str">
        <f t="shared" si="10"/>
        <v>OK</v>
      </c>
      <c r="AJ45" t="str">
        <f t="shared" si="11"/>
        <v>OK</v>
      </c>
    </row>
    <row r="46" spans="1:36" x14ac:dyDescent="0.2">
      <c r="A46" s="2">
        <v>1005</v>
      </c>
      <c r="B46" s="3">
        <v>152.40861391474903</v>
      </c>
      <c r="C46" s="3">
        <v>155.625</v>
      </c>
      <c r="D46" s="3">
        <v>485.4886507499034</v>
      </c>
      <c r="E46" s="3">
        <v>635.5</v>
      </c>
      <c r="F46" s="3">
        <v>130.60156013019883</v>
      </c>
      <c r="G46" s="3">
        <v>100.8</v>
      </c>
      <c r="H46" s="3">
        <v>110.15352459911699</v>
      </c>
      <c r="I46" s="3">
        <v>109.70833333333333</v>
      </c>
      <c r="J46" s="2" t="s">
        <v>15</v>
      </c>
      <c r="K46" s="5">
        <v>1005</v>
      </c>
      <c r="L46" s="4">
        <v>444.01268721597</v>
      </c>
      <c r="M46" s="4">
        <v>8942.9655172413804</v>
      </c>
      <c r="N46" s="4">
        <v>837</v>
      </c>
      <c r="O46" s="4">
        <v>109.708333333333</v>
      </c>
      <c r="P46" s="4">
        <v>25217.05</v>
      </c>
      <c r="Q46" s="4">
        <v>291.07507680345401</v>
      </c>
      <c r="R46" s="4">
        <v>110.15352459911701</v>
      </c>
      <c r="S46" s="4">
        <v>951.700009644955</v>
      </c>
      <c r="U46" t="b">
        <f>A46=K46</f>
        <v>1</v>
      </c>
      <c r="V46">
        <f t="shared" si="8"/>
        <v>-291.60407330122098</v>
      </c>
      <c r="W46">
        <f t="shared" si="9"/>
        <v>-8787.3405172413804</v>
      </c>
      <c r="Y46" s="21">
        <v>1005</v>
      </c>
      <c r="Z46" s="21">
        <v>152.408614</v>
      </c>
      <c r="AA46" s="21">
        <v>155.625</v>
      </c>
      <c r="AB46" s="21" t="s">
        <v>113</v>
      </c>
      <c r="AC46" s="21">
        <v>109.708333</v>
      </c>
      <c r="AD46" s="21" t="s">
        <v>113</v>
      </c>
      <c r="AE46" s="21" t="s">
        <v>113</v>
      </c>
      <c r="AF46" s="21">
        <v>110.153525</v>
      </c>
      <c r="AG46" s="21" t="s">
        <v>113</v>
      </c>
      <c r="AI46" t="str">
        <f t="shared" si="10"/>
        <v>OK</v>
      </c>
      <c r="AJ46" t="str">
        <f t="shared" si="11"/>
        <v>OK</v>
      </c>
    </row>
    <row r="47" spans="1:36" x14ac:dyDescent="0.2">
      <c r="A47" s="2">
        <v>1025</v>
      </c>
      <c r="B47" s="3">
        <v>164.6651014707183</v>
      </c>
      <c r="C47" s="3">
        <v>692.56896551724139</v>
      </c>
      <c r="D47" s="3">
        <v>84.106178380138203</v>
      </c>
      <c r="E47" s="3">
        <v>184.75</v>
      </c>
      <c r="F47" s="3">
        <v>280.04253261412407</v>
      </c>
      <c r="G47" s="3">
        <v>1565.2857142857142</v>
      </c>
      <c r="H47" s="3">
        <v>164.49403587921481</v>
      </c>
      <c r="I47" s="3">
        <v>606.66666666666663</v>
      </c>
      <c r="J47" s="2" t="s">
        <v>15</v>
      </c>
      <c r="K47" s="5">
        <v>1025</v>
      </c>
      <c r="L47" s="4">
        <v>164.66510147071801</v>
      </c>
      <c r="M47" s="4">
        <v>692.56896551724105</v>
      </c>
      <c r="N47" s="4">
        <v>1565.2857142857099</v>
      </c>
      <c r="O47" s="4">
        <v>606.66666666666697</v>
      </c>
      <c r="P47" s="4">
        <v>184.75</v>
      </c>
      <c r="Q47" s="4">
        <v>280.04253261412401</v>
      </c>
      <c r="R47" s="4">
        <v>164.49403587921501</v>
      </c>
      <c r="S47" s="4">
        <v>84.106178380138303</v>
      </c>
      <c r="U47" t="b">
        <f>A47=K47</f>
        <v>1</v>
      </c>
      <c r="V47" t="str">
        <f t="shared" si="8"/>
        <v>OK</v>
      </c>
      <c r="W47" t="str">
        <f t="shared" si="9"/>
        <v>OK</v>
      </c>
      <c r="Y47" s="20">
        <v>1025</v>
      </c>
      <c r="Z47" s="21">
        <v>164.66510099999999</v>
      </c>
      <c r="AA47" s="21">
        <v>692.56896600000005</v>
      </c>
      <c r="AB47" s="21">
        <v>1565.2857100000001</v>
      </c>
      <c r="AC47" s="21">
        <v>606.66666699999996</v>
      </c>
      <c r="AD47" s="21">
        <v>184.75</v>
      </c>
      <c r="AE47" s="21">
        <v>280.04253299999999</v>
      </c>
      <c r="AF47" s="21">
        <v>164.49403599999999</v>
      </c>
      <c r="AG47" s="21">
        <v>84.106178400000005</v>
      </c>
      <c r="AI47" t="str">
        <f t="shared" si="10"/>
        <v>OK</v>
      </c>
      <c r="AJ47" t="str">
        <f t="shared" si="11"/>
        <v>OK</v>
      </c>
    </row>
    <row r="48" spans="1:36" x14ac:dyDescent="0.2">
      <c r="A48" s="2">
        <v>1027</v>
      </c>
      <c r="B48" s="3">
        <v>300.38401899194702</v>
      </c>
      <c r="C48" s="3">
        <v>1439.4310344827586</v>
      </c>
      <c r="D48" s="3">
        <v>400.93630266579601</v>
      </c>
      <c r="E48" s="3">
        <v>2980.05</v>
      </c>
      <c r="F48" s="3">
        <v>295.166840476728</v>
      </c>
      <c r="G48" s="3">
        <v>1402.9285714285713</v>
      </c>
      <c r="H48" s="3">
        <v>219.63380339761471</v>
      </c>
      <c r="I48" s="3">
        <v>176.875</v>
      </c>
      <c r="J48" s="2" t="s">
        <v>15</v>
      </c>
      <c r="K48" s="5">
        <v>1027</v>
      </c>
      <c r="L48" s="4">
        <v>300.38401899194599</v>
      </c>
      <c r="M48" s="4">
        <v>1439.43103448276</v>
      </c>
      <c r="N48" s="4">
        <v>1402.92857142857</v>
      </c>
      <c r="O48" s="4">
        <v>176.875</v>
      </c>
      <c r="P48" s="4">
        <v>2980.05</v>
      </c>
      <c r="Q48" s="4">
        <v>295.166840476728</v>
      </c>
      <c r="R48" s="4">
        <v>219.633803397615</v>
      </c>
      <c r="S48" s="4">
        <v>400.93630266579498</v>
      </c>
      <c r="U48" t="b">
        <f>A48=K48</f>
        <v>1</v>
      </c>
      <c r="V48">
        <f t="shared" si="8"/>
        <v>1.0231815394945443E-12</v>
      </c>
      <c r="W48" t="str">
        <f t="shared" si="9"/>
        <v>OK</v>
      </c>
      <c r="Y48" s="20">
        <v>1027</v>
      </c>
      <c r="Z48" s="21">
        <v>300.38401900000002</v>
      </c>
      <c r="AA48" s="21">
        <v>1439.43103</v>
      </c>
      <c r="AB48" s="21">
        <v>1402.92857</v>
      </c>
      <c r="AC48" s="21">
        <v>176.875</v>
      </c>
      <c r="AD48" s="21">
        <v>2980.05</v>
      </c>
      <c r="AE48" s="21">
        <v>295.16683999999998</v>
      </c>
      <c r="AF48" s="21">
        <v>219.633803</v>
      </c>
      <c r="AG48" s="21">
        <v>400.93630300000001</v>
      </c>
      <c r="AI48" t="str">
        <f t="shared" si="10"/>
        <v>OK</v>
      </c>
      <c r="AJ48" t="str">
        <f t="shared" si="11"/>
        <v>OK</v>
      </c>
    </row>
    <row r="49" spans="1:36" x14ac:dyDescent="0.2">
      <c r="A49" s="2">
        <v>1107</v>
      </c>
      <c r="B49" s="3">
        <v>197.59928851564803</v>
      </c>
      <c r="C49" s="3">
        <v>397.62068965517244</v>
      </c>
      <c r="D49" s="3">
        <v>48.678475126065308</v>
      </c>
      <c r="E49" s="3">
        <v>43.15</v>
      </c>
      <c r="F49" s="3">
        <v>258.78934538306822</v>
      </c>
      <c r="G49" s="3">
        <v>227.5</v>
      </c>
      <c r="H49" s="3">
        <v>286.00576650097167</v>
      </c>
      <c r="I49" s="3">
        <v>792.25</v>
      </c>
      <c r="J49" s="2" t="s">
        <v>15</v>
      </c>
      <c r="K49" s="5">
        <v>1107</v>
      </c>
      <c r="L49" s="4">
        <v>197.599288515648</v>
      </c>
      <c r="M49" s="4">
        <v>397.62068965517199</v>
      </c>
      <c r="N49" s="4">
        <v>227.5</v>
      </c>
      <c r="O49" s="4">
        <v>792.25</v>
      </c>
      <c r="P49" s="4">
        <v>43.15</v>
      </c>
      <c r="Q49" s="4">
        <v>258.789345383068</v>
      </c>
      <c r="R49" s="4">
        <v>286.00576650097202</v>
      </c>
      <c r="S49" s="4">
        <v>48.678475126065202</v>
      </c>
      <c r="U49" t="b">
        <f>A49=K49</f>
        <v>1</v>
      </c>
      <c r="V49" t="str">
        <f t="shared" si="8"/>
        <v>OK</v>
      </c>
      <c r="W49" t="str">
        <f t="shared" si="9"/>
        <v>OK</v>
      </c>
      <c r="Y49" s="20">
        <v>1107</v>
      </c>
      <c r="Z49" s="21">
        <v>197.599289</v>
      </c>
      <c r="AA49" s="21">
        <v>397.62069000000002</v>
      </c>
      <c r="AB49" s="21">
        <v>227.5</v>
      </c>
      <c r="AC49" s="21">
        <v>792.25</v>
      </c>
      <c r="AD49" s="21">
        <v>43.15</v>
      </c>
      <c r="AE49" s="21">
        <v>258.78934500000003</v>
      </c>
      <c r="AF49" s="21">
        <v>286.00576699999999</v>
      </c>
      <c r="AG49" s="21">
        <v>48.6784751</v>
      </c>
      <c r="AI49" t="str">
        <f t="shared" si="10"/>
        <v>OK</v>
      </c>
      <c r="AJ49" t="str">
        <f t="shared" si="11"/>
        <v>OK</v>
      </c>
    </row>
    <row r="50" spans="1:36" x14ac:dyDescent="0.2">
      <c r="A50" s="2">
        <v>1178</v>
      </c>
      <c r="B50" s="3">
        <v>364.17257046954603</v>
      </c>
      <c r="C50" s="3">
        <v>3342.8793103448274</v>
      </c>
      <c r="D50" s="3">
        <v>473.147452476642</v>
      </c>
      <c r="E50" s="3">
        <v>4747.1000000000004</v>
      </c>
      <c r="F50" s="3">
        <v>348.98519788520701</v>
      </c>
      <c r="G50" s="3">
        <v>3163.6428571428573</v>
      </c>
      <c r="H50" s="3">
        <v>282.21946947116339</v>
      </c>
      <c r="I50" s="3">
        <v>2277.25</v>
      </c>
      <c r="J50" s="2" t="s">
        <v>15</v>
      </c>
      <c r="K50" s="5">
        <v>1178</v>
      </c>
      <c r="L50" s="4">
        <v>364.17257046954597</v>
      </c>
      <c r="M50" s="4">
        <v>3342.8793103448302</v>
      </c>
      <c r="N50" s="4">
        <v>3163.6428571428601</v>
      </c>
      <c r="O50" s="4">
        <v>2277.25</v>
      </c>
      <c r="P50" s="4">
        <v>4747.1000000000004</v>
      </c>
      <c r="Q50" s="4">
        <v>348.98519788520798</v>
      </c>
      <c r="R50" s="4">
        <v>282.21946947116402</v>
      </c>
      <c r="S50" s="4">
        <v>473.147452476642</v>
      </c>
      <c r="U50" t="b">
        <f>A50=K50</f>
        <v>1</v>
      </c>
      <c r="V50" t="str">
        <f t="shared" si="8"/>
        <v>OK</v>
      </c>
      <c r="W50" t="str">
        <f t="shared" si="9"/>
        <v>OK</v>
      </c>
      <c r="Y50" s="20">
        <v>1178</v>
      </c>
      <c r="Z50" s="21">
        <v>364.17257000000001</v>
      </c>
      <c r="AA50" s="21">
        <v>3342.8793099999998</v>
      </c>
      <c r="AB50" s="21">
        <v>3163.6428599999999</v>
      </c>
      <c r="AC50" s="21">
        <v>2277.25</v>
      </c>
      <c r="AD50" s="21">
        <v>4747.1000000000004</v>
      </c>
      <c r="AE50" s="21">
        <v>348.98519800000003</v>
      </c>
      <c r="AF50" s="21">
        <v>282.219469</v>
      </c>
      <c r="AG50" s="21">
        <v>473.14745199999999</v>
      </c>
      <c r="AI50" t="str">
        <f t="shared" si="10"/>
        <v>OK</v>
      </c>
      <c r="AJ50" t="str">
        <f t="shared" si="11"/>
        <v>OK</v>
      </c>
    </row>
    <row r="51" spans="1:36" x14ac:dyDescent="0.2">
      <c r="A51" s="2">
        <v>1188</v>
      </c>
      <c r="B51" s="3">
        <v>253.59625794377217</v>
      </c>
      <c r="C51" s="3">
        <v>1488.0526315789473</v>
      </c>
      <c r="D51" s="3"/>
      <c r="E51" s="3"/>
      <c r="F51" s="3">
        <v>224.5853252673453</v>
      </c>
      <c r="G51" s="3">
        <v>1900.0714285714287</v>
      </c>
      <c r="H51" s="3">
        <v>270.51930200502119</v>
      </c>
      <c r="I51" s="3">
        <v>1247.7083333333333</v>
      </c>
      <c r="J51" s="2" t="s">
        <v>15</v>
      </c>
      <c r="K51" s="5">
        <v>1188</v>
      </c>
      <c r="L51" s="4">
        <v>166.14927244591999</v>
      </c>
      <c r="M51" s="4">
        <v>974.93103448275895</v>
      </c>
      <c r="N51" s="4">
        <v>1900.07142857143</v>
      </c>
      <c r="O51" s="4">
        <v>1247.7083333333301</v>
      </c>
      <c r="P51" s="4">
        <v>0</v>
      </c>
      <c r="Q51" s="4">
        <v>224.58532526734501</v>
      </c>
      <c r="R51" s="4">
        <v>270.51930200502102</v>
      </c>
      <c r="S51" s="4">
        <v>0</v>
      </c>
      <c r="U51" t="b">
        <f>A51=K51</f>
        <v>1</v>
      </c>
      <c r="V51">
        <f t="shared" si="8"/>
        <v>87.446985497852182</v>
      </c>
      <c r="W51">
        <f t="shared" si="9"/>
        <v>513.12159709618834</v>
      </c>
      <c r="Y51" s="20">
        <v>1188</v>
      </c>
      <c r="Z51" s="21">
        <v>253.59625800000001</v>
      </c>
      <c r="AA51" s="21">
        <v>1488.0526299999999</v>
      </c>
      <c r="AB51" s="21">
        <v>1900.07143</v>
      </c>
      <c r="AC51" s="21">
        <v>1247.7083299999999</v>
      </c>
      <c r="AD51" s="21" t="s">
        <v>113</v>
      </c>
      <c r="AE51" s="21">
        <v>224.58532500000001</v>
      </c>
      <c r="AF51" s="21">
        <v>270.51930199999998</v>
      </c>
      <c r="AG51" s="21" t="s">
        <v>113</v>
      </c>
      <c r="AI51" t="str">
        <f t="shared" si="10"/>
        <v>OK</v>
      </c>
      <c r="AJ51" t="str">
        <f t="shared" si="11"/>
        <v>OK</v>
      </c>
    </row>
    <row r="52" spans="1:36" s="8" customFormat="1" x14ac:dyDescent="0.2">
      <c r="A52" s="8">
        <v>1198</v>
      </c>
      <c r="B52" s="9">
        <v>119.1841017504579</v>
      </c>
      <c r="C52" s="9">
        <v>394.36842105263156</v>
      </c>
      <c r="D52" s="9"/>
      <c r="E52" s="9"/>
      <c r="F52" s="9">
        <v>117.67035520035779</v>
      </c>
      <c r="G52" s="9">
        <v>439.35714285714283</v>
      </c>
      <c r="H52" s="9">
        <v>120.06712057134961</v>
      </c>
      <c r="I52" s="9">
        <v>368.125</v>
      </c>
      <c r="J52" s="8" t="s">
        <v>15</v>
      </c>
      <c r="K52" s="10">
        <v>1198</v>
      </c>
      <c r="L52" s="8">
        <v>121.303712824633</v>
      </c>
      <c r="M52" s="8">
        <v>561.48275862068999</v>
      </c>
      <c r="N52" s="8">
        <v>1695.07142857143</v>
      </c>
      <c r="O52" s="8">
        <v>368.125</v>
      </c>
      <c r="P52" s="8">
        <v>0</v>
      </c>
      <c r="Q52" s="8">
        <v>296.714603579737</v>
      </c>
      <c r="R52" s="8">
        <v>120.06712057135</v>
      </c>
      <c r="S52" s="8">
        <v>0</v>
      </c>
      <c r="U52" s="8" t="b">
        <f>A52=K52</f>
        <v>1</v>
      </c>
      <c r="V52" s="8">
        <f t="shared" si="8"/>
        <v>-2.1196110741750971</v>
      </c>
      <c r="W52" s="8">
        <f t="shared" si="9"/>
        <v>-167.11433756805843</v>
      </c>
      <c r="Y52" s="22">
        <v>1198</v>
      </c>
      <c r="Z52" s="23">
        <v>125.805441</v>
      </c>
      <c r="AA52" s="23">
        <v>416.27777800000001</v>
      </c>
      <c r="AB52" s="23" t="s">
        <v>113</v>
      </c>
      <c r="AC52" s="23">
        <v>368.125</v>
      </c>
      <c r="AD52" s="23" t="s">
        <v>113</v>
      </c>
      <c r="AE52" s="23" t="s">
        <v>113</v>
      </c>
      <c r="AF52" s="23">
        <v>120.067121</v>
      </c>
      <c r="AG52" s="23" t="s">
        <v>113</v>
      </c>
      <c r="AI52" s="8">
        <f t="shared" si="10"/>
        <v>-6.6213392495421033</v>
      </c>
      <c r="AJ52" s="8">
        <f t="shared" si="11"/>
        <v>-21.909356947368451</v>
      </c>
    </row>
    <row r="53" spans="1:36" x14ac:dyDescent="0.2">
      <c r="A53" s="2">
        <v>1230</v>
      </c>
      <c r="B53" s="3">
        <v>129.44409053335818</v>
      </c>
      <c r="C53" s="3">
        <v>541.40476190476193</v>
      </c>
      <c r="D53" s="3">
        <v>128.95880638465147</v>
      </c>
      <c r="E53" s="3">
        <v>719.5</v>
      </c>
      <c r="F53" s="3"/>
      <c r="G53" s="3"/>
      <c r="H53" s="3">
        <v>129.80805364488825</v>
      </c>
      <c r="I53" s="3">
        <v>407.83333333333331</v>
      </c>
      <c r="J53" s="2" t="s">
        <v>15</v>
      </c>
      <c r="K53" s="5">
        <v>1230</v>
      </c>
      <c r="L53" s="4">
        <v>145.429340154171</v>
      </c>
      <c r="M53" s="4">
        <v>494.068965517241</v>
      </c>
      <c r="N53" s="4">
        <v>0</v>
      </c>
      <c r="O53" s="4">
        <v>407.83333333333297</v>
      </c>
      <c r="P53" s="4">
        <v>943.4</v>
      </c>
      <c r="Q53" s="4">
        <v>0</v>
      </c>
      <c r="R53" s="4">
        <v>129.80805364488799</v>
      </c>
      <c r="S53" s="4">
        <v>265.97542207322999</v>
      </c>
      <c r="U53" t="b">
        <f>A53=K53</f>
        <v>1</v>
      </c>
      <c r="V53">
        <f t="shared" si="8"/>
        <v>-15.985249620812823</v>
      </c>
      <c r="W53">
        <f t="shared" si="9"/>
        <v>47.335796387520929</v>
      </c>
      <c r="Y53" s="20">
        <v>1230</v>
      </c>
      <c r="Z53" s="21">
        <v>129.44409099999999</v>
      </c>
      <c r="AA53" s="21">
        <v>541.40476200000001</v>
      </c>
      <c r="AB53" s="21" t="s">
        <v>113</v>
      </c>
      <c r="AC53" s="21">
        <v>407.83333299999998</v>
      </c>
      <c r="AD53" s="21" t="s">
        <v>113</v>
      </c>
      <c r="AE53" s="21" t="s">
        <v>113</v>
      </c>
      <c r="AF53" s="21">
        <v>129.808054</v>
      </c>
      <c r="AG53" s="21" t="s">
        <v>113</v>
      </c>
      <c r="AI53" t="str">
        <f t="shared" si="10"/>
        <v>OK</v>
      </c>
      <c r="AJ53" t="str">
        <f t="shared" si="11"/>
        <v>OK</v>
      </c>
    </row>
    <row r="54" spans="1:36" x14ac:dyDescent="0.2">
      <c r="A54" s="2">
        <v>2002</v>
      </c>
      <c r="B54" s="3">
        <v>196.55166557249703</v>
      </c>
      <c r="C54" s="3">
        <v>1527.5535714285713</v>
      </c>
      <c r="D54" s="3">
        <v>216.22592673226723</v>
      </c>
      <c r="E54" s="3">
        <v>1516.1666666666667</v>
      </c>
      <c r="F54" s="3">
        <v>162.81167836130203</v>
      </c>
      <c r="G54" s="3">
        <v>815.5</v>
      </c>
      <c r="H54" s="3">
        <v>201.47762890919978</v>
      </c>
      <c r="I54" s="3">
        <v>1951.4583333333333</v>
      </c>
      <c r="J54" s="2" t="s">
        <v>15</v>
      </c>
      <c r="K54" s="5">
        <v>2002</v>
      </c>
      <c r="L54" s="4">
        <v>189.77402193206601</v>
      </c>
      <c r="M54" s="4">
        <v>1474.8793103448299</v>
      </c>
      <c r="N54" s="4">
        <v>815.5</v>
      </c>
      <c r="O54" s="4">
        <v>1951.4583333333301</v>
      </c>
      <c r="P54" s="4">
        <v>1364.55</v>
      </c>
      <c r="Q54" s="4">
        <v>162.811678361302</v>
      </c>
      <c r="R54" s="4">
        <v>201.47762890920001</v>
      </c>
      <c r="S54" s="4">
        <v>194.60333405904001</v>
      </c>
      <c r="U54" t="b">
        <f>A54=K54</f>
        <v>1</v>
      </c>
      <c r="V54">
        <f t="shared" si="8"/>
        <v>6.7776436404310232</v>
      </c>
      <c r="W54">
        <f t="shared" si="9"/>
        <v>52.674261083741385</v>
      </c>
      <c r="Y54" s="20">
        <v>2002</v>
      </c>
      <c r="Z54" s="21">
        <v>196.55166600000001</v>
      </c>
      <c r="AA54" s="21">
        <v>1527.55357</v>
      </c>
      <c r="AB54" s="21">
        <v>815.5</v>
      </c>
      <c r="AC54" s="21">
        <v>1951.4583299999999</v>
      </c>
      <c r="AD54" s="21" t="s">
        <v>113</v>
      </c>
      <c r="AE54" s="21">
        <v>162.811678</v>
      </c>
      <c r="AF54" s="21">
        <v>201.47762900000001</v>
      </c>
      <c r="AG54" s="21" t="s">
        <v>113</v>
      </c>
      <c r="AI54" t="str">
        <f t="shared" si="10"/>
        <v>OK</v>
      </c>
      <c r="AJ54" t="str">
        <f t="shared" si="11"/>
        <v>OK</v>
      </c>
    </row>
    <row r="55" spans="1:36" x14ac:dyDescent="0.2">
      <c r="A55" s="2">
        <v>2006</v>
      </c>
      <c r="B55" s="3">
        <v>83.951073226331701</v>
      </c>
      <c r="C55" s="3">
        <v>159.23684210526315</v>
      </c>
      <c r="D55" s="3"/>
      <c r="E55" s="3"/>
      <c r="F55" s="3">
        <v>93.509250319292704</v>
      </c>
      <c r="G55" s="3">
        <v>77.071428571428569</v>
      </c>
      <c r="H55" s="3">
        <v>78.375469922104202</v>
      </c>
      <c r="I55" s="3">
        <v>207.16666666666666</v>
      </c>
      <c r="J55" s="2" t="s">
        <v>15</v>
      </c>
      <c r="K55" s="5">
        <v>2006</v>
      </c>
      <c r="L55" s="4">
        <v>55.002427286217198</v>
      </c>
      <c r="M55" s="4">
        <v>104.327586206897</v>
      </c>
      <c r="N55" s="4">
        <v>77.071428571428598</v>
      </c>
      <c r="O55" s="4">
        <v>207.166666666667</v>
      </c>
      <c r="P55" s="4">
        <v>0</v>
      </c>
      <c r="Q55" s="4">
        <v>93.509250319292704</v>
      </c>
      <c r="R55" s="4">
        <v>78.375469922104202</v>
      </c>
      <c r="S55" s="4">
        <v>0</v>
      </c>
      <c r="U55" t="b">
        <f>A55=K55</f>
        <v>1</v>
      </c>
      <c r="V55">
        <f t="shared" si="8"/>
        <v>28.948645940114503</v>
      </c>
      <c r="W55">
        <f t="shared" si="9"/>
        <v>54.909255898366155</v>
      </c>
      <c r="Y55" s="20">
        <v>2006</v>
      </c>
      <c r="Z55" s="21">
        <v>83.951073199999996</v>
      </c>
      <c r="AA55" s="21">
        <v>159.236842</v>
      </c>
      <c r="AB55" s="21">
        <v>77.071428600000004</v>
      </c>
      <c r="AC55" s="21">
        <v>207.16666699999999</v>
      </c>
      <c r="AD55" s="21" t="s">
        <v>113</v>
      </c>
      <c r="AE55" s="21">
        <v>93.509250300000005</v>
      </c>
      <c r="AF55" s="21">
        <v>78.375469899999999</v>
      </c>
      <c r="AG55" s="21" t="s">
        <v>113</v>
      </c>
      <c r="AI55" t="str">
        <f t="shared" si="10"/>
        <v>OK</v>
      </c>
      <c r="AJ55" t="str">
        <f t="shared" si="11"/>
        <v>OK</v>
      </c>
    </row>
    <row r="56" spans="1:36" x14ac:dyDescent="0.2">
      <c r="A56" s="2">
        <v>2008</v>
      </c>
      <c r="B56" s="3">
        <v>192.22536198019191</v>
      </c>
      <c r="C56" s="3">
        <v>790.36206896551721</v>
      </c>
      <c r="D56" s="3">
        <v>197.26739462345199</v>
      </c>
      <c r="E56" s="3">
        <v>536.35</v>
      </c>
      <c r="F56" s="3">
        <v>198.2770413954072</v>
      </c>
      <c r="G56" s="3">
        <v>1193.6428571428571</v>
      </c>
      <c r="H56" s="3">
        <v>184.49352178526632</v>
      </c>
      <c r="I56" s="3">
        <v>766.79166666666663</v>
      </c>
      <c r="J56" s="2" t="s">
        <v>14</v>
      </c>
      <c r="K56" s="5">
        <v>2008</v>
      </c>
      <c r="L56" s="4">
        <v>192.22536198019199</v>
      </c>
      <c r="M56" s="4">
        <v>790.36206896551698</v>
      </c>
      <c r="N56" s="4">
        <v>1193.6428571428601</v>
      </c>
      <c r="O56" s="4">
        <v>766.79166666666697</v>
      </c>
      <c r="P56" s="4">
        <v>536.35</v>
      </c>
      <c r="Q56" s="4">
        <v>198.277041395407</v>
      </c>
      <c r="R56" s="4">
        <v>184.49352178526601</v>
      </c>
      <c r="S56" s="4">
        <v>197.26739462345199</v>
      </c>
      <c r="U56" t="b">
        <f>A56=K56</f>
        <v>1</v>
      </c>
      <c r="V56" t="str">
        <f t="shared" si="8"/>
        <v>OK</v>
      </c>
      <c r="W56" t="str">
        <f t="shared" si="9"/>
        <v>OK</v>
      </c>
      <c r="Y56" s="20">
        <v>2008</v>
      </c>
      <c r="Z56" s="21">
        <v>192.22536199999999</v>
      </c>
      <c r="AA56" s="21">
        <v>790.36206900000002</v>
      </c>
      <c r="AB56" s="21">
        <v>1193.6428599999999</v>
      </c>
      <c r="AC56" s="21">
        <v>766.79166699999996</v>
      </c>
      <c r="AD56" s="21">
        <v>536.35</v>
      </c>
      <c r="AE56" s="21">
        <v>198.277041</v>
      </c>
      <c r="AF56" s="21">
        <v>184.49352200000001</v>
      </c>
      <c r="AG56" s="21">
        <v>197.26739499999999</v>
      </c>
      <c r="AI56" t="str">
        <f t="shared" si="10"/>
        <v>OK</v>
      </c>
      <c r="AJ56" t="str">
        <f t="shared" si="11"/>
        <v>OK</v>
      </c>
    </row>
    <row r="57" spans="1:36" x14ac:dyDescent="0.2">
      <c r="A57" s="2">
        <v>2009</v>
      </c>
      <c r="B57" s="3">
        <v>89.739827001511017</v>
      </c>
      <c r="C57" s="3">
        <v>225.17241379310346</v>
      </c>
      <c r="D57" s="3">
        <v>110.01878881569533</v>
      </c>
      <c r="E57" s="3">
        <v>263.7</v>
      </c>
      <c r="F57" s="3">
        <v>89.328946162208467</v>
      </c>
      <c r="G57" s="3">
        <v>256</v>
      </c>
      <c r="H57" s="3">
        <v>73.080372645950618</v>
      </c>
      <c r="I57" s="3">
        <v>175.08333333333334</v>
      </c>
      <c r="J57" s="2" t="s">
        <v>14</v>
      </c>
      <c r="K57" s="5">
        <v>2009</v>
      </c>
      <c r="L57" s="4">
        <v>89.739827001511003</v>
      </c>
      <c r="M57" s="4">
        <v>225.172413793103</v>
      </c>
      <c r="N57" s="4">
        <v>256</v>
      </c>
      <c r="O57" s="4">
        <v>175.083333333333</v>
      </c>
      <c r="P57" s="4">
        <v>263.7</v>
      </c>
      <c r="Q57" s="4">
        <v>89.328946162208496</v>
      </c>
      <c r="R57" s="4">
        <v>73.080372645950604</v>
      </c>
      <c r="S57" s="4">
        <v>110.018788815695</v>
      </c>
      <c r="U57" t="b">
        <f>A57=K57</f>
        <v>1</v>
      </c>
      <c r="V57" t="str">
        <f t="shared" si="8"/>
        <v>OK</v>
      </c>
      <c r="W57" t="str">
        <f t="shared" si="9"/>
        <v>OK</v>
      </c>
      <c r="Y57" s="20">
        <v>2009</v>
      </c>
      <c r="Z57" s="21">
        <v>89.739827000000005</v>
      </c>
      <c r="AA57" s="21">
        <v>225.172414</v>
      </c>
      <c r="AB57" s="21">
        <v>256</v>
      </c>
      <c r="AC57" s="21">
        <v>175.08333300000001</v>
      </c>
      <c r="AD57" s="21">
        <v>263.7</v>
      </c>
      <c r="AE57" s="21">
        <v>89.328946200000004</v>
      </c>
      <c r="AF57" s="21">
        <v>73.080372600000004</v>
      </c>
      <c r="AG57" s="21">
        <v>110.018789</v>
      </c>
      <c r="AI57" t="str">
        <f t="shared" si="10"/>
        <v>OK</v>
      </c>
      <c r="AJ57" t="str">
        <f t="shared" si="11"/>
        <v>OK</v>
      </c>
    </row>
    <row r="58" spans="1:36" x14ac:dyDescent="0.2">
      <c r="A58" s="2">
        <v>2010</v>
      </c>
      <c r="B58" s="3">
        <v>236.32965330252549</v>
      </c>
      <c r="C58" s="3">
        <v>1807.155172413793</v>
      </c>
      <c r="D58" s="3">
        <v>316.77464076095583</v>
      </c>
      <c r="E58" s="3">
        <v>2996.95</v>
      </c>
      <c r="F58" s="3">
        <v>190.35076235191755</v>
      </c>
      <c r="G58" s="3">
        <v>1174</v>
      </c>
      <c r="H58" s="3">
        <v>196.1131834750214</v>
      </c>
      <c r="I58" s="3">
        <v>1185</v>
      </c>
      <c r="J58" s="2" t="s">
        <v>14</v>
      </c>
      <c r="K58" s="5">
        <v>2010</v>
      </c>
      <c r="L58" s="4">
        <v>236.329653302525</v>
      </c>
      <c r="M58" s="4">
        <v>1807.1551724137901</v>
      </c>
      <c r="N58" s="4">
        <v>1174</v>
      </c>
      <c r="O58" s="4">
        <v>1185</v>
      </c>
      <c r="P58" s="4">
        <v>2996.95</v>
      </c>
      <c r="Q58" s="4">
        <v>190.35076235191801</v>
      </c>
      <c r="R58" s="4">
        <v>196.113183475021</v>
      </c>
      <c r="S58" s="4">
        <v>316.774640760956</v>
      </c>
      <c r="U58" t="b">
        <f>A58=K58</f>
        <v>1</v>
      </c>
      <c r="V58" t="str">
        <f t="shared" si="8"/>
        <v>OK</v>
      </c>
      <c r="W58" t="str">
        <f t="shared" si="9"/>
        <v>OK</v>
      </c>
      <c r="Y58" s="20">
        <v>2010</v>
      </c>
      <c r="Z58" s="21">
        <v>236.32965300000001</v>
      </c>
      <c r="AA58" s="21">
        <v>1807.15517</v>
      </c>
      <c r="AB58" s="21">
        <v>1174</v>
      </c>
      <c r="AC58" s="21">
        <v>1185</v>
      </c>
      <c r="AD58" s="21">
        <v>2996.95</v>
      </c>
      <c r="AE58" s="21">
        <v>190.350762</v>
      </c>
      <c r="AF58" s="21">
        <v>196.11318299999999</v>
      </c>
      <c r="AG58" s="21">
        <v>316.77464099999997</v>
      </c>
      <c r="AI58" t="str">
        <f t="shared" si="10"/>
        <v>OK</v>
      </c>
      <c r="AJ58" t="str">
        <f t="shared" si="11"/>
        <v>OK</v>
      </c>
    </row>
    <row r="59" spans="1:36" x14ac:dyDescent="0.2">
      <c r="A59" s="2">
        <v>2011</v>
      </c>
      <c r="B59" s="3">
        <v>392.36551089545594</v>
      </c>
      <c r="C59" s="3">
        <v>1700.5</v>
      </c>
      <c r="D59" s="3">
        <v>375.92217061096875</v>
      </c>
      <c r="E59" s="3">
        <v>2438.4499999999998</v>
      </c>
      <c r="F59" s="3">
        <v>844.80081548100463</v>
      </c>
      <c r="G59" s="3">
        <v>3234.7857142857142</v>
      </c>
      <c r="H59" s="3">
        <v>142.14770012429236</v>
      </c>
      <c r="I59" s="3">
        <v>190.54166666666666</v>
      </c>
      <c r="J59" s="2" t="s">
        <v>14</v>
      </c>
      <c r="K59" s="5">
        <v>2011</v>
      </c>
      <c r="L59" s="4">
        <v>392.365510895456</v>
      </c>
      <c r="M59" s="4">
        <v>1700.5</v>
      </c>
      <c r="N59" s="4">
        <v>3234.7857142857101</v>
      </c>
      <c r="O59" s="4">
        <v>190.541666666667</v>
      </c>
      <c r="P59" s="4">
        <v>2438.4499999999998</v>
      </c>
      <c r="Q59" s="4">
        <v>844.80081548100497</v>
      </c>
      <c r="R59" s="4">
        <v>142.14770012429199</v>
      </c>
      <c r="S59" s="4">
        <v>375.92217061096898</v>
      </c>
      <c r="U59" t="b">
        <f>A59=K59</f>
        <v>1</v>
      </c>
      <c r="V59" t="str">
        <f t="shared" si="8"/>
        <v>OK</v>
      </c>
      <c r="W59" t="str">
        <f t="shared" si="9"/>
        <v>OK</v>
      </c>
      <c r="Y59" s="20">
        <v>2011</v>
      </c>
      <c r="Z59" s="21">
        <v>392.36551100000003</v>
      </c>
      <c r="AA59" s="21">
        <v>1700.5</v>
      </c>
      <c r="AB59" s="21">
        <v>3234.7857100000001</v>
      </c>
      <c r="AC59" s="21">
        <v>190.54166699999999</v>
      </c>
      <c r="AD59" s="21">
        <v>2438.4499999999998</v>
      </c>
      <c r="AE59" s="21">
        <v>844.80081500000006</v>
      </c>
      <c r="AF59" s="21">
        <v>142.14769999999999</v>
      </c>
      <c r="AG59" s="21">
        <v>375.92217099999999</v>
      </c>
      <c r="AI59" t="str">
        <f t="shared" si="10"/>
        <v>OK</v>
      </c>
      <c r="AJ59" t="str">
        <f t="shared" si="11"/>
        <v>OK</v>
      </c>
    </row>
    <row r="60" spans="1:36" x14ac:dyDescent="0.2">
      <c r="A60" s="2">
        <v>2012</v>
      </c>
      <c r="B60" s="3">
        <v>295.79411540379942</v>
      </c>
      <c r="C60" s="3">
        <v>1651.3275862068965</v>
      </c>
      <c r="D60" s="3">
        <v>411.13066181664283</v>
      </c>
      <c r="E60" s="3">
        <v>1249.75</v>
      </c>
      <c r="F60" s="3">
        <v>333.72989633138013</v>
      </c>
      <c r="G60" s="3">
        <v>3387.2142857142858</v>
      </c>
      <c r="H60" s="3">
        <v>177.5511211853412</v>
      </c>
      <c r="I60" s="3">
        <v>973.375</v>
      </c>
      <c r="J60" s="2" t="s">
        <v>14</v>
      </c>
      <c r="K60" s="5">
        <v>2012</v>
      </c>
      <c r="L60" s="4">
        <v>295.79411540379903</v>
      </c>
      <c r="M60" s="4">
        <v>1651.3275862068999</v>
      </c>
      <c r="N60" s="4">
        <v>3387.2142857142899</v>
      </c>
      <c r="O60" s="4">
        <v>973.375</v>
      </c>
      <c r="P60" s="4">
        <v>1249.75</v>
      </c>
      <c r="Q60" s="4">
        <v>333.72989633138002</v>
      </c>
      <c r="R60" s="4">
        <v>177.551121185341</v>
      </c>
      <c r="S60" s="4">
        <v>411.130661816643</v>
      </c>
      <c r="U60" t="b">
        <f>A60=K60</f>
        <v>1</v>
      </c>
      <c r="V60" t="str">
        <f t="shared" si="8"/>
        <v>OK</v>
      </c>
      <c r="W60" t="str">
        <f t="shared" si="9"/>
        <v>OK</v>
      </c>
      <c r="Y60" s="20">
        <v>2012</v>
      </c>
      <c r="Z60" s="21">
        <v>295.79411499999998</v>
      </c>
      <c r="AA60" s="21">
        <v>1651.3275900000001</v>
      </c>
      <c r="AB60" s="21">
        <v>3387.2142899999999</v>
      </c>
      <c r="AC60" s="21">
        <v>973.375</v>
      </c>
      <c r="AD60" s="21">
        <v>1249.75</v>
      </c>
      <c r="AE60" s="21">
        <v>333.729896</v>
      </c>
      <c r="AF60" s="21">
        <v>177.55112099999999</v>
      </c>
      <c r="AG60" s="21">
        <v>411.13066199999997</v>
      </c>
      <c r="AI60" t="str">
        <f t="shared" si="10"/>
        <v>OK</v>
      </c>
      <c r="AJ60" t="str">
        <f t="shared" si="11"/>
        <v>OK</v>
      </c>
    </row>
    <row r="61" spans="1:36" x14ac:dyDescent="0.2">
      <c r="A61" s="2">
        <v>2013</v>
      </c>
      <c r="B61" s="3">
        <v>147.57711911280421</v>
      </c>
      <c r="C61" s="3">
        <v>839.94827586206895</v>
      </c>
      <c r="D61" s="3">
        <v>136.12736277926385</v>
      </c>
      <c r="E61" s="3">
        <v>781.4</v>
      </c>
      <c r="F61" s="3">
        <v>167.38185189720565</v>
      </c>
      <c r="G61" s="3">
        <v>1106.1428571428571</v>
      </c>
      <c r="H61" s="3">
        <v>145.5658219331871</v>
      </c>
      <c r="I61" s="3">
        <v>733.45833333333337</v>
      </c>
      <c r="J61" s="2" t="s">
        <v>14</v>
      </c>
      <c r="K61" s="5">
        <v>2013</v>
      </c>
      <c r="L61" s="4">
        <v>147.57711911280401</v>
      </c>
      <c r="M61" s="4">
        <v>839.94827586206895</v>
      </c>
      <c r="N61" s="4">
        <v>1106.1428571428601</v>
      </c>
      <c r="O61" s="4">
        <v>733.45833333333303</v>
      </c>
      <c r="P61" s="4">
        <v>781.4</v>
      </c>
      <c r="Q61" s="4">
        <v>167.38185189720599</v>
      </c>
      <c r="R61" s="4">
        <v>145.56582193318701</v>
      </c>
      <c r="S61" s="4">
        <v>136.12736277926399</v>
      </c>
      <c r="U61" t="b">
        <f>A61=K61</f>
        <v>1</v>
      </c>
      <c r="V61" t="str">
        <f t="shared" si="8"/>
        <v>OK</v>
      </c>
      <c r="W61" t="str">
        <f t="shared" si="9"/>
        <v>OK</v>
      </c>
      <c r="Y61" s="20">
        <v>2013</v>
      </c>
      <c r="Z61" s="21">
        <v>147.57711900000001</v>
      </c>
      <c r="AA61" s="21">
        <v>839.94827599999996</v>
      </c>
      <c r="AB61" s="21">
        <v>1106.1428599999999</v>
      </c>
      <c r="AC61" s="21">
        <v>733.45833300000004</v>
      </c>
      <c r="AD61" s="21">
        <v>781.4</v>
      </c>
      <c r="AE61" s="21">
        <v>167.38185200000001</v>
      </c>
      <c r="AF61" s="21">
        <v>145.565822</v>
      </c>
      <c r="AG61" s="21">
        <v>136.127363</v>
      </c>
      <c r="AI61" t="str">
        <f t="shared" si="10"/>
        <v>OK</v>
      </c>
      <c r="AJ61" t="str">
        <f t="shared" si="11"/>
        <v>OK</v>
      </c>
    </row>
    <row r="62" spans="1:36" x14ac:dyDescent="0.2">
      <c r="A62" s="2">
        <v>2014</v>
      </c>
      <c r="B62" s="3">
        <v>108.95439681118771</v>
      </c>
      <c r="C62" s="3">
        <v>258.81578947368422</v>
      </c>
      <c r="D62" s="3"/>
      <c r="E62" s="3"/>
      <c r="F62" s="3">
        <v>92.079673038852306</v>
      </c>
      <c r="G62" s="3">
        <v>117.64285714285714</v>
      </c>
      <c r="H62" s="3">
        <v>118.7979856783833</v>
      </c>
      <c r="I62" s="3">
        <v>341.16666666666669</v>
      </c>
      <c r="J62" s="2" t="s">
        <v>15</v>
      </c>
      <c r="K62" s="5">
        <v>2014</v>
      </c>
      <c r="L62" s="4">
        <v>71.383915152157499</v>
      </c>
      <c r="M62" s="4">
        <v>169.568965517241</v>
      </c>
      <c r="N62" s="4">
        <v>117.642857142857</v>
      </c>
      <c r="O62" s="4">
        <v>341.16666666666703</v>
      </c>
      <c r="P62" s="4">
        <v>0</v>
      </c>
      <c r="Q62" s="4">
        <v>92.079673038852405</v>
      </c>
      <c r="R62" s="4">
        <v>118.797985678383</v>
      </c>
      <c r="S62" s="4">
        <v>0</v>
      </c>
      <c r="U62" t="b">
        <f>A62=K62</f>
        <v>1</v>
      </c>
      <c r="V62">
        <f t="shared" si="8"/>
        <v>37.570481659030207</v>
      </c>
      <c r="W62">
        <f t="shared" si="9"/>
        <v>89.246823956443222</v>
      </c>
      <c r="Y62" s="20">
        <v>2014</v>
      </c>
      <c r="Z62" s="21">
        <v>108.954397</v>
      </c>
      <c r="AA62" s="21">
        <v>258.815789</v>
      </c>
      <c r="AB62" s="21">
        <v>117.64285700000001</v>
      </c>
      <c r="AC62" s="21">
        <v>341.16666700000002</v>
      </c>
      <c r="AD62" s="21" t="s">
        <v>113</v>
      </c>
      <c r="AE62" s="21">
        <v>92.079673</v>
      </c>
      <c r="AF62" s="21">
        <v>118.79798599999999</v>
      </c>
      <c r="AG62" s="21" t="s">
        <v>113</v>
      </c>
      <c r="AI62" t="str">
        <f t="shared" si="10"/>
        <v>OK</v>
      </c>
      <c r="AJ62" t="str">
        <f t="shared" si="11"/>
        <v>OK</v>
      </c>
    </row>
    <row r="63" spans="1:36" x14ac:dyDescent="0.2">
      <c r="A63" s="2">
        <v>2015</v>
      </c>
      <c r="B63" s="3">
        <v>195.01413730336128</v>
      </c>
      <c r="C63" s="3">
        <v>607.32758620689651</v>
      </c>
      <c r="D63" s="3">
        <v>275.02553184356316</v>
      </c>
      <c r="E63" s="3">
        <v>997.95</v>
      </c>
      <c r="F63" s="3">
        <v>256.44548731641265</v>
      </c>
      <c r="G63" s="3">
        <v>746.07142857142856</v>
      </c>
      <c r="H63" s="3">
        <v>92.503021012246322</v>
      </c>
      <c r="I63" s="3">
        <v>200.875</v>
      </c>
      <c r="J63" s="2" t="s">
        <v>14</v>
      </c>
      <c r="K63" s="5">
        <v>2015</v>
      </c>
      <c r="L63" s="4">
        <v>195.014137303361</v>
      </c>
      <c r="M63" s="4">
        <v>607.32758620689594</v>
      </c>
      <c r="N63" s="4">
        <v>746.07142857142901</v>
      </c>
      <c r="O63" s="4">
        <v>200.875</v>
      </c>
      <c r="P63" s="4">
        <v>997.95</v>
      </c>
      <c r="Q63" s="4">
        <v>256.44548731641299</v>
      </c>
      <c r="R63" s="4">
        <v>92.503021012246293</v>
      </c>
      <c r="S63" s="4">
        <v>275.02553184356299</v>
      </c>
      <c r="U63" t="b">
        <f>A63=K63</f>
        <v>1</v>
      </c>
      <c r="V63" t="str">
        <f t="shared" si="8"/>
        <v>OK</v>
      </c>
      <c r="W63">
        <f t="shared" si="9"/>
        <v>5.6843418860808015E-13</v>
      </c>
      <c r="Y63" s="20">
        <v>2015</v>
      </c>
      <c r="Z63" s="21">
        <v>195.01413700000001</v>
      </c>
      <c r="AA63" s="21">
        <v>607.327586</v>
      </c>
      <c r="AB63" s="21">
        <v>746.07142899999997</v>
      </c>
      <c r="AC63" s="21">
        <v>200.875</v>
      </c>
      <c r="AD63" s="21">
        <v>997.95</v>
      </c>
      <c r="AE63" s="21">
        <v>256.44548700000001</v>
      </c>
      <c r="AF63" s="21">
        <v>92.503021000000004</v>
      </c>
      <c r="AG63" s="21">
        <v>275.025532</v>
      </c>
      <c r="AI63" t="str">
        <f t="shared" si="10"/>
        <v>OK</v>
      </c>
      <c r="AJ63" t="str">
        <f t="shared" si="11"/>
        <v>OK</v>
      </c>
    </row>
    <row r="64" spans="1:36" x14ac:dyDescent="0.2">
      <c r="A64" s="2">
        <v>2016</v>
      </c>
      <c r="B64" s="3">
        <v>397.49351989261038</v>
      </c>
      <c r="C64" s="3">
        <v>4244.8448275862065</v>
      </c>
      <c r="D64" s="3">
        <v>522.22680311830914</v>
      </c>
      <c r="E64" s="3">
        <v>4890</v>
      </c>
      <c r="F64" s="3">
        <v>469.72056447498341</v>
      </c>
      <c r="G64" s="3">
        <v>8402</v>
      </c>
      <c r="H64" s="3">
        <v>251.41667453147707</v>
      </c>
      <c r="I64" s="3">
        <v>1282.2083333333333</v>
      </c>
      <c r="J64" s="2" t="s">
        <v>14</v>
      </c>
      <c r="K64" s="5">
        <v>2016</v>
      </c>
      <c r="L64" s="4">
        <v>397.49351989260998</v>
      </c>
      <c r="M64" s="4">
        <v>4244.8448275862102</v>
      </c>
      <c r="N64" s="4">
        <v>8402</v>
      </c>
      <c r="O64" s="4">
        <v>1282.2083333333301</v>
      </c>
      <c r="P64" s="4">
        <v>4890</v>
      </c>
      <c r="Q64" s="4">
        <v>469.72056447498301</v>
      </c>
      <c r="R64" s="4">
        <v>251.41667453147701</v>
      </c>
      <c r="S64" s="4">
        <v>522.22680311830902</v>
      </c>
      <c r="U64" t="b">
        <f>A64=K64</f>
        <v>1</v>
      </c>
      <c r="V64" t="str">
        <f t="shared" si="8"/>
        <v>OK</v>
      </c>
      <c r="W64" t="str">
        <f t="shared" si="9"/>
        <v>OK</v>
      </c>
      <c r="Y64" s="20">
        <v>2016</v>
      </c>
      <c r="Z64" s="21">
        <v>397.49351999999999</v>
      </c>
      <c r="AA64" s="21">
        <v>4244.84483</v>
      </c>
      <c r="AB64" s="21">
        <v>8402</v>
      </c>
      <c r="AC64" s="21">
        <v>1282.2083299999999</v>
      </c>
      <c r="AD64" s="21">
        <v>4890</v>
      </c>
      <c r="AE64" s="21">
        <v>469.72056400000002</v>
      </c>
      <c r="AF64" s="21">
        <v>251.416675</v>
      </c>
      <c r="AG64" s="21">
        <v>522.22680300000002</v>
      </c>
      <c r="AI64" t="str">
        <f t="shared" si="10"/>
        <v>OK</v>
      </c>
      <c r="AJ64" t="str">
        <f t="shared" si="11"/>
        <v>OK</v>
      </c>
    </row>
    <row r="65" spans="1:36" x14ac:dyDescent="0.2">
      <c r="A65" s="2">
        <v>2017</v>
      </c>
      <c r="B65" s="3">
        <v>1054.3182515489098</v>
      </c>
      <c r="C65" s="3">
        <v>26081.017241379312</v>
      </c>
      <c r="D65" s="3">
        <v>941.84337504544601</v>
      </c>
      <c r="E65" s="3">
        <v>19036.55</v>
      </c>
      <c r="F65" s="3">
        <v>886.47326893060483</v>
      </c>
      <c r="G65" s="3">
        <v>19903.571428571428</v>
      </c>
      <c r="H65" s="3">
        <v>1245.9568884958071</v>
      </c>
      <c r="I65" s="3">
        <v>35554.916666666664</v>
      </c>
      <c r="J65" s="2" t="s">
        <v>14</v>
      </c>
      <c r="K65" s="5">
        <v>2017</v>
      </c>
      <c r="L65" s="4">
        <v>1054.31825154891</v>
      </c>
      <c r="M65" s="4">
        <v>26081.017241379301</v>
      </c>
      <c r="N65" s="4">
        <v>19903.571428571398</v>
      </c>
      <c r="O65" s="4">
        <v>35554.916666666701</v>
      </c>
      <c r="P65" s="4">
        <v>19036.55</v>
      </c>
      <c r="Q65" s="4">
        <v>886.47326893060495</v>
      </c>
      <c r="R65" s="4">
        <v>1245.9568884958101</v>
      </c>
      <c r="S65" s="4">
        <v>941.84337504544601</v>
      </c>
      <c r="U65" t="b">
        <f>A65=K65</f>
        <v>1</v>
      </c>
      <c r="V65" t="str">
        <f t="shared" si="8"/>
        <v>OK</v>
      </c>
      <c r="W65" t="str">
        <f t="shared" si="9"/>
        <v>OK</v>
      </c>
      <c r="Y65" s="20">
        <v>2017</v>
      </c>
      <c r="Z65" s="21">
        <v>1054.31825</v>
      </c>
      <c r="AA65" s="21">
        <v>26081.017199999998</v>
      </c>
      <c r="AB65" s="21">
        <v>19903.571400000001</v>
      </c>
      <c r="AC65" s="21">
        <v>35554.916700000002</v>
      </c>
      <c r="AD65" s="21">
        <v>19036.55</v>
      </c>
      <c r="AE65" s="21">
        <v>886.47326899999996</v>
      </c>
      <c r="AF65" s="21">
        <v>1245.9568899999999</v>
      </c>
      <c r="AG65" s="21">
        <v>941.84337500000004</v>
      </c>
      <c r="AI65" t="str">
        <f t="shared" si="10"/>
        <v>OK</v>
      </c>
      <c r="AJ65" t="str">
        <f t="shared" si="11"/>
        <v>OK</v>
      </c>
    </row>
    <row r="66" spans="1:36" x14ac:dyDescent="0.2">
      <c r="A66" s="2">
        <v>2018</v>
      </c>
      <c r="B66" s="3">
        <v>302.2694847573693</v>
      </c>
      <c r="C66" s="3">
        <v>2224.8965517241381</v>
      </c>
      <c r="D66" s="3">
        <v>250.92195058318848</v>
      </c>
      <c r="E66" s="3">
        <v>1628.65</v>
      </c>
      <c r="F66" s="3">
        <v>246.67913947099478</v>
      </c>
      <c r="G66" s="3">
        <v>2569</v>
      </c>
      <c r="H66" s="3">
        <v>377.4867979862384</v>
      </c>
      <c r="I66" s="3">
        <v>2521.0416666666665</v>
      </c>
      <c r="J66" s="2" t="s">
        <v>14</v>
      </c>
      <c r="K66" s="5">
        <v>2018</v>
      </c>
      <c r="L66" s="4">
        <v>302.26948475736901</v>
      </c>
      <c r="M66" s="4">
        <v>2224.89655172414</v>
      </c>
      <c r="N66" s="4">
        <v>2569</v>
      </c>
      <c r="O66" s="4">
        <v>2521.0416666666702</v>
      </c>
      <c r="P66" s="4">
        <v>1628.65</v>
      </c>
      <c r="Q66" s="4">
        <v>246.67913947099501</v>
      </c>
      <c r="R66" s="4">
        <v>377.486797986238</v>
      </c>
      <c r="S66" s="4">
        <v>250.92195058318799</v>
      </c>
      <c r="U66" t="b">
        <f>A66=K66</f>
        <v>1</v>
      </c>
      <c r="V66" t="str">
        <f t="shared" si="8"/>
        <v>OK</v>
      </c>
      <c r="W66" t="str">
        <f t="shared" si="9"/>
        <v>OK</v>
      </c>
      <c r="Y66" s="20">
        <v>2018</v>
      </c>
      <c r="Z66" s="21">
        <v>302.26948499999997</v>
      </c>
      <c r="AA66" s="21">
        <v>2224.8965499999999</v>
      </c>
      <c r="AB66" s="21">
        <v>2569</v>
      </c>
      <c r="AC66" s="21">
        <v>2521.0416700000001</v>
      </c>
      <c r="AD66" s="21">
        <v>1628.65</v>
      </c>
      <c r="AE66" s="21">
        <v>246.67913899999999</v>
      </c>
      <c r="AF66" s="21">
        <v>377.48679800000002</v>
      </c>
      <c r="AG66" s="21">
        <v>250.92195100000001</v>
      </c>
      <c r="AI66" t="str">
        <f t="shared" si="10"/>
        <v>OK</v>
      </c>
      <c r="AJ66" t="str">
        <f t="shared" si="11"/>
        <v>OK</v>
      </c>
    </row>
    <row r="67" spans="1:36" x14ac:dyDescent="0.2">
      <c r="A67" s="2">
        <v>2019</v>
      </c>
      <c r="B67" s="3">
        <v>220.82013763366518</v>
      </c>
      <c r="C67" s="3">
        <v>926.77586206896547</v>
      </c>
      <c r="D67" s="3">
        <v>221.35565795635193</v>
      </c>
      <c r="E67" s="3">
        <v>768.75</v>
      </c>
      <c r="F67" s="3">
        <v>228.68309609319314</v>
      </c>
      <c r="G67" s="3">
        <v>1153.1428571428571</v>
      </c>
      <c r="H67" s="3">
        <v>215.78714493003477</v>
      </c>
      <c r="I67" s="3">
        <v>926.41666666666663</v>
      </c>
      <c r="J67" s="2" t="s">
        <v>14</v>
      </c>
      <c r="K67" s="5">
        <v>2019</v>
      </c>
      <c r="L67" s="4">
        <v>220.82013763366501</v>
      </c>
      <c r="M67" s="4">
        <v>926.77586206896501</v>
      </c>
      <c r="N67" s="4">
        <v>1153.1428571428601</v>
      </c>
      <c r="O67" s="4">
        <v>926.41666666666697</v>
      </c>
      <c r="P67" s="4">
        <v>768.75</v>
      </c>
      <c r="Q67" s="4">
        <v>228.683096093193</v>
      </c>
      <c r="R67" s="4">
        <v>215.787144930035</v>
      </c>
      <c r="S67" s="4">
        <v>221.35565795635199</v>
      </c>
      <c r="U67" t="b">
        <f>A67=K67</f>
        <v>1</v>
      </c>
      <c r="V67" t="str">
        <f t="shared" si="8"/>
        <v>OK</v>
      </c>
      <c r="W67" t="str">
        <f t="shared" si="9"/>
        <v>OK</v>
      </c>
      <c r="Y67" s="20">
        <v>2019</v>
      </c>
      <c r="Z67" s="21">
        <v>220.82013799999999</v>
      </c>
      <c r="AA67" s="21">
        <v>926.77586199999996</v>
      </c>
      <c r="AB67" s="21">
        <v>1153.1428599999999</v>
      </c>
      <c r="AC67" s="21">
        <v>926.41666699999996</v>
      </c>
      <c r="AD67" s="21">
        <v>768.75</v>
      </c>
      <c r="AE67" s="21">
        <v>228.68309600000001</v>
      </c>
      <c r="AF67" s="21">
        <v>215.78714500000001</v>
      </c>
      <c r="AG67" s="21">
        <v>221.35565800000001</v>
      </c>
      <c r="AI67" t="str">
        <f t="shared" si="10"/>
        <v>OK</v>
      </c>
      <c r="AJ67" t="str">
        <f t="shared" si="11"/>
        <v>OK</v>
      </c>
    </row>
    <row r="68" spans="1:36" x14ac:dyDescent="0.2">
      <c r="A68" s="2">
        <v>2020</v>
      </c>
      <c r="B68" s="3">
        <v>1296.1741939162214</v>
      </c>
      <c r="C68" s="3">
        <v>55877.413793103449</v>
      </c>
      <c r="D68" s="3">
        <v>1212.2167621189151</v>
      </c>
      <c r="E68" s="3">
        <v>51882.9</v>
      </c>
      <c r="F68" s="3">
        <v>1272.8123888254072</v>
      </c>
      <c r="G68" s="3">
        <v>49789.642857142855</v>
      </c>
      <c r="H68" s="3">
        <v>1379.7664400502854</v>
      </c>
      <c r="I68" s="3">
        <v>62757.375</v>
      </c>
      <c r="J68" s="2" t="s">
        <v>14</v>
      </c>
      <c r="K68" s="5">
        <v>2020</v>
      </c>
      <c r="L68" s="4">
        <v>1296.17419391622</v>
      </c>
      <c r="M68" s="4">
        <v>55877.413793103398</v>
      </c>
      <c r="N68" s="4">
        <v>49789.642857142899</v>
      </c>
      <c r="O68" s="4">
        <v>62757.375</v>
      </c>
      <c r="P68" s="4">
        <v>51882.9</v>
      </c>
      <c r="Q68" s="4">
        <v>1272.8123888254099</v>
      </c>
      <c r="R68" s="4">
        <v>1379.7664400502899</v>
      </c>
      <c r="S68" s="4">
        <v>1212.2167621189201</v>
      </c>
      <c r="U68" t="b">
        <f>A68=K68</f>
        <v>1</v>
      </c>
      <c r="V68" t="str">
        <f t="shared" si="8"/>
        <v>OK</v>
      </c>
      <c r="W68" t="str">
        <f t="shared" si="9"/>
        <v>OK</v>
      </c>
      <c r="Y68" s="20">
        <v>2020</v>
      </c>
      <c r="Z68" s="21">
        <v>1296.17419</v>
      </c>
      <c r="AA68" s="21">
        <v>55877.413800000002</v>
      </c>
      <c r="AB68" s="21">
        <v>49789.642899999999</v>
      </c>
      <c r="AC68" s="21">
        <v>62757.375</v>
      </c>
      <c r="AD68" s="21">
        <v>51882.9</v>
      </c>
      <c r="AE68" s="21">
        <v>1272.8123900000001</v>
      </c>
      <c r="AF68" s="21">
        <v>1379.7664400000001</v>
      </c>
      <c r="AG68" s="21">
        <v>1212.21676</v>
      </c>
      <c r="AI68" t="str">
        <f t="shared" si="10"/>
        <v>OK</v>
      </c>
      <c r="AJ68" t="str">
        <f t="shared" si="11"/>
        <v>OK</v>
      </c>
    </row>
    <row r="69" spans="1:36" x14ac:dyDescent="0.2">
      <c r="A69" s="2">
        <v>2021</v>
      </c>
      <c r="B69" s="3">
        <v>334.30398542995255</v>
      </c>
      <c r="C69" s="3">
        <v>3597.4137931034484</v>
      </c>
      <c r="D69" s="3">
        <v>335.86750397893275</v>
      </c>
      <c r="E69" s="3">
        <v>3562.95</v>
      </c>
      <c r="F69" s="3">
        <v>382.71132236038329</v>
      </c>
      <c r="G69" s="3">
        <v>4252.7857142857147</v>
      </c>
      <c r="H69" s="3">
        <v>304.76344009638433</v>
      </c>
      <c r="I69" s="3">
        <v>3243.8333333333335</v>
      </c>
      <c r="J69" s="2" t="s">
        <v>14</v>
      </c>
      <c r="K69" s="5">
        <v>2021</v>
      </c>
      <c r="L69" s="4">
        <v>334.30398542995198</v>
      </c>
      <c r="M69" s="4">
        <v>3597.4137931034502</v>
      </c>
      <c r="N69" s="4">
        <v>4252.7857142857101</v>
      </c>
      <c r="O69" s="4">
        <v>3243.8333333333298</v>
      </c>
      <c r="P69" s="4">
        <v>3562.95</v>
      </c>
      <c r="Q69" s="4">
        <v>382.71132236038301</v>
      </c>
      <c r="R69" s="4">
        <v>304.76344009638399</v>
      </c>
      <c r="S69" s="4">
        <v>335.86750397893297</v>
      </c>
      <c r="U69" t="b">
        <f>A69=K69</f>
        <v>1</v>
      </c>
      <c r="V69">
        <f t="shared" si="8"/>
        <v>5.6843418860808015E-13</v>
      </c>
      <c r="W69" t="str">
        <f t="shared" si="9"/>
        <v>OK</v>
      </c>
      <c r="Y69" s="20">
        <v>2021</v>
      </c>
      <c r="Z69" s="21">
        <v>334.30398500000001</v>
      </c>
      <c r="AA69" s="21">
        <v>3597.4137900000001</v>
      </c>
      <c r="AB69" s="21">
        <v>4252.7857100000001</v>
      </c>
      <c r="AC69" s="21">
        <v>3243.8333299999999</v>
      </c>
      <c r="AD69" s="21">
        <v>3562.95</v>
      </c>
      <c r="AE69" s="21">
        <v>382.711322</v>
      </c>
      <c r="AF69" s="21">
        <v>304.76344</v>
      </c>
      <c r="AG69" s="21">
        <v>335.867504</v>
      </c>
      <c r="AI69" t="str">
        <f t="shared" si="10"/>
        <v>OK</v>
      </c>
      <c r="AJ69" t="str">
        <f t="shared" si="11"/>
        <v>OK</v>
      </c>
    </row>
    <row r="70" spans="1:36" x14ac:dyDescent="0.2">
      <c r="A70" s="2">
        <v>2022</v>
      </c>
      <c r="B70" s="3">
        <v>152.27880187498099</v>
      </c>
      <c r="C70" s="3">
        <v>203.36206896551724</v>
      </c>
      <c r="D70" s="3">
        <v>231.10128849731478</v>
      </c>
      <c r="E70" s="3">
        <v>262.75</v>
      </c>
      <c r="F70" s="3">
        <v>142.67410467378448</v>
      </c>
      <c r="G70" s="3">
        <v>200.92857142857142</v>
      </c>
      <c r="H70" s="3">
        <v>92.19613639040081</v>
      </c>
      <c r="I70" s="3">
        <v>155.29166666666666</v>
      </c>
      <c r="J70" s="2" t="s">
        <v>14</v>
      </c>
      <c r="K70" s="5">
        <v>2022</v>
      </c>
      <c r="L70" s="4">
        <v>152.27880187498101</v>
      </c>
      <c r="M70" s="4">
        <v>203.36206896551701</v>
      </c>
      <c r="N70" s="4">
        <v>200.92857142857099</v>
      </c>
      <c r="O70" s="4">
        <v>155.291666666667</v>
      </c>
      <c r="P70" s="4">
        <v>262.75</v>
      </c>
      <c r="Q70" s="4">
        <v>142.674104673784</v>
      </c>
      <c r="R70" s="4">
        <v>92.196136390400795</v>
      </c>
      <c r="S70" s="4">
        <v>231.10128849731501</v>
      </c>
      <c r="U70" t="b">
        <f>A70=K70</f>
        <v>1</v>
      </c>
      <c r="V70" t="str">
        <f t="shared" si="8"/>
        <v>OK</v>
      </c>
      <c r="W70" t="str">
        <f t="shared" si="9"/>
        <v>OK</v>
      </c>
      <c r="Y70" s="20">
        <v>2022</v>
      </c>
      <c r="Z70" s="21">
        <v>152.27880200000001</v>
      </c>
      <c r="AA70" s="21">
        <v>203.36206899999999</v>
      </c>
      <c r="AB70" s="21">
        <v>200.92857100000001</v>
      </c>
      <c r="AC70" s="21">
        <v>155.29166699999999</v>
      </c>
      <c r="AD70" s="21">
        <v>262.75</v>
      </c>
      <c r="AE70" s="21">
        <v>142.674105</v>
      </c>
      <c r="AF70" s="21">
        <v>92.1961364</v>
      </c>
      <c r="AG70" s="21">
        <v>231.10128800000001</v>
      </c>
      <c r="AI70" t="str">
        <f t="shared" si="10"/>
        <v>OK</v>
      </c>
      <c r="AJ70" t="str">
        <f t="shared" si="11"/>
        <v>OK</v>
      </c>
    </row>
    <row r="71" spans="1:36" x14ac:dyDescent="0.2">
      <c r="A71" s="2">
        <v>2023</v>
      </c>
      <c r="B71" s="3">
        <v>287.4635843126901</v>
      </c>
      <c r="C71" s="3">
        <v>2350.7931034482758</v>
      </c>
      <c r="D71" s="3">
        <v>342.975384401361</v>
      </c>
      <c r="E71" s="3">
        <v>3523.5</v>
      </c>
      <c r="F71" s="3">
        <v>304.88721327399901</v>
      </c>
      <c r="G71" s="3">
        <v>3544.6428571428573</v>
      </c>
      <c r="H71" s="3">
        <v>231.03996734470078</v>
      </c>
      <c r="I71" s="3">
        <v>677.125</v>
      </c>
      <c r="J71" s="2" t="s">
        <v>14</v>
      </c>
      <c r="K71" s="5">
        <v>2023</v>
      </c>
      <c r="L71" s="4">
        <v>287.46358431268999</v>
      </c>
      <c r="M71" s="4">
        <v>2350.7931034482799</v>
      </c>
      <c r="N71" s="4">
        <v>3544.6428571428601</v>
      </c>
      <c r="O71" s="4">
        <v>677.125</v>
      </c>
      <c r="P71" s="4">
        <v>3523.5</v>
      </c>
      <c r="Q71" s="4">
        <v>304.88721327399799</v>
      </c>
      <c r="R71" s="4">
        <v>231.03996734470101</v>
      </c>
      <c r="S71" s="4">
        <v>342.97538440136202</v>
      </c>
      <c r="U71" t="b">
        <f>A71=K71</f>
        <v>1</v>
      </c>
      <c r="V71" t="str">
        <f t="shared" si="8"/>
        <v>OK</v>
      </c>
      <c r="W71" t="str">
        <f t="shared" si="9"/>
        <v>OK</v>
      </c>
      <c r="Y71" s="20">
        <v>2023</v>
      </c>
      <c r="Z71" s="21">
        <v>287.46358400000003</v>
      </c>
      <c r="AA71" s="21">
        <v>2350.7930999999999</v>
      </c>
      <c r="AB71" s="21">
        <v>3544.6428599999999</v>
      </c>
      <c r="AC71" s="21">
        <v>677.125</v>
      </c>
      <c r="AD71" s="21">
        <v>3523.5</v>
      </c>
      <c r="AE71" s="21">
        <v>304.88721299999997</v>
      </c>
      <c r="AF71" s="21">
        <v>231.03996699999999</v>
      </c>
      <c r="AG71" s="21">
        <v>342.97538400000002</v>
      </c>
      <c r="AI71" t="str">
        <f t="shared" si="10"/>
        <v>OK</v>
      </c>
      <c r="AJ71" t="str">
        <f t="shared" si="11"/>
        <v>OK</v>
      </c>
    </row>
    <row r="72" spans="1:36" x14ac:dyDescent="0.2">
      <c r="B72" s="1"/>
      <c r="C72" s="1"/>
      <c r="D72" s="1"/>
      <c r="E72" s="1"/>
      <c r="F72" s="1"/>
      <c r="G72" s="1"/>
      <c r="H72" s="1"/>
      <c r="I72" s="1"/>
    </row>
    <row r="73" spans="1:36" x14ac:dyDescent="0.2">
      <c r="B73" s="1"/>
      <c r="C73" s="1"/>
      <c r="D73" s="1"/>
      <c r="E73" s="1"/>
      <c r="F73" s="1"/>
      <c r="G73" s="1"/>
      <c r="H73" s="1"/>
      <c r="I73" s="1"/>
    </row>
    <row r="74" spans="1:36" x14ac:dyDescent="0.2">
      <c r="B74" s="1"/>
      <c r="C74" s="1"/>
      <c r="D74" s="1"/>
      <c r="E74" s="1"/>
      <c r="F74" s="1"/>
      <c r="G74" s="1"/>
      <c r="H74" s="1"/>
      <c r="I74" s="1"/>
    </row>
    <row r="75" spans="1:36" x14ac:dyDescent="0.2">
      <c r="B75" s="1"/>
      <c r="C75" s="1"/>
      <c r="D75" s="1"/>
      <c r="E75" s="1"/>
      <c r="F75" s="1"/>
      <c r="G75" s="1"/>
      <c r="H75" s="1"/>
      <c r="I75" s="1"/>
    </row>
    <row r="76" spans="1:36" x14ac:dyDescent="0.2">
      <c r="B76" s="1"/>
      <c r="C76" s="1"/>
      <c r="D76" s="1"/>
      <c r="E76" s="1"/>
      <c r="F76" s="1"/>
      <c r="G76" s="1"/>
      <c r="H76" s="1"/>
      <c r="I76" s="1"/>
    </row>
    <row r="77" spans="1:36" x14ac:dyDescent="0.2">
      <c r="B77" s="1"/>
      <c r="C77" s="1"/>
      <c r="D77" s="1"/>
      <c r="E77" s="1"/>
      <c r="F77" s="1"/>
      <c r="G77" s="1"/>
      <c r="H77" s="1"/>
      <c r="I77" s="1"/>
    </row>
    <row r="78" spans="1:36" x14ac:dyDescent="0.2">
      <c r="B78" s="1"/>
      <c r="C78" s="1"/>
      <c r="D78" s="1"/>
      <c r="E78" s="1"/>
      <c r="F78" s="1"/>
      <c r="G78" s="1"/>
      <c r="H78" s="1"/>
      <c r="I78" s="1"/>
    </row>
    <row r="79" spans="1:36" x14ac:dyDescent="0.2">
      <c r="B79" s="1"/>
      <c r="C79" s="1"/>
      <c r="D79" s="1"/>
      <c r="E79" s="1"/>
      <c r="F79" s="1"/>
      <c r="G79" s="1"/>
      <c r="H79" s="1"/>
      <c r="I79" s="1"/>
    </row>
    <row r="80" spans="1:36" x14ac:dyDescent="0.2">
      <c r="B80" s="1"/>
      <c r="C80" s="1"/>
      <c r="D80" s="1"/>
      <c r="E80" s="1"/>
      <c r="F80" s="1"/>
      <c r="G80" s="1"/>
      <c r="H80" s="1"/>
      <c r="I80" s="1"/>
    </row>
    <row r="81" spans="2:9" x14ac:dyDescent="0.2">
      <c r="B81" s="1"/>
      <c r="C81" s="1"/>
      <c r="D81" s="1"/>
      <c r="E81" s="1"/>
      <c r="F81" s="1"/>
      <c r="G81" s="1"/>
      <c r="H81" s="1"/>
      <c r="I81" s="1"/>
    </row>
    <row r="82" spans="2:9" x14ac:dyDescent="0.2">
      <c r="B82" s="1"/>
      <c r="C82" s="1"/>
      <c r="D82" s="1"/>
      <c r="E82" s="1"/>
      <c r="F82" s="1"/>
      <c r="G82" s="1"/>
      <c r="H82" s="1"/>
      <c r="I82" s="1"/>
    </row>
  </sheetData>
  <sortState xmlns:xlrd2="http://schemas.microsoft.com/office/spreadsheetml/2017/richdata2" ref="A2:I82">
    <sortCondition ref="A1:A82"/>
  </sortState>
  <conditionalFormatting sqref="U2:U71">
    <cfRule type="cellIs" dxfId="0" priority="4" operator="equal">
      <formula>FALSE</formula>
    </cfRule>
    <cfRule type="colorScale" priority="5">
      <colorScale>
        <cfvo type="num" val="0"/>
        <cfvo type="num" val="1"/>
        <color rgb="FFFF0000"/>
        <color rgb="FF00B05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Rep_noNaN</vt:lpstr>
      <vt:lpstr>Rep_wNaN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Rémy Lachelin</dc:creator>
  <cp:lastModifiedBy>Rémy Lachelin</cp:lastModifiedBy>
  <dcterms:created xsi:type="dcterms:W3CDTF">2025-10-29T07:48:20Z</dcterms:created>
  <dcterms:modified xsi:type="dcterms:W3CDTF">2025-10-30T16:32:21Z</dcterms:modified>
</cp:coreProperties>
</file>