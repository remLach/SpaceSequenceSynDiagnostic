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remylachelin/Documents/Tmp/WardPreprint/"/>
    </mc:Choice>
  </mc:AlternateContent>
  <xr:revisionPtr revIDLastSave="0" documentId="13_ncr:1_{EDD0C8D7-7B6E-5D48-98B1-A72E68DD5063}" xr6:coauthVersionLast="47" xr6:coauthVersionMax="47" xr10:uidLastSave="{00000000-0000-0000-0000-000000000000}"/>
  <bookViews>
    <workbookView xWindow="1200" yWindow="760" windowWidth="29040" windowHeight="15840" activeTab="1" xr2:uid="{00000000-000D-0000-FFFF-FFFF00000000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1" l="1"/>
  <c r="L3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T11" i="1" l="1"/>
  <c r="R15" i="1" l="1"/>
  <c r="R14" i="1"/>
  <c r="R13" i="1"/>
  <c r="R12" i="1"/>
  <c r="R11" i="1"/>
  <c r="Q11" i="1"/>
  <c r="R7" i="1"/>
  <c r="R6" i="1"/>
  <c r="R5" i="1"/>
  <c r="R4" i="1"/>
  <c r="R3" i="1"/>
  <c r="Q3" i="1"/>
  <c r="Q15" i="1"/>
  <c r="P15" i="1"/>
  <c r="O15" i="1"/>
  <c r="N15" i="1"/>
  <c r="M15" i="1"/>
  <c r="L15" i="1"/>
  <c r="P11" i="1"/>
  <c r="O11" i="1"/>
  <c r="N11" i="1"/>
  <c r="M11" i="1"/>
  <c r="L11" i="1"/>
  <c r="L12" i="1"/>
  <c r="Q7" i="1"/>
  <c r="P7" i="1"/>
  <c r="O7" i="1"/>
  <c r="N7" i="1"/>
  <c r="M7" i="1"/>
  <c r="L7" i="1"/>
  <c r="P3" i="1"/>
  <c r="O3" i="1"/>
  <c r="N3" i="1"/>
  <c r="M3" i="1"/>
  <c r="L4" i="1"/>
  <c r="Q14" i="1"/>
  <c r="Q13" i="1"/>
  <c r="Q12" i="1"/>
  <c r="P14" i="1"/>
  <c r="P13" i="1"/>
  <c r="P12" i="1"/>
  <c r="O14" i="1"/>
  <c r="O13" i="1"/>
  <c r="O12" i="1"/>
  <c r="N12" i="1"/>
  <c r="N14" i="1"/>
  <c r="N13" i="1"/>
  <c r="M12" i="1"/>
  <c r="M14" i="1"/>
  <c r="M13" i="1"/>
  <c r="L14" i="1"/>
  <c r="L13" i="1"/>
  <c r="T3" i="1"/>
  <c r="Q5" i="1"/>
  <c r="Q6" i="1"/>
  <c r="Q4" i="1"/>
  <c r="P6" i="1"/>
  <c r="P4" i="1"/>
  <c r="P5" i="1"/>
  <c r="O6" i="1"/>
  <c r="O4" i="1"/>
  <c r="O5" i="1"/>
  <c r="N6" i="1"/>
  <c r="N4" i="1"/>
  <c r="N5" i="1"/>
  <c r="M6" i="1"/>
  <c r="M4" i="1"/>
  <c r="M5" i="1"/>
  <c r="L6" i="1"/>
  <c r="L5" i="1"/>
  <c r="M19" i="1" l="1"/>
  <c r="N19" i="1"/>
  <c r="Q23" i="1"/>
  <c r="R19" i="1"/>
  <c r="O19" i="1"/>
  <c r="R20" i="1"/>
  <c r="M23" i="1"/>
  <c r="Q21" i="1"/>
  <c r="N23" i="1"/>
  <c r="O23" i="1"/>
  <c r="P19" i="1"/>
  <c r="Q19" i="1"/>
  <c r="R21" i="1"/>
  <c r="R22" i="1"/>
  <c r="R23" i="1"/>
  <c r="L23" i="1"/>
  <c r="P23" i="1"/>
  <c r="O22" i="1"/>
  <c r="O20" i="1"/>
  <c r="T19" i="1"/>
  <c r="P20" i="1"/>
  <c r="M20" i="1"/>
  <c r="P21" i="1"/>
  <c r="N21" i="1"/>
  <c r="P22" i="1"/>
  <c r="M22" i="1"/>
  <c r="L21" i="1"/>
  <c r="N22" i="1"/>
  <c r="Q20" i="1"/>
  <c r="L22" i="1"/>
  <c r="N20" i="1"/>
  <c r="Q22" i="1"/>
  <c r="L20" i="1"/>
  <c r="M21" i="1"/>
  <c r="O21" i="1"/>
</calcChain>
</file>

<file path=xl/sharedStrings.xml><?xml version="1.0" encoding="utf-8"?>
<sst xmlns="http://schemas.openxmlformats.org/spreadsheetml/2006/main" count="982" uniqueCount="24">
  <si>
    <t>consistency</t>
  </si>
  <si>
    <t>questionnaire</t>
  </si>
  <si>
    <t>mean_simulation</t>
  </si>
  <si>
    <t>SD_simulation</t>
  </si>
  <si>
    <t>failed</t>
  </si>
  <si>
    <t>passed</t>
  </si>
  <si>
    <t>session_id</t>
  </si>
  <si>
    <t>group</t>
  </si>
  <si>
    <t>control</t>
  </si>
  <si>
    <t>syns</t>
  </si>
  <si>
    <t>&lt;=19</t>
  </si>
  <si>
    <t>&lt;=20</t>
  </si>
  <si>
    <t>&lt;=18</t>
  </si>
  <si>
    <t>Sensitivity (Prob of classing syn as a syn)</t>
  </si>
  <si>
    <t>Original sensitivity</t>
  </si>
  <si>
    <t>Specificity (Prob of classing control as a control)</t>
  </si>
  <si>
    <t>Accuracy (mean of sensitivity+specificity)</t>
  </si>
  <si>
    <t>Original accuracy</t>
  </si>
  <si>
    <t>&lt;=17</t>
  </si>
  <si>
    <t>&lt;=21</t>
  </si>
  <si>
    <t>Original specificity</t>
  </si>
  <si>
    <t>z</t>
  </si>
  <si>
    <t>original method</t>
  </si>
  <si>
    <t>new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</si>
</sst>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Specificity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Sheet2!$A$11</c:f>
              <c:strCache>
                <c:ptCount val="1"/>
                <c:pt idx="0">
                  <c:v>&lt;=17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Sheet2!$B$10:$H$10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Sheet2!$B$11:$H$11</c:f>
              <c:numCache>
                <c:formatCode>General</c:formatCode>
                <c:ptCount val="7"/>
                <c:pt idx="0">
                  <c:v>0.97674418604651159</c:v>
                </c:pt>
                <c:pt idx="1">
                  <c:v>0.97674418604651159</c:v>
                </c:pt>
                <c:pt idx="2">
                  <c:v>0.97674418604651159</c:v>
                </c:pt>
                <c:pt idx="3">
                  <c:v>0.97209302325581393</c:v>
                </c:pt>
                <c:pt idx="4">
                  <c:v>0.97209302325581393</c:v>
                </c:pt>
                <c:pt idx="5">
                  <c:v>0.97209302325581393</c:v>
                </c:pt>
                <c:pt idx="6">
                  <c:v>0.97209302325581393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0-0645-B9AE-E3F3F99E9DBD}"/>
            </c:ext>
          </c:extLst>
        </c:ser>
        <c:ser>
          <c:idx val="1"/>
          <c:order val="1"/>
          <c:tx>
            <c:strRef>
              <c:f>Sheet2!$A$12</c:f>
              <c:strCache>
                <c:ptCount val="1"/>
                <c:pt idx="0">
                  <c:v>&lt;=18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Sheet2!$B$10:$H$10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Sheet2!$B$12:$H$12</c:f>
              <c:numCache>
                <c:formatCode>General</c:formatCode>
                <c:ptCount val="7"/>
                <c:pt idx="0">
                  <c:v>0.95348837209302328</c:v>
                </c:pt>
                <c:pt idx="1">
                  <c:v>0.94883720930232562</c:v>
                </c:pt>
                <c:pt idx="2">
                  <c:v>0.94883720930232562</c:v>
                </c:pt>
                <c:pt idx="3">
                  <c:v>0.94418604651162785</c:v>
                </c:pt>
                <c:pt idx="4">
                  <c:v>0.94418604651162785</c:v>
                </c:pt>
                <c:pt idx="5">
                  <c:v>0.94418604651162785</c:v>
                </c:pt>
                <c:pt idx="6">
                  <c:v>0.94418604651162785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0-0645-B9AE-E3F3F99E9DBD}"/>
            </c:ext>
          </c:extLst>
        </c:ser>
        <c:ser>
          <c:idx val="2"/>
          <c:order val="2"/>
          <c:tx>
            <c:strRef>
              <c:f>Sheet2!$A$13</c:f>
              <c:strCache>
                <c:ptCount val="1"/>
                <c:pt idx="0">
                  <c:v>&lt;=19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Sheet2!$B$10:$H$10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Sheet2!$B$13:$H$13</c:f>
              <c:numCache>
                <c:formatCode>General</c:formatCode>
                <c:ptCount val="7"/>
                <c:pt idx="0">
                  <c:v>0.93488372093023253</c:v>
                </c:pt>
                <c:pt idx="1">
                  <c:v>0.92558139534883721</c:v>
                </c:pt>
                <c:pt idx="2">
                  <c:v>0.92558139534883721</c:v>
                </c:pt>
                <c:pt idx="3">
                  <c:v>0.92093023255813955</c:v>
                </c:pt>
                <c:pt idx="4">
                  <c:v>0.92093023255813955</c:v>
                </c:pt>
                <c:pt idx="5">
                  <c:v>0.92093023255813955</c:v>
                </c:pt>
                <c:pt idx="6">
                  <c:v>0.92093023255813955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60-0645-B9AE-E3F3F99E9DBD}"/>
            </c:ext>
          </c:extLst>
        </c:ser>
        <c:ser>
          <c:idx val="3"/>
          <c:order val="3"/>
          <c:tx>
            <c:strRef>
              <c:f>Sheet2!$A$14</c:f>
              <c:strCache>
                <c:ptCount val="1"/>
                <c:pt idx="0">
                  <c:v>&lt;=20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Sheet2!$B$10:$H$10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Sheet2!$B$14:$H$14</c:f>
              <c:numCache>
                <c:formatCode>General</c:formatCode>
                <c:ptCount val="7"/>
                <c:pt idx="0">
                  <c:v>0.91627906976744189</c:v>
                </c:pt>
                <c:pt idx="1">
                  <c:v>0.90697674418604657</c:v>
                </c:pt>
                <c:pt idx="2">
                  <c:v>0.90697674418604657</c:v>
                </c:pt>
                <c:pt idx="3">
                  <c:v>0.9023255813953488</c:v>
                </c:pt>
                <c:pt idx="4">
                  <c:v>0.89767441860465114</c:v>
                </c:pt>
                <c:pt idx="5">
                  <c:v>0.89767441860465114</c:v>
                </c:pt>
                <c:pt idx="6">
                  <c:v>0.89767441860465114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60-0645-B9AE-E3F3F99E9DBD}"/>
            </c:ext>
          </c:extLst>
        </c:ser>
        <c:ser>
          <c:idx val="4"/>
          <c:order val="4"/>
          <c:tx>
            <c:strRef>
              <c:f>Sheet2!$A$15</c:f>
              <c:strCache>
                <c:ptCount val="1"/>
                <c:pt idx="0">
                  <c:v>&lt;=21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Sheet2!$B$10:$H$10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Sheet2!$B$15:$H$15</c:f>
              <c:numCache>
                <c:formatCode>General</c:formatCode>
                <c:ptCount val="7"/>
                <c:pt idx="0">
                  <c:v>0.89767441860465114</c:v>
                </c:pt>
                <c:pt idx="1">
                  <c:v>0.88372093023255816</c:v>
                </c:pt>
                <c:pt idx="2">
                  <c:v>0.88372093023255816</c:v>
                </c:pt>
                <c:pt idx="3">
                  <c:v>0.87906976744186049</c:v>
                </c:pt>
                <c:pt idx="4">
                  <c:v>0.87441860465116283</c:v>
                </c:pt>
                <c:pt idx="5">
                  <c:v>0.87441860465116283</c:v>
                </c:pt>
                <c:pt idx="6">
                  <c:v>0.87441860465116283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60-0645-B9AE-E3F3F99E9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606128"/>
        <c:axId val="838475520"/>
      </c:lineChart>
      <c:catAx>
        <c:axId val="8386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38475520"/>
        <c:crosses val="autoZero"/>
        <c:auto val="1"/>
        <c:lblAlgn val="ctr"/>
        <c:lblOffset val="100"/>
        <c:noMultiLvlLbl val="0"/>
      </c:catAx>
      <c:valAx>
        <c:axId val="8384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3860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&lt;=17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Sheet2!$B$2:$H$2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Sheet2!$B$3:$H$3</c:f>
              <c:numCache>
                <c:formatCode>General</c:formatCode>
                <c:ptCount val="7"/>
                <c:pt idx="0">
                  <c:v>0.6785714285714286</c:v>
                </c:pt>
                <c:pt idx="1">
                  <c:v>0.73412698412698407</c:v>
                </c:pt>
                <c:pt idx="2">
                  <c:v>0.74603174603174605</c:v>
                </c:pt>
                <c:pt idx="3">
                  <c:v>0.74603174603174605</c:v>
                </c:pt>
                <c:pt idx="4">
                  <c:v>0.75396825396825395</c:v>
                </c:pt>
                <c:pt idx="5">
                  <c:v>0.75396825396825395</c:v>
                </c:pt>
                <c:pt idx="6">
                  <c:v>0.75793650793650791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E3-4341-92D0-47C8034AD9DC}"/>
            </c:ext>
          </c:extLst>
        </c:ser>
        <c:ser>
          <c:idx val="1"/>
          <c:order val="1"/>
          <c:tx>
            <c:strRef>
              <c:f>Sheet2!$A$4</c:f>
              <c:strCache>
                <c:ptCount val="1"/>
                <c:pt idx="0">
                  <c:v>&lt;=18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Sheet2!$B$2:$H$2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Sheet2!$B$4:$H$4</c:f>
              <c:numCache>
                <c:formatCode>General</c:formatCode>
                <c:ptCount val="7"/>
                <c:pt idx="0">
                  <c:v>0.70238095238095233</c:v>
                </c:pt>
                <c:pt idx="1">
                  <c:v>0.76190476190476186</c:v>
                </c:pt>
                <c:pt idx="2">
                  <c:v>0.77380952380952384</c:v>
                </c:pt>
                <c:pt idx="3">
                  <c:v>0.77380952380952384</c:v>
                </c:pt>
                <c:pt idx="4">
                  <c:v>0.78174603174603174</c:v>
                </c:pt>
                <c:pt idx="5">
                  <c:v>0.78174603174603174</c:v>
                </c:pt>
                <c:pt idx="6">
                  <c:v>0.7857142857142857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E3-4341-92D0-47C8034AD9DC}"/>
            </c:ext>
          </c:extLst>
        </c:ser>
        <c:ser>
          <c:idx val="2"/>
          <c:order val="2"/>
          <c:tx>
            <c:strRef>
              <c:f>Sheet2!$A$5</c:f>
              <c:strCache>
                <c:ptCount val="1"/>
                <c:pt idx="0">
                  <c:v>&lt;=19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Sheet2!$B$2:$H$2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Sheet2!$B$5:$H$5</c:f>
              <c:numCache>
                <c:formatCode>General</c:formatCode>
                <c:ptCount val="7"/>
                <c:pt idx="0">
                  <c:v>0.73015873015873012</c:v>
                </c:pt>
                <c:pt idx="1">
                  <c:v>0.78968253968253965</c:v>
                </c:pt>
                <c:pt idx="2">
                  <c:v>0.80158730158730163</c:v>
                </c:pt>
                <c:pt idx="3">
                  <c:v>0.80158730158730163</c:v>
                </c:pt>
                <c:pt idx="4">
                  <c:v>0.80952380952380953</c:v>
                </c:pt>
                <c:pt idx="5">
                  <c:v>0.81349206349206349</c:v>
                </c:pt>
                <c:pt idx="6">
                  <c:v>0.81746031746031744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E3-4341-92D0-47C8034AD9DC}"/>
            </c:ext>
          </c:extLst>
        </c:ser>
        <c:ser>
          <c:idx val="3"/>
          <c:order val="3"/>
          <c:tx>
            <c:strRef>
              <c:f>Sheet2!$A$6</c:f>
              <c:strCache>
                <c:ptCount val="1"/>
                <c:pt idx="0">
                  <c:v>&lt;=20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Sheet2!$B$2:$H$2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Sheet2!$B$6:$H$6</c:f>
              <c:numCache>
                <c:formatCode>General</c:formatCode>
                <c:ptCount val="7"/>
                <c:pt idx="0">
                  <c:v>0.73412698412698407</c:v>
                </c:pt>
                <c:pt idx="1">
                  <c:v>0.80158730158730163</c:v>
                </c:pt>
                <c:pt idx="2">
                  <c:v>0.81349206349206349</c:v>
                </c:pt>
                <c:pt idx="3">
                  <c:v>0.81349206349206349</c:v>
                </c:pt>
                <c:pt idx="4">
                  <c:v>0.82936507936507942</c:v>
                </c:pt>
                <c:pt idx="5">
                  <c:v>0.83333333333333337</c:v>
                </c:pt>
                <c:pt idx="6">
                  <c:v>0.83730158730158732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E3-4341-92D0-47C8034AD9DC}"/>
            </c:ext>
          </c:extLst>
        </c:ser>
        <c:ser>
          <c:idx val="4"/>
          <c:order val="4"/>
          <c:tx>
            <c:strRef>
              <c:f>Sheet2!$A$7</c:f>
              <c:strCache>
                <c:ptCount val="1"/>
                <c:pt idx="0">
                  <c:v>&lt;=21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Sheet2!$B$2:$H$2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Sheet2!$B$7:$H$7</c:f>
              <c:numCache>
                <c:formatCode>General</c:formatCode>
                <c:ptCount val="7"/>
                <c:pt idx="0">
                  <c:v>0.75</c:v>
                </c:pt>
                <c:pt idx="1">
                  <c:v>0.8214285714285714</c:v>
                </c:pt>
                <c:pt idx="2">
                  <c:v>0.83730158730158732</c:v>
                </c:pt>
                <c:pt idx="3">
                  <c:v>0.83730158730158732</c:v>
                </c:pt>
                <c:pt idx="4">
                  <c:v>0.85317460317460314</c:v>
                </c:pt>
                <c:pt idx="5">
                  <c:v>0.8571428571428571</c:v>
                </c:pt>
                <c:pt idx="6">
                  <c:v>0.86111111111111116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E3-4341-92D0-47C8034AD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347471"/>
        <c:axId val="315938479"/>
      </c:lineChart>
      <c:catAx>
        <c:axId val="31634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15938479"/>
        <c:crosses val="autoZero"/>
        <c:auto val="1"/>
        <c:lblAlgn val="ctr"/>
        <c:lblOffset val="100"/>
        <c:noMultiLvlLbl val="0"/>
      </c:catAx>
      <c:valAx>
        <c:axId val="3159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1634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Sheet2!$A$19</c:f>
              <c:strCache>
                <c:ptCount val="1"/>
                <c:pt idx="0">
                  <c:v>&lt;=17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Sheet2!$B$18:$H$18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Sheet2!$B$19:$H$19</c:f>
              <c:numCache>
                <c:formatCode>General</c:formatCode>
                <c:ptCount val="7"/>
                <c:pt idx="0">
                  <c:v>0.82765780730897009</c:v>
                </c:pt>
                <c:pt idx="1">
                  <c:v>0.85543558508674788</c:v>
                </c:pt>
                <c:pt idx="2">
                  <c:v>0.86138796603912882</c:v>
                </c:pt>
                <c:pt idx="3">
                  <c:v>0.85906238464377993</c:v>
                </c:pt>
                <c:pt idx="4">
                  <c:v>0.86303063861203388</c:v>
                </c:pt>
                <c:pt idx="5">
                  <c:v>0.86303063861203388</c:v>
                </c:pt>
                <c:pt idx="6">
                  <c:v>0.86501476559616086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3-8541-82D3-6818C425B07B}"/>
            </c:ext>
          </c:extLst>
        </c:ser>
        <c:ser>
          <c:idx val="1"/>
          <c:order val="1"/>
          <c:tx>
            <c:strRef>
              <c:f>Sheet2!$A$20</c:f>
              <c:strCache>
                <c:ptCount val="1"/>
                <c:pt idx="0">
                  <c:v>&lt;=18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Sheet2!$B$18:$H$18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Sheet2!$B$20:$H$20</c:f>
              <c:numCache>
                <c:formatCode>General</c:formatCode>
                <c:ptCount val="7"/>
                <c:pt idx="0">
                  <c:v>0.82793466223698786</c:v>
                </c:pt>
                <c:pt idx="1">
                  <c:v>0.85537098560354374</c:v>
                </c:pt>
                <c:pt idx="2">
                  <c:v>0.86132336655592479</c:v>
                </c:pt>
                <c:pt idx="3">
                  <c:v>0.8589977851605759</c:v>
                </c:pt>
                <c:pt idx="4">
                  <c:v>0.86296603912882985</c:v>
                </c:pt>
                <c:pt idx="5">
                  <c:v>0.86296603912882985</c:v>
                </c:pt>
                <c:pt idx="6">
                  <c:v>0.86495016611295683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3-8541-82D3-6818C425B07B}"/>
            </c:ext>
          </c:extLst>
        </c:ser>
        <c:ser>
          <c:idx val="2"/>
          <c:order val="2"/>
          <c:tx>
            <c:strRef>
              <c:f>Sheet2!$A$21</c:f>
              <c:strCache>
                <c:ptCount val="1"/>
                <c:pt idx="0">
                  <c:v>&lt;=19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Sheet2!$B$18:$H$18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Sheet2!$B$21:$H$21</c:f>
              <c:numCache>
                <c:formatCode>General</c:formatCode>
                <c:ptCount val="7"/>
                <c:pt idx="0">
                  <c:v>0.83252122554448138</c:v>
                </c:pt>
                <c:pt idx="1">
                  <c:v>0.85763196751568849</c:v>
                </c:pt>
                <c:pt idx="2">
                  <c:v>0.86358434846806942</c:v>
                </c:pt>
                <c:pt idx="3">
                  <c:v>0.86125876707272053</c:v>
                </c:pt>
                <c:pt idx="4">
                  <c:v>0.86522702104097449</c:v>
                </c:pt>
                <c:pt idx="5">
                  <c:v>0.86721114802510146</c:v>
                </c:pt>
                <c:pt idx="6">
                  <c:v>0.86919527500922844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3-8541-82D3-6818C425B07B}"/>
            </c:ext>
          </c:extLst>
        </c:ser>
        <c:ser>
          <c:idx val="3"/>
          <c:order val="3"/>
          <c:tx>
            <c:strRef>
              <c:f>Sheet2!$A$22</c:f>
              <c:strCache>
                <c:ptCount val="1"/>
                <c:pt idx="0">
                  <c:v>&lt;=20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Sheet2!$B$18:$H$18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Sheet2!$B$22:$H$22</c:f>
              <c:numCache>
                <c:formatCode>General</c:formatCode>
                <c:ptCount val="7"/>
                <c:pt idx="0">
                  <c:v>0.82520302694721304</c:v>
                </c:pt>
                <c:pt idx="1">
                  <c:v>0.8542820228866741</c:v>
                </c:pt>
                <c:pt idx="2">
                  <c:v>0.86023440383905503</c:v>
                </c:pt>
                <c:pt idx="3">
                  <c:v>0.85790882244370614</c:v>
                </c:pt>
                <c:pt idx="4">
                  <c:v>0.86351974898486528</c:v>
                </c:pt>
                <c:pt idx="5">
                  <c:v>0.86550387596899225</c:v>
                </c:pt>
                <c:pt idx="6">
                  <c:v>0.86748800295311923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3-8541-82D3-6818C425B07B}"/>
            </c:ext>
          </c:extLst>
        </c:ser>
        <c:ser>
          <c:idx val="4"/>
          <c:order val="4"/>
          <c:tx>
            <c:strRef>
              <c:f>Sheet2!$A$23</c:f>
              <c:strCache>
                <c:ptCount val="1"/>
                <c:pt idx="0">
                  <c:v>&lt;=21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Sheet2!$B$18:$H$18</c:f>
              <c:numCache>
                <c:formatCode>General</c:formatCode>
                <c:ptCount val="7"/>
                <c:pt idx="0">
                  <c:v>-4.5</c:v>
                </c:pt>
                <c:pt idx="1">
                  <c:v>-4</c:v>
                </c:pt>
                <c:pt idx="2">
                  <c:v>-3.5</c:v>
                </c:pt>
                <c:pt idx="3">
                  <c:v>-3</c:v>
                </c:pt>
                <c:pt idx="4">
                  <c:v>-2.5</c:v>
                </c:pt>
                <c:pt idx="5">
                  <c:v>-2</c:v>
                </c:pt>
                <c:pt idx="6">
                  <c:v>-1.5</c:v>
                </c:pt>
              </c:numCache>
            </c:numRef>
          </c:cat>
          <c:val>
            <c:numRef>
              <c:f>Sheet2!$B$23:$H$23</c:f>
              <c:numCache>
                <c:formatCode>General</c:formatCode>
                <c:ptCount val="7"/>
                <c:pt idx="0">
                  <c:v>0.82383720930232562</c:v>
                </c:pt>
                <c:pt idx="1">
                  <c:v>0.85257475083056478</c:v>
                </c:pt>
                <c:pt idx="2">
                  <c:v>0.86051125876707268</c:v>
                </c:pt>
                <c:pt idx="3">
                  <c:v>0.85818567737172391</c:v>
                </c:pt>
                <c:pt idx="4">
                  <c:v>0.86379660391288304</c:v>
                </c:pt>
                <c:pt idx="5">
                  <c:v>0.86578073089701002</c:v>
                </c:pt>
                <c:pt idx="6">
                  <c:v>0.867764857881137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3-8541-82D3-6818C425B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488111"/>
        <c:axId val="316657615"/>
      </c:lineChart>
      <c:catAx>
        <c:axId val="3164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16657615"/>
        <c:crosses val="autoZero"/>
        <c:auto val="1"/>
        <c:lblAlgn val="ctr"/>
        <c:lblOffset val="100"/>
        <c:noMultiLvlLbl val="0"/>
      </c:catAx>
      <c:valAx>
        <c:axId val="31665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3164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14</xdr:row>
      <xdr:rowOff>95250</xdr:rowOff>
    </xdr:from>
    <xdr:to>
      <xdr:col>15</xdr:col>
      <xdr:colOff>444500</xdr:colOff>
      <xdr:row>28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31FE4A-E6D8-3B59-3C82-1BCAF3A7B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</xdr:colOff>
      <xdr:row>0</xdr:row>
      <xdr:rowOff>19050</xdr:rowOff>
    </xdr:from>
    <xdr:to>
      <xdr:col>15</xdr:col>
      <xdr:colOff>450850</xdr:colOff>
      <xdr:row>14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D42229-9DE6-2B59-E652-DEFB1EF76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811714</xdr:colOff>
      <xdr:row>0</xdr:row>
      <xdr:rowOff>19358</xdr:rowOff>
    </xdr:from>
    <xdr:to>
      <xdr:col>25</xdr:col>
      <xdr:colOff>216830</xdr:colOff>
      <xdr:row>29</xdr:row>
      <xdr:rowOff>15488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570CF3-1299-AC89-4B7B-AC5477078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1"/>
  <sheetViews>
    <sheetView workbookViewId="0">
      <selection activeCell="K30" sqref="K30"/>
    </sheetView>
  </sheetViews>
  <sheetFormatPr baseColWidth="10" defaultColWidth="8.83203125" defaultRowHeight="15" x14ac:dyDescent="0.2"/>
  <cols>
    <col min="12" max="18" width="7.6640625" customWidth="1"/>
    <col min="19" max="19" width="6.33203125" customWidth="1"/>
    <col min="20" max="20" width="17.33203125" customWidth="1"/>
  </cols>
  <sheetData>
    <row r="1" spans="1:20" s="1" customFormat="1" x14ac:dyDescent="0.2">
      <c r="A1" s="1" t="s">
        <v>6</v>
      </c>
      <c r="B1" s="1" t="s">
        <v>7</v>
      </c>
      <c r="C1" s="1" t="s">
        <v>0</v>
      </c>
      <c r="D1" s="1" t="s">
        <v>1</v>
      </c>
      <c r="E1" s="1" t="s">
        <v>22</v>
      </c>
      <c r="F1" s="2" t="s">
        <v>2</v>
      </c>
      <c r="G1" s="2" t="s">
        <v>3</v>
      </c>
      <c r="H1" s="2" t="s">
        <v>21</v>
      </c>
      <c r="I1" s="2" t="s">
        <v>23</v>
      </c>
      <c r="K1" s="3" t="s">
        <v>13</v>
      </c>
      <c r="L1"/>
      <c r="M1"/>
      <c r="N1"/>
      <c r="O1"/>
      <c r="P1"/>
      <c r="Q1"/>
      <c r="R1"/>
    </row>
    <row r="2" spans="1:20" x14ac:dyDescent="0.2">
      <c r="A2">
        <v>32145</v>
      </c>
      <c r="B2" t="s">
        <v>8</v>
      </c>
      <c r="C2">
        <v>0.30833666763664003</v>
      </c>
      <c r="D2">
        <v>35</v>
      </c>
      <c r="E2" t="s">
        <v>4</v>
      </c>
      <c r="F2">
        <v>0.13405932180270619</v>
      </c>
      <c r="G2">
        <v>3.6428582090507922E-2</v>
      </c>
      <c r="H2">
        <v>4.7840826030764037</v>
      </c>
      <c r="I2" t="str">
        <f>IF((H2&lt;-2)*AND(D2&lt;=19),"passed","failed")</f>
        <v>failed</v>
      </c>
      <c r="K2" s="1"/>
      <c r="L2" s="1">
        <v>-4.5</v>
      </c>
      <c r="M2" s="1">
        <v>-4</v>
      </c>
      <c r="N2" s="1">
        <v>-3.5</v>
      </c>
      <c r="O2" s="1">
        <v>-3</v>
      </c>
      <c r="P2" s="1">
        <v>-2.5</v>
      </c>
      <c r="Q2" s="1">
        <v>-2</v>
      </c>
      <c r="R2" s="1">
        <v>-1.5</v>
      </c>
      <c r="T2" s="1" t="s">
        <v>14</v>
      </c>
    </row>
    <row r="3" spans="1:20" x14ac:dyDescent="0.2">
      <c r="A3">
        <v>32190</v>
      </c>
      <c r="B3" t="s">
        <v>8</v>
      </c>
      <c r="C3">
        <v>6.6297245843577005E-2</v>
      </c>
      <c r="D3">
        <v>30</v>
      </c>
      <c r="E3" t="s">
        <v>4</v>
      </c>
      <c r="F3">
        <v>8.2055125765046366E-2</v>
      </c>
      <c r="G3">
        <v>3.6429634510089542E-2</v>
      </c>
      <c r="H3">
        <v>-0.39619006502855891</v>
      </c>
      <c r="I3" t="str">
        <f t="shared" ref="I3:I66" si="0">IF((H3&lt;-2)*AND(D3&lt;=19),"passed","failed")</f>
        <v>failed</v>
      </c>
      <c r="K3" t="s">
        <v>18</v>
      </c>
      <c r="L3" s="4">
        <f>COUNTIFS(B2:B468,"syns",D2:D468,"&lt;=17",H2:H468,"&lt;=-4.5")/252</f>
        <v>0.6785714285714286</v>
      </c>
      <c r="M3" s="4">
        <f>COUNTIFS(B2:B468,"syns",D2:D468,"&lt;=17",H2:H468,"&lt;=-4")/252</f>
        <v>0.73412698412698407</v>
      </c>
      <c r="N3" s="4">
        <f>COUNTIFS(B2:B468,"syns",D2:D468,"&lt;=17",H2:H468,"&lt;=-3.5")/252</f>
        <v>0.74603174603174605</v>
      </c>
      <c r="O3" s="4">
        <f>COUNTIFS(B2:B468,"syns",D2:D468,"&lt;=17",H2:H468,"&lt;=-3")/252</f>
        <v>0.74603174603174605</v>
      </c>
      <c r="P3" s="4">
        <f>COUNTIFS(B2:B468,"syns",D2:D468,"&lt;=17",H2:H468,"&lt;=-2.5")/252</f>
        <v>0.75396825396825395</v>
      </c>
      <c r="Q3" s="4">
        <f>COUNTIFS(B2:B468,"syns",D2:D468,"&lt;=17",H2:H468,"&lt;=-2")/252</f>
        <v>0.75396825396825395</v>
      </c>
      <c r="R3" s="4">
        <f>COUNTIFS(B2:B468,"syns",D2:D468,"&lt;=17",H2:H468,"&lt;=-1.5")/252</f>
        <v>0.75793650793650791</v>
      </c>
      <c r="S3" s="4"/>
      <c r="T3" s="4">
        <f>COUNTIFS(B2:B468,"syns",E2:E468,"passed")/252</f>
        <v>0.67063492063492058</v>
      </c>
    </row>
    <row r="4" spans="1:20" x14ac:dyDescent="0.2">
      <c r="A4">
        <v>32513</v>
      </c>
      <c r="B4" t="s">
        <v>8</v>
      </c>
      <c r="C4">
        <v>1.3399243400648001E-15</v>
      </c>
      <c r="D4">
        <v>24</v>
      </c>
      <c r="E4" t="s">
        <v>4</v>
      </c>
      <c r="F4">
        <v>7.5433602712050131E-3</v>
      </c>
      <c r="G4">
        <v>1.176613936469495E-2</v>
      </c>
      <c r="H4">
        <v>-0.64110750666776439</v>
      </c>
      <c r="I4" t="str">
        <f t="shared" si="0"/>
        <v>failed</v>
      </c>
      <c r="K4" t="s">
        <v>12</v>
      </c>
      <c r="L4" s="4">
        <f>COUNTIFS(B2:B468,"syns",D2:D468,"&lt;=18",H2:H468,"&lt;=-4.5")/252</f>
        <v>0.70238095238095233</v>
      </c>
      <c r="M4" s="4">
        <f>COUNTIFS(B2:B468,"syns",D2:D468,"&lt;=18",H2:H468,"&lt;=-4")/252</f>
        <v>0.76190476190476186</v>
      </c>
      <c r="N4" s="4">
        <f>COUNTIFS(B2:B468,"syns",D2:D468,"&lt;=18",H2:H468,"&lt;=-3.5")/252</f>
        <v>0.77380952380952384</v>
      </c>
      <c r="O4" s="4">
        <f>COUNTIFS(B2:B468,"syns",D2:D468,"&lt;=18",H2:H468,"&lt;=-3")/252</f>
        <v>0.77380952380952384</v>
      </c>
      <c r="P4" s="4">
        <f>COUNTIFS(B2:B468,"syns",D2:D468,"&lt;=18",H2:H468,"&lt;=-2.5")/252</f>
        <v>0.78174603174603174</v>
      </c>
      <c r="Q4" s="4">
        <f>COUNTIFS(B2:B468,"syns",D2:D468,"&lt;=18",H2:H468,"&lt;=-2")/252</f>
        <v>0.78174603174603174</v>
      </c>
      <c r="R4" s="4">
        <f>COUNTIFS(B2:B468,"syns",D2:D468,"&lt;=18",H2:H468,"&lt;=-1.5")/252</f>
        <v>0.7857142857142857</v>
      </c>
      <c r="S4" s="4"/>
      <c r="T4" s="4"/>
    </row>
    <row r="5" spans="1:20" x14ac:dyDescent="0.2">
      <c r="A5">
        <v>32633</v>
      </c>
      <c r="B5" t="s">
        <v>8</v>
      </c>
      <c r="C5">
        <v>6.8672920378962002E-4</v>
      </c>
      <c r="D5">
        <v>22</v>
      </c>
      <c r="E5" t="s">
        <v>4</v>
      </c>
      <c r="F5">
        <v>6.7731031425776484E-3</v>
      </c>
      <c r="G5">
        <v>2.854479010441449E-3</v>
      </c>
      <c r="H5">
        <v>-2.1322188450246191</v>
      </c>
      <c r="I5" t="str">
        <f t="shared" si="0"/>
        <v>failed</v>
      </c>
      <c r="K5" t="s">
        <v>10</v>
      </c>
      <c r="L5" s="4">
        <f>COUNTIFS(B2:B468,"syns",D2:D468,"&lt;=19",H2:H468,"&lt;=-4.5")/252</f>
        <v>0.73015873015873012</v>
      </c>
      <c r="M5" s="4">
        <f>COUNTIFS(B2:B468,"syns",D2:D468,"&lt;=19",H2:H468,"&lt;=-4")/252</f>
        <v>0.78968253968253965</v>
      </c>
      <c r="N5" s="4">
        <f>COUNTIFS(B2:B468,"syns",D2:D468,"&lt;=19",H2:H468,"&lt;=-3.5")/252</f>
        <v>0.80158730158730163</v>
      </c>
      <c r="O5" s="4">
        <f>COUNTIFS(B2:B468,"syns",D2:D468,"&lt;=19",H2:H468,"&lt;=-3")/252</f>
        <v>0.80158730158730163</v>
      </c>
      <c r="P5" s="4">
        <f>COUNTIFS(B2:B468,"syns",D2:D468,"&lt;=19",H2:H468,"&lt;=-2.5")/252</f>
        <v>0.80952380952380953</v>
      </c>
      <c r="Q5" s="4">
        <f>COUNTIFS(B2:B468,"syns",D2:D468,"&lt;=19",H2:H468,"&lt;=-2")/252</f>
        <v>0.81349206349206349</v>
      </c>
      <c r="R5" s="4">
        <f>COUNTIFS(B2:B468,"syns",D2:D468,"&lt;=19",H2:H468,"&lt;=-1.5")/252</f>
        <v>0.81746031746031744</v>
      </c>
      <c r="S5" s="4"/>
      <c r="T5" s="4"/>
    </row>
    <row r="6" spans="1:20" x14ac:dyDescent="0.2">
      <c r="A6">
        <v>32846</v>
      </c>
      <c r="B6" t="s">
        <v>8</v>
      </c>
      <c r="C6">
        <v>3.2298022799316E-3</v>
      </c>
      <c r="D6">
        <v>23</v>
      </c>
      <c r="E6" t="s">
        <v>4</v>
      </c>
      <c r="F6">
        <v>1.47363978761648E-3</v>
      </c>
      <c r="G6">
        <v>3.7921075768900398E-4</v>
      </c>
      <c r="H6">
        <v>4.6310988196009113</v>
      </c>
      <c r="I6" t="str">
        <f t="shared" si="0"/>
        <v>failed</v>
      </c>
      <c r="K6" t="s">
        <v>11</v>
      </c>
      <c r="L6" s="4">
        <f>COUNTIFS(B2:B468,"syns",D2:D468,"&lt;=20",H2:H468,"&lt;=-4.5")/252</f>
        <v>0.73412698412698407</v>
      </c>
      <c r="M6" s="4">
        <f>COUNTIFS(B2:B468,"syns",D2:D468,"&lt;=20",H2:H468,"&lt;=-4")/252</f>
        <v>0.80158730158730163</v>
      </c>
      <c r="N6" s="4">
        <f>COUNTIFS(B2:B468,"syns",D2:D468,"&lt;=20",H2:H468,"&lt;=-3.5")/252</f>
        <v>0.81349206349206349</v>
      </c>
      <c r="O6" s="4">
        <f>COUNTIFS(B2:B468,"syns",D2:D468,"&lt;=20",H2:H468,"&lt;=-3")/252</f>
        <v>0.81349206349206349</v>
      </c>
      <c r="P6" s="4">
        <f>COUNTIFS(B2:B468,"syns",D2:D468,"&lt;=20",H2:H468,"&lt;=-2.5")/252</f>
        <v>0.82936507936507942</v>
      </c>
      <c r="Q6" s="4">
        <f>COUNTIFS(B2:B468,"syns",D2:D468,"&lt;=20",H2:H468,"&lt;=-2")/252</f>
        <v>0.83333333333333337</v>
      </c>
      <c r="R6" s="4">
        <f>COUNTIFS(B2:B468,"syns",D2:D468,"&lt;=20",H2:H468,"&lt;=-1.5")/252</f>
        <v>0.83730158730158732</v>
      </c>
      <c r="S6" s="4"/>
      <c r="T6" s="4"/>
    </row>
    <row r="7" spans="1:20" x14ac:dyDescent="0.2">
      <c r="A7">
        <v>32959</v>
      </c>
      <c r="B7" t="s">
        <v>8</v>
      </c>
      <c r="C7">
        <v>1.9968775404865E-2</v>
      </c>
      <c r="D7">
        <v>31</v>
      </c>
      <c r="E7" t="s">
        <v>4</v>
      </c>
      <c r="F7">
        <v>1.1447401712913819E-2</v>
      </c>
      <c r="G7">
        <v>4.9870759739108006E-3</v>
      </c>
      <c r="H7">
        <v>1.7086913727653861</v>
      </c>
      <c r="I7" t="str">
        <f t="shared" si="0"/>
        <v>failed</v>
      </c>
      <c r="K7" t="s">
        <v>19</v>
      </c>
      <c r="L7" s="4">
        <f>COUNTIFS(B2:B468,"syns",D2:D468,"&lt;=21",H2:H468,"&lt;=-4.5")/252</f>
        <v>0.75</v>
      </c>
      <c r="M7" s="4">
        <f>COUNTIFS(B2:B468,"syns",D2:D468,"&lt;=21",H2:H468,"&lt;=-4")/252</f>
        <v>0.8214285714285714</v>
      </c>
      <c r="N7" s="4">
        <f>COUNTIFS(B2:B468,"syns",D2:D468,"&lt;=21",H2:H468,"&lt;=-3.5")/252</f>
        <v>0.83730158730158732</v>
      </c>
      <c r="O7" s="4">
        <f>COUNTIFS(B2:B468,"syns",D2:D468,"&lt;=21",H2:H468,"&lt;=-3")/252</f>
        <v>0.83730158730158732</v>
      </c>
      <c r="P7" s="4">
        <f>COUNTIFS(B2:B468,"syns",D2:D468,"&lt;=21",H2:H468,"&lt;=-2.5")/252</f>
        <v>0.85317460317460314</v>
      </c>
      <c r="Q7" s="4">
        <f>COUNTIFS(B2:B468,"syns",D2:D468,"&lt;=21",H2:H468,"&lt;=-2")/252</f>
        <v>0.8571428571428571</v>
      </c>
      <c r="R7" s="4">
        <f>COUNTIFS(B2:B468,"syns",D2:D468,"&lt;=21",H2:H468,"&lt;=-1.5")/252</f>
        <v>0.86111111111111116</v>
      </c>
      <c r="S7" s="4"/>
      <c r="T7" s="4"/>
    </row>
    <row r="8" spans="1:20" x14ac:dyDescent="0.2">
      <c r="A8">
        <v>33010</v>
      </c>
      <c r="B8" t="s">
        <v>8</v>
      </c>
      <c r="C8">
        <v>0.84104990100689003</v>
      </c>
      <c r="D8">
        <v>11</v>
      </c>
      <c r="E8" t="s">
        <v>4</v>
      </c>
      <c r="F8">
        <v>0.69807852939256909</v>
      </c>
      <c r="G8">
        <v>0.1059072624189773</v>
      </c>
      <c r="H8">
        <v>1.349967588140609</v>
      </c>
      <c r="I8" t="str">
        <f t="shared" si="0"/>
        <v>failed</v>
      </c>
    </row>
    <row r="9" spans="1:20" x14ac:dyDescent="0.2">
      <c r="A9">
        <v>33327</v>
      </c>
      <c r="B9" t="s">
        <v>8</v>
      </c>
      <c r="C9">
        <v>1.5559973246135001E-2</v>
      </c>
      <c r="D9">
        <v>25</v>
      </c>
      <c r="E9" t="s">
        <v>4</v>
      </c>
      <c r="F9">
        <v>9.067078669509742E-3</v>
      </c>
      <c r="G9">
        <v>4.5151769115471451E-3</v>
      </c>
      <c r="H9">
        <v>1.43801554265146</v>
      </c>
      <c r="I9" t="str">
        <f t="shared" si="0"/>
        <v>failed</v>
      </c>
      <c r="K9" s="3" t="s">
        <v>15</v>
      </c>
      <c r="S9" s="1"/>
      <c r="T9" s="1"/>
    </row>
    <row r="10" spans="1:20" x14ac:dyDescent="0.2">
      <c r="A10">
        <v>33342</v>
      </c>
      <c r="B10" t="s">
        <v>8</v>
      </c>
      <c r="C10">
        <v>6.2529445115552001E-2</v>
      </c>
      <c r="D10">
        <v>42</v>
      </c>
      <c r="E10" t="s">
        <v>4</v>
      </c>
      <c r="F10">
        <v>3.7821333729150371E-2</v>
      </c>
      <c r="G10">
        <v>2.4302617854096941E-2</v>
      </c>
      <c r="H10">
        <v>1.016685179133229</v>
      </c>
      <c r="I10" t="str">
        <f t="shared" si="0"/>
        <v>failed</v>
      </c>
      <c r="K10" s="1"/>
      <c r="L10" s="1">
        <v>-4.5</v>
      </c>
      <c r="M10" s="1">
        <v>-4</v>
      </c>
      <c r="N10" s="1">
        <v>-3.5</v>
      </c>
      <c r="O10" s="1">
        <v>-3</v>
      </c>
      <c r="P10" s="1">
        <v>-2.5</v>
      </c>
      <c r="Q10" s="1">
        <v>-2</v>
      </c>
      <c r="R10" s="1">
        <v>-1.5</v>
      </c>
      <c r="T10" s="1" t="s">
        <v>20</v>
      </c>
    </row>
    <row r="11" spans="1:20" x14ac:dyDescent="0.2">
      <c r="A11">
        <v>33361</v>
      </c>
      <c r="B11" t="s">
        <v>8</v>
      </c>
      <c r="C11">
        <v>2.9465599713019E-4</v>
      </c>
      <c r="D11">
        <v>17</v>
      </c>
      <c r="E11" t="s">
        <v>4</v>
      </c>
      <c r="F11">
        <v>5.1486108731265717E-2</v>
      </c>
      <c r="G11">
        <v>5.1588909802113593E-2</v>
      </c>
      <c r="H11">
        <v>-0.99229568778439481</v>
      </c>
      <c r="I11" t="str">
        <f t="shared" si="0"/>
        <v>failed</v>
      </c>
      <c r="K11" t="s">
        <v>18</v>
      </c>
      <c r="L11" s="4">
        <f>1-(COUNTIFS(B8:B474,"control",D8:D474,"&lt;=17",H8:H474,"&lt;=-4.5")/215)</f>
        <v>0.97674418604651159</v>
      </c>
      <c r="M11" s="4">
        <f>1-(COUNTIFS(B8:B474,"control",D8:D474,"&lt;=17",H8:H474,"&lt;=-4")/215)</f>
        <v>0.97674418604651159</v>
      </c>
      <c r="N11" s="4">
        <f>1-(COUNTIFS(B8:B474,"control",D8:D474,"&lt;=17",H8:H474,"&lt;=-3.5")/215)</f>
        <v>0.97674418604651159</v>
      </c>
      <c r="O11" s="4">
        <f>1-(COUNTIFS(B8:B474,"control",D8:D474,"&lt;=17",H8:H474,"&lt;=-3")/215)</f>
        <v>0.97209302325581393</v>
      </c>
      <c r="P11" s="4">
        <f>1-(COUNTIFS(B8:B474,"control",D8:D474,"&lt;=17",H8:H474,"&lt;=-2.5")/215)</f>
        <v>0.97209302325581393</v>
      </c>
      <c r="Q11" s="4">
        <f>1-(COUNTIFS(B8:B474,"control",D8:D474,"&lt;=17",H8:H474,"&lt;=-2")/215)</f>
        <v>0.97209302325581393</v>
      </c>
      <c r="R11" s="4">
        <f>1-(COUNTIFS(B8:B474,"control",D8:D474,"&lt;=17",H8:H474,"&lt;=-1.5")/215)</f>
        <v>0.97209302325581393</v>
      </c>
      <c r="S11" s="4"/>
      <c r="T11" s="4">
        <f>COUNTIFS(B2:B474,"control",E2:E474,"failed")/215</f>
        <v>0.94883720930232562</v>
      </c>
    </row>
    <row r="12" spans="1:20" x14ac:dyDescent="0.2">
      <c r="A12">
        <v>34096</v>
      </c>
      <c r="B12" t="s">
        <v>8</v>
      </c>
      <c r="C12">
        <v>0.68040316962730996</v>
      </c>
      <c r="D12">
        <v>20</v>
      </c>
      <c r="E12" t="s">
        <v>4</v>
      </c>
      <c r="F12">
        <v>1.346719577725271</v>
      </c>
      <c r="G12">
        <v>0.23711616622086179</v>
      </c>
      <c r="H12">
        <v>-2.810084266786447</v>
      </c>
      <c r="I12" t="str">
        <f t="shared" si="0"/>
        <v>failed</v>
      </c>
      <c r="K12" t="s">
        <v>12</v>
      </c>
      <c r="L12" s="4">
        <f>1-(COUNTIFS(B8:B474,"control",D8:D474,"&lt;=18",H8:H474,"&lt;=-4.5")/215)</f>
        <v>0.95348837209302328</v>
      </c>
      <c r="M12" s="4">
        <f>1-(COUNTIFS(B8:B474,"control",D8:D474,"&lt;=18",H8:H474,"&lt;=-4")/215)</f>
        <v>0.94883720930232562</v>
      </c>
      <c r="N12" s="4">
        <f>1-(COUNTIFS(B8:B474,"control",D8:D474,"&lt;=18",H8:H474,"&lt;=-3.5")/215)</f>
        <v>0.94883720930232562</v>
      </c>
      <c r="O12" s="4">
        <f>1-(COUNTIFS(B8:B474,"control",D8:D474,"&lt;=18",H8:H474,"&lt;=-3")/215)</f>
        <v>0.94418604651162785</v>
      </c>
      <c r="P12" s="4">
        <f>1-(COUNTIFS(B8:B474,"control",D8:D474,"&lt;=18",H8:H474,"&lt;=-2.5")/215)</f>
        <v>0.94418604651162785</v>
      </c>
      <c r="Q12" s="4">
        <f>1-(COUNTIFS(B8:B474,"control",D8:D474,"&lt;=18",H8:H474,"&lt;=-2")/215)</f>
        <v>0.94418604651162785</v>
      </c>
      <c r="R12" s="4">
        <f>1-(COUNTIFS(B8:B474,"control",D8:D474,"&lt;=18",H8:H474,"&lt;=-1.5")/215)</f>
        <v>0.94418604651162785</v>
      </c>
      <c r="S12" s="4"/>
      <c r="T12" s="4"/>
    </row>
    <row r="13" spans="1:20" x14ac:dyDescent="0.2">
      <c r="A13">
        <v>34364</v>
      </c>
      <c r="B13" t="s">
        <v>8</v>
      </c>
      <c r="C13">
        <v>3.4455197315953001E-15</v>
      </c>
      <c r="D13">
        <v>45</v>
      </c>
      <c r="E13" t="s">
        <v>4</v>
      </c>
      <c r="F13">
        <v>2.9534731091244499E-4</v>
      </c>
      <c r="G13">
        <v>2.9076315175927602E-4</v>
      </c>
      <c r="H13">
        <v>-1.015765956330547</v>
      </c>
      <c r="I13" t="str">
        <f t="shared" si="0"/>
        <v>failed</v>
      </c>
      <c r="K13" t="s">
        <v>10</v>
      </c>
      <c r="L13" s="4">
        <f>1-(COUNTIFS(B8:B474,"control",D8:D474,"&lt;=19",H8:H474,"&lt;=-4.5")/215)</f>
        <v>0.93488372093023253</v>
      </c>
      <c r="M13" s="4">
        <f>1-(COUNTIFS(B8:B474,"control",D8:D474,"&lt;=19",H8:H474,"&lt;=-4")/215)</f>
        <v>0.92558139534883721</v>
      </c>
      <c r="N13" s="4">
        <f>1-(COUNTIFS(B8:B474,"control",D8:D474,"&lt;=19",H8:H474,"&lt;=-3.5")/215)</f>
        <v>0.92558139534883721</v>
      </c>
      <c r="O13" s="4">
        <f>1-(COUNTIFS(B8:B474,"control",D8:D474,"&lt;=19",H8:H474,"&lt;=-3")/215)</f>
        <v>0.92093023255813955</v>
      </c>
      <c r="P13" s="4">
        <f>1-(COUNTIFS(B8:B474,"control",D8:D474,"&lt;=19",H8:H474,"&lt;=-2.5")/215)</f>
        <v>0.92093023255813955</v>
      </c>
      <c r="Q13" s="4">
        <f>1-(COUNTIFS(B8:B474,"control",D8:D474,"&lt;=19",H8:H474,"&lt;=-2")/215)</f>
        <v>0.92093023255813955</v>
      </c>
      <c r="R13" s="4">
        <f>1-(COUNTIFS(B8:B474,"control",D8:D474,"&lt;=19",H8:H474,"&lt;=-1.5")/215)</f>
        <v>0.92093023255813955</v>
      </c>
      <c r="S13" s="4"/>
      <c r="T13" s="4"/>
    </row>
    <row r="14" spans="1:20" x14ac:dyDescent="0.2">
      <c r="A14">
        <v>34405</v>
      </c>
      <c r="B14" t="s">
        <v>8</v>
      </c>
      <c r="C14">
        <v>7.6567105146562998E-16</v>
      </c>
      <c r="D14">
        <v>36</v>
      </c>
      <c r="E14" t="s">
        <v>4</v>
      </c>
      <c r="F14">
        <v>0</v>
      </c>
      <c r="G14">
        <v>0</v>
      </c>
      <c r="H14">
        <v>0</v>
      </c>
      <c r="I14" t="str">
        <f t="shared" si="0"/>
        <v>failed</v>
      </c>
      <c r="K14" t="s">
        <v>11</v>
      </c>
      <c r="L14" s="4">
        <f>1-(COUNTIFS(B8:B474,"control",D8:D474,"&lt;=20",H8:H474,"&lt;=-4.5")/215)</f>
        <v>0.91627906976744189</v>
      </c>
      <c r="M14" s="4">
        <f>1-(COUNTIFS(B8:B474,"control",D8:D474,"&lt;=20",H8:H474,"&lt;=-4")/215)</f>
        <v>0.90697674418604657</v>
      </c>
      <c r="N14" s="4">
        <f>1-(COUNTIFS(B8:B474,"control",D8:D474,"&lt;=20",H8:H474,"&lt;=-3.5")/215)</f>
        <v>0.90697674418604657</v>
      </c>
      <c r="O14" s="4">
        <f>1-(COUNTIFS(B8:B474,"control",D8:D474,"&lt;=20",H8:H474,"&lt;=-3")/215)</f>
        <v>0.9023255813953488</v>
      </c>
      <c r="P14" s="4">
        <f>1-(COUNTIFS(B8:B474,"control",D8:D474,"&lt;=20",H8:H474,"&lt;=-2.5")/215)</f>
        <v>0.89767441860465114</v>
      </c>
      <c r="Q14" s="4">
        <f>1-(COUNTIFS(B8:B474,"control",D8:D474,"&lt;=20",H8:H474,"&lt;=-2")/215)</f>
        <v>0.89767441860465114</v>
      </c>
      <c r="R14" s="4">
        <f>1-(COUNTIFS(B8:B474,"control",D8:D474,"&lt;=20",H8:H474,"&lt;=-1.5")/215)</f>
        <v>0.89767441860465114</v>
      </c>
      <c r="S14" s="4"/>
      <c r="T14" s="4"/>
    </row>
    <row r="15" spans="1:20" x14ac:dyDescent="0.2">
      <c r="A15">
        <v>34416</v>
      </c>
      <c r="B15" t="s">
        <v>8</v>
      </c>
      <c r="C15">
        <v>2.5841397986964999E-15</v>
      </c>
      <c r="D15">
        <v>42</v>
      </c>
      <c r="E15" t="s">
        <v>4</v>
      </c>
      <c r="F15">
        <v>1.197094535713964E-5</v>
      </c>
      <c r="G15">
        <v>3.1833685019434119E-5</v>
      </c>
      <c r="H15">
        <v>-0.37604648503091948</v>
      </c>
      <c r="I15" t="str">
        <f t="shared" si="0"/>
        <v>failed</v>
      </c>
      <c r="K15" t="s">
        <v>19</v>
      </c>
      <c r="L15" s="4">
        <f>1-(COUNTIFS(B8:B474,"control",D8:D474,"&lt;=21",H8:H474,"&lt;=-4.5")/215)</f>
        <v>0.89767441860465114</v>
      </c>
      <c r="M15" s="4">
        <f>1-(COUNTIFS(B8:B474,"control",D8:D474,"&lt;=21",H8:H474,"&lt;=-4")/215)</f>
        <v>0.88372093023255816</v>
      </c>
      <c r="N15" s="4">
        <f>1-(COUNTIFS(B8:B474,"control",D8:D474,"&lt;=21",H8:H474,"&lt;=-3.5")/215)</f>
        <v>0.88372093023255816</v>
      </c>
      <c r="O15" s="4">
        <f>1-(COUNTIFS(B8:B474,"control",D8:D474,"&lt;=21",H8:H474,"&lt;=-3")/215)</f>
        <v>0.87906976744186049</v>
      </c>
      <c r="P15" s="4">
        <f>1-(COUNTIFS(B8:B474,"control",D8:D474,"&lt;=21",H8:H474,"&lt;=-2.5")/215)</f>
        <v>0.87441860465116283</v>
      </c>
      <c r="Q15" s="4">
        <f>1-(COUNTIFS(B8:B474,"control",D8:D474,"&lt;=21",H8:H474,"&lt;=-2")/215)</f>
        <v>0.87441860465116283</v>
      </c>
      <c r="R15" s="4">
        <f>1-(COUNTIFS(B8:B474,"control",D8:D474,"&lt;=21",H8:H474,"&lt;=-1.5")/215)</f>
        <v>0.87441860465116283</v>
      </c>
      <c r="S15" s="4"/>
      <c r="T15" s="4"/>
    </row>
    <row r="16" spans="1:20" x14ac:dyDescent="0.2">
      <c r="A16">
        <v>34457</v>
      </c>
      <c r="B16" t="s">
        <v>8</v>
      </c>
      <c r="C16">
        <v>3.4878521068631E-3</v>
      </c>
      <c r="D16">
        <v>12</v>
      </c>
      <c r="E16" t="s">
        <v>4</v>
      </c>
      <c r="F16">
        <v>1.6843368212180289E-3</v>
      </c>
      <c r="G16">
        <v>1.017775866245416E-3</v>
      </c>
      <c r="H16">
        <v>1.7720161633360021</v>
      </c>
      <c r="I16" t="str">
        <f t="shared" si="0"/>
        <v>failed</v>
      </c>
    </row>
    <row r="17" spans="1:20" x14ac:dyDescent="0.2">
      <c r="A17">
        <v>34469</v>
      </c>
      <c r="B17" t="s">
        <v>8</v>
      </c>
      <c r="C17">
        <v>0.71205889642779996</v>
      </c>
      <c r="D17">
        <v>37</v>
      </c>
      <c r="E17" t="s">
        <v>4</v>
      </c>
      <c r="F17">
        <v>2.5999148629442019</v>
      </c>
      <c r="G17">
        <v>0.37964182490152082</v>
      </c>
      <c r="H17">
        <v>-4.9727291428074762</v>
      </c>
      <c r="I17" t="str">
        <f t="shared" si="0"/>
        <v>failed</v>
      </c>
      <c r="K17" s="1" t="s">
        <v>16</v>
      </c>
    </row>
    <row r="18" spans="1:20" x14ac:dyDescent="0.2">
      <c r="A18">
        <v>34720</v>
      </c>
      <c r="B18" t="s">
        <v>8</v>
      </c>
      <c r="C18">
        <v>5.2639884788262003E-15</v>
      </c>
      <c r="D18">
        <v>34</v>
      </c>
      <c r="E18" t="s">
        <v>4</v>
      </c>
      <c r="F18">
        <v>5.37028399668325E-5</v>
      </c>
      <c r="G18">
        <v>3.109031519696849E-4</v>
      </c>
      <c r="H18">
        <v>-0.172731732137823</v>
      </c>
      <c r="I18" t="str">
        <f t="shared" si="0"/>
        <v>failed</v>
      </c>
      <c r="K18" s="1"/>
      <c r="L18" s="1">
        <v>-4.5</v>
      </c>
      <c r="M18" s="1">
        <v>-4</v>
      </c>
      <c r="N18" s="1">
        <v>-3.5</v>
      </c>
      <c r="O18" s="1">
        <v>-3</v>
      </c>
      <c r="P18" s="1">
        <v>-2.5</v>
      </c>
      <c r="Q18" s="1">
        <v>-2</v>
      </c>
      <c r="R18" s="1">
        <v>-1.5</v>
      </c>
      <c r="T18" s="1" t="s">
        <v>17</v>
      </c>
    </row>
    <row r="19" spans="1:20" x14ac:dyDescent="0.2">
      <c r="A19">
        <v>34732</v>
      </c>
      <c r="B19" t="s">
        <v>8</v>
      </c>
      <c r="C19">
        <v>0.21211713600869</v>
      </c>
      <c r="D19">
        <v>25</v>
      </c>
      <c r="E19" t="s">
        <v>4</v>
      </c>
      <c r="F19">
        <v>2.2245278875181089</v>
      </c>
      <c r="G19">
        <v>0.432292587350182</v>
      </c>
      <c r="H19">
        <v>-4.6552053178724702</v>
      </c>
      <c r="I19" t="str">
        <f t="shared" si="0"/>
        <v>failed</v>
      </c>
      <c r="K19" t="s">
        <v>18</v>
      </c>
      <c r="L19" s="4">
        <f>(L11+L3)/2</f>
        <v>0.82765780730897009</v>
      </c>
      <c r="M19" s="4">
        <f t="shared" ref="M19:Q19" si="1">(M11+M3)/2</f>
        <v>0.85543558508674788</v>
      </c>
      <c r="N19" s="4">
        <f t="shared" si="1"/>
        <v>0.86138796603912882</v>
      </c>
      <c r="O19" s="4">
        <f t="shared" si="1"/>
        <v>0.85906238464377993</v>
      </c>
      <c r="P19" s="4">
        <f t="shared" si="1"/>
        <v>0.86303063861203388</v>
      </c>
      <c r="Q19" s="4">
        <f t="shared" si="1"/>
        <v>0.86303063861203388</v>
      </c>
      <c r="R19" s="4">
        <f t="shared" ref="R19" si="2">(R11+R3)/2</f>
        <v>0.86501476559616086</v>
      </c>
      <c r="T19" s="5">
        <f>(T11+T3)/2</f>
        <v>0.80973606496862316</v>
      </c>
    </row>
    <row r="20" spans="1:20" x14ac:dyDescent="0.2">
      <c r="A20">
        <v>34753</v>
      </c>
      <c r="B20" t="s">
        <v>8</v>
      </c>
      <c r="C20">
        <v>3.0015800888517001E-3</v>
      </c>
      <c r="D20">
        <v>28</v>
      </c>
      <c r="E20" t="s">
        <v>4</v>
      </c>
      <c r="F20">
        <v>1.44075844264645E-3</v>
      </c>
      <c r="G20">
        <v>1.500339289031202E-3</v>
      </c>
      <c r="H20">
        <v>1.040312453063982</v>
      </c>
      <c r="I20" t="str">
        <f t="shared" si="0"/>
        <v>failed</v>
      </c>
      <c r="K20" t="s">
        <v>12</v>
      </c>
      <c r="L20" s="4">
        <f>(L12+L4)/2</f>
        <v>0.82793466223698786</v>
      </c>
      <c r="M20" s="4">
        <f t="shared" ref="M20:R22" si="3">(M12+M4)/2</f>
        <v>0.85537098560354374</v>
      </c>
      <c r="N20" s="4">
        <f t="shared" si="3"/>
        <v>0.86132336655592479</v>
      </c>
      <c r="O20" s="4">
        <f t="shared" si="3"/>
        <v>0.8589977851605759</v>
      </c>
      <c r="P20" s="4">
        <f t="shared" si="3"/>
        <v>0.86296603912882985</v>
      </c>
      <c r="Q20" s="4">
        <f t="shared" si="3"/>
        <v>0.86296603912882985</v>
      </c>
      <c r="R20" s="4">
        <f t="shared" si="3"/>
        <v>0.86495016611295683</v>
      </c>
    </row>
    <row r="21" spans="1:20" x14ac:dyDescent="0.2">
      <c r="A21">
        <v>34757</v>
      </c>
      <c r="B21" t="s">
        <v>8</v>
      </c>
      <c r="C21">
        <v>0.84228738792616997</v>
      </c>
      <c r="D21">
        <v>42</v>
      </c>
      <c r="E21" t="s">
        <v>4</v>
      </c>
      <c r="F21">
        <v>0.4422649306163331</v>
      </c>
      <c r="G21">
        <v>0.13216528246075909</v>
      </c>
      <c r="H21">
        <v>3.0266833306137628</v>
      </c>
      <c r="I21" t="str">
        <f t="shared" si="0"/>
        <v>failed</v>
      </c>
      <c r="K21" t="s">
        <v>10</v>
      </c>
      <c r="L21" s="4">
        <f>(L13+L5)/2</f>
        <v>0.83252122554448138</v>
      </c>
      <c r="M21" s="4">
        <f t="shared" si="3"/>
        <v>0.85763196751568849</v>
      </c>
      <c r="N21" s="4">
        <f t="shared" si="3"/>
        <v>0.86358434846806942</v>
      </c>
      <c r="O21" s="4">
        <f t="shared" si="3"/>
        <v>0.86125876707272053</v>
      </c>
      <c r="P21" s="4">
        <f t="shared" si="3"/>
        <v>0.86522702104097449</v>
      </c>
      <c r="Q21" s="4">
        <f t="shared" si="3"/>
        <v>0.86721114802510146</v>
      </c>
      <c r="R21" s="4">
        <f t="shared" si="3"/>
        <v>0.86919527500922844</v>
      </c>
    </row>
    <row r="22" spans="1:20" x14ac:dyDescent="0.2">
      <c r="A22">
        <v>34771</v>
      </c>
      <c r="B22" t="s">
        <v>8</v>
      </c>
      <c r="C22">
        <v>2.4884309172632998E-15</v>
      </c>
      <c r="D22">
        <v>18</v>
      </c>
      <c r="E22" t="s">
        <v>4</v>
      </c>
      <c r="F22">
        <v>3.7559411348288062E-3</v>
      </c>
      <c r="G22">
        <v>2.7484861440197038E-3</v>
      </c>
      <c r="H22">
        <v>-1.366549052103164</v>
      </c>
      <c r="I22" t="str">
        <f t="shared" si="0"/>
        <v>failed</v>
      </c>
      <c r="K22" t="s">
        <v>11</v>
      </c>
      <c r="L22" s="4">
        <f>(L14+L6)/2</f>
        <v>0.82520302694721304</v>
      </c>
      <c r="M22" s="4">
        <f t="shared" si="3"/>
        <v>0.8542820228866741</v>
      </c>
      <c r="N22" s="4">
        <f t="shared" si="3"/>
        <v>0.86023440383905503</v>
      </c>
      <c r="O22" s="4">
        <f t="shared" si="3"/>
        <v>0.85790882244370614</v>
      </c>
      <c r="P22" s="4">
        <f t="shared" si="3"/>
        <v>0.86351974898486528</v>
      </c>
      <c r="Q22" s="4">
        <f t="shared" si="3"/>
        <v>0.86550387596899225</v>
      </c>
      <c r="R22" s="4">
        <f t="shared" si="3"/>
        <v>0.86748800295311923</v>
      </c>
    </row>
    <row r="23" spans="1:20" x14ac:dyDescent="0.2">
      <c r="A23">
        <v>34966</v>
      </c>
      <c r="B23" t="s">
        <v>8</v>
      </c>
      <c r="C23">
        <v>0.23596583462341</v>
      </c>
      <c r="D23">
        <v>31</v>
      </c>
      <c r="E23" t="s">
        <v>4</v>
      </c>
      <c r="F23">
        <v>9.4874338692294696E-2</v>
      </c>
      <c r="G23">
        <v>2.8711899576327929E-2</v>
      </c>
      <c r="H23">
        <v>4.9140425403076513</v>
      </c>
      <c r="I23" t="str">
        <f t="shared" si="0"/>
        <v>failed</v>
      </c>
      <c r="K23" t="s">
        <v>19</v>
      </c>
      <c r="L23" s="4">
        <f t="shared" ref="L23:Q23" si="4">(L15+L7)/2</f>
        <v>0.82383720930232562</v>
      </c>
      <c r="M23" s="4">
        <f t="shared" si="4"/>
        <v>0.85257475083056478</v>
      </c>
      <c r="N23" s="4">
        <f t="shared" si="4"/>
        <v>0.86051125876707268</v>
      </c>
      <c r="O23" s="4">
        <f t="shared" si="4"/>
        <v>0.85818567737172391</v>
      </c>
      <c r="P23" s="4">
        <f t="shared" si="4"/>
        <v>0.86379660391288304</v>
      </c>
      <c r="Q23" s="4">
        <f t="shared" si="4"/>
        <v>0.86578073089701002</v>
      </c>
      <c r="R23" s="4">
        <f t="shared" ref="R23" si="5">(R15+R7)/2</f>
        <v>0.867764857881137</v>
      </c>
    </row>
    <row r="24" spans="1:20" x14ac:dyDescent="0.2">
      <c r="A24">
        <v>35070</v>
      </c>
      <c r="B24" t="s">
        <v>8</v>
      </c>
      <c r="C24">
        <v>3.8068824194485E-3</v>
      </c>
      <c r="D24">
        <v>39</v>
      </c>
      <c r="E24" t="s">
        <v>4</v>
      </c>
      <c r="F24">
        <v>6.7986304939231202E-3</v>
      </c>
      <c r="G24">
        <v>3.2999327267504179E-3</v>
      </c>
      <c r="H24">
        <v>-0.9066088075750578</v>
      </c>
      <c r="I24" t="str">
        <f t="shared" si="0"/>
        <v>failed</v>
      </c>
    </row>
    <row r="25" spans="1:20" x14ac:dyDescent="0.2">
      <c r="A25">
        <v>35415</v>
      </c>
      <c r="B25" t="s">
        <v>8</v>
      </c>
      <c r="C25">
        <v>5.4075518009759998E-15</v>
      </c>
      <c r="D25">
        <v>20</v>
      </c>
      <c r="E25" t="s">
        <v>4</v>
      </c>
      <c r="F25">
        <v>1.371249383473597E-3</v>
      </c>
      <c r="G25">
        <v>1.830785993625163E-3</v>
      </c>
      <c r="H25">
        <v>-0.74899490614868014</v>
      </c>
      <c r="I25" t="str">
        <f t="shared" si="0"/>
        <v>failed</v>
      </c>
    </row>
    <row r="26" spans="1:20" x14ac:dyDescent="0.2">
      <c r="A26">
        <v>35430</v>
      </c>
      <c r="B26" t="s">
        <v>8</v>
      </c>
      <c r="C26">
        <v>3.9314614921528997E-2</v>
      </c>
      <c r="D26">
        <v>22</v>
      </c>
      <c r="E26" t="s">
        <v>4</v>
      </c>
      <c r="F26">
        <v>0.27311268410405032</v>
      </c>
      <c r="G26">
        <v>4.4152708490421917E-2</v>
      </c>
      <c r="H26">
        <v>-5.2952146578559267</v>
      </c>
      <c r="I26" t="str">
        <f t="shared" si="0"/>
        <v>failed</v>
      </c>
    </row>
    <row r="27" spans="1:20" x14ac:dyDescent="0.2">
      <c r="A27">
        <v>35554</v>
      </c>
      <c r="B27" t="s">
        <v>8</v>
      </c>
      <c r="C27">
        <v>2.2763669142594999E-3</v>
      </c>
      <c r="D27">
        <v>24</v>
      </c>
      <c r="E27" t="s">
        <v>4</v>
      </c>
      <c r="F27">
        <v>1.1695847028696469E-2</v>
      </c>
      <c r="G27">
        <v>4.6151739807656971E-3</v>
      </c>
      <c r="H27">
        <v>-2.0409805033779298</v>
      </c>
      <c r="I27" t="str">
        <f t="shared" si="0"/>
        <v>failed</v>
      </c>
    </row>
    <row r="28" spans="1:20" x14ac:dyDescent="0.2">
      <c r="A28">
        <v>35556</v>
      </c>
      <c r="B28" t="s">
        <v>8</v>
      </c>
      <c r="C28">
        <v>0.29149115812461002</v>
      </c>
      <c r="D28">
        <v>37</v>
      </c>
      <c r="E28" t="s">
        <v>4</v>
      </c>
      <c r="F28">
        <v>0.19728199794367579</v>
      </c>
      <c r="G28">
        <v>6.3855556615556391E-2</v>
      </c>
      <c r="H28">
        <v>0.38050898594418597</v>
      </c>
      <c r="I28" t="str">
        <f t="shared" si="0"/>
        <v>failed</v>
      </c>
    </row>
    <row r="29" spans="1:20" x14ac:dyDescent="0.2">
      <c r="A29">
        <v>35666</v>
      </c>
      <c r="B29" t="s">
        <v>8</v>
      </c>
      <c r="C29">
        <v>5.5511151231258001E-15</v>
      </c>
      <c r="D29">
        <v>45</v>
      </c>
      <c r="E29" t="s">
        <v>4</v>
      </c>
      <c r="F29">
        <v>3.6419074340841611E-6</v>
      </c>
      <c r="G29">
        <v>3.710815666536816E-6</v>
      </c>
      <c r="H29">
        <v>-0.98143043507279215</v>
      </c>
      <c r="I29" t="str">
        <f t="shared" si="0"/>
        <v>failed</v>
      </c>
    </row>
    <row r="30" spans="1:20" x14ac:dyDescent="0.2">
      <c r="A30">
        <v>35732</v>
      </c>
      <c r="B30" t="s">
        <v>8</v>
      </c>
      <c r="C30">
        <v>0.34728084609148002</v>
      </c>
      <c r="D30">
        <v>30</v>
      </c>
      <c r="E30" t="s">
        <v>4</v>
      </c>
      <c r="F30">
        <v>0.22507119074021081</v>
      </c>
      <c r="G30">
        <v>5.3281922121242213E-2</v>
      </c>
      <c r="H30">
        <v>2.2936420175154351</v>
      </c>
      <c r="I30" t="str">
        <f t="shared" si="0"/>
        <v>failed</v>
      </c>
    </row>
    <row r="31" spans="1:20" x14ac:dyDescent="0.2">
      <c r="A31">
        <v>35733</v>
      </c>
      <c r="B31" t="s">
        <v>8</v>
      </c>
      <c r="C31">
        <v>4.1419016165702002E-3</v>
      </c>
      <c r="D31">
        <v>22</v>
      </c>
      <c r="E31" t="s">
        <v>4</v>
      </c>
      <c r="F31">
        <v>1.993999785346705E-3</v>
      </c>
      <c r="G31">
        <v>6.5477705401391123E-4</v>
      </c>
      <c r="H31">
        <v>3.280355989957159</v>
      </c>
      <c r="I31" t="str">
        <f t="shared" si="0"/>
        <v>failed</v>
      </c>
    </row>
    <row r="32" spans="1:20" x14ac:dyDescent="0.2">
      <c r="A32">
        <v>35736</v>
      </c>
      <c r="B32" t="s">
        <v>8</v>
      </c>
      <c r="C32">
        <v>4.2248502878812999E-5</v>
      </c>
      <c r="D32">
        <v>36</v>
      </c>
      <c r="E32" t="s">
        <v>4</v>
      </c>
      <c r="F32">
        <v>3.664353482896163E-5</v>
      </c>
      <c r="G32">
        <v>1.366174766258205E-5</v>
      </c>
      <c r="H32">
        <v>0.41026727962100279</v>
      </c>
      <c r="I32" t="str">
        <f t="shared" si="0"/>
        <v>failed</v>
      </c>
    </row>
    <row r="33" spans="1:9" x14ac:dyDescent="0.2">
      <c r="A33">
        <v>35992</v>
      </c>
      <c r="B33" t="s">
        <v>8</v>
      </c>
      <c r="C33">
        <v>0.10519346879708</v>
      </c>
      <c r="D33">
        <v>28</v>
      </c>
      <c r="E33" t="s">
        <v>4</v>
      </c>
      <c r="F33">
        <v>9.4254581502141083E-2</v>
      </c>
      <c r="G33">
        <v>2.394163511257924E-2</v>
      </c>
      <c r="H33">
        <v>0.45689808751569749</v>
      </c>
      <c r="I33" t="str">
        <f t="shared" si="0"/>
        <v>failed</v>
      </c>
    </row>
    <row r="34" spans="1:9" x14ac:dyDescent="0.2">
      <c r="A34">
        <v>35994</v>
      </c>
      <c r="B34" t="s">
        <v>8</v>
      </c>
      <c r="C34">
        <v>2.9725529509248999E-3</v>
      </c>
      <c r="D34">
        <v>15</v>
      </c>
      <c r="E34" t="s">
        <v>4</v>
      </c>
      <c r="F34">
        <v>2.0352303313695601E-3</v>
      </c>
      <c r="G34">
        <v>6.4648124823045721E-4</v>
      </c>
      <c r="H34">
        <v>1.449883692868202</v>
      </c>
      <c r="I34" t="str">
        <f t="shared" si="0"/>
        <v>failed</v>
      </c>
    </row>
    <row r="35" spans="1:9" x14ac:dyDescent="0.2">
      <c r="A35">
        <v>36050</v>
      </c>
      <c r="B35" t="s">
        <v>8</v>
      </c>
      <c r="C35">
        <v>4.0183535107738998E-2</v>
      </c>
      <c r="D35">
        <v>40</v>
      </c>
      <c r="E35" t="s">
        <v>4</v>
      </c>
      <c r="F35">
        <v>3.5291583065538583E-2</v>
      </c>
      <c r="G35">
        <v>1.3093935837973549E-2</v>
      </c>
      <c r="H35">
        <v>0.37360439998587591</v>
      </c>
      <c r="I35" t="str">
        <f t="shared" si="0"/>
        <v>failed</v>
      </c>
    </row>
    <row r="36" spans="1:9" x14ac:dyDescent="0.2">
      <c r="A36">
        <v>36059</v>
      </c>
      <c r="B36" t="s">
        <v>8</v>
      </c>
      <c r="C36">
        <v>5.1042789610218997E-5</v>
      </c>
      <c r="D36">
        <v>41</v>
      </c>
      <c r="E36" t="s">
        <v>4</v>
      </c>
      <c r="F36">
        <v>4.0437556292905111E-5</v>
      </c>
      <c r="G36">
        <v>1.9120940374734889E-5</v>
      </c>
      <c r="H36">
        <v>0.55463973566624192</v>
      </c>
      <c r="I36" t="str">
        <f t="shared" si="0"/>
        <v>failed</v>
      </c>
    </row>
    <row r="37" spans="1:9" x14ac:dyDescent="0.2">
      <c r="A37">
        <v>36062</v>
      </c>
      <c r="B37" t="s">
        <v>8</v>
      </c>
      <c r="C37">
        <v>0.97381622447270999</v>
      </c>
      <c r="D37">
        <v>28</v>
      </c>
      <c r="E37" t="s">
        <v>4</v>
      </c>
      <c r="F37">
        <v>0.79861243961930273</v>
      </c>
      <c r="G37">
        <v>0.1807939974148898</v>
      </c>
      <c r="H37">
        <v>0.96907965617548264</v>
      </c>
      <c r="I37" t="str">
        <f t="shared" si="0"/>
        <v>failed</v>
      </c>
    </row>
    <row r="38" spans="1:9" x14ac:dyDescent="0.2">
      <c r="A38">
        <v>36067</v>
      </c>
      <c r="B38" t="s">
        <v>8</v>
      </c>
      <c r="C38">
        <v>1.3200485955290999</v>
      </c>
      <c r="D38">
        <v>44</v>
      </c>
      <c r="E38" t="s">
        <v>4</v>
      </c>
      <c r="F38">
        <v>1.170823033518176</v>
      </c>
      <c r="G38">
        <v>0.17558976850283201</v>
      </c>
      <c r="H38">
        <v>0.84985340138740284</v>
      </c>
      <c r="I38" t="str">
        <f t="shared" si="0"/>
        <v>failed</v>
      </c>
    </row>
    <row r="39" spans="1:9" x14ac:dyDescent="0.2">
      <c r="A39">
        <v>36096</v>
      </c>
      <c r="B39" t="s">
        <v>8</v>
      </c>
      <c r="C39">
        <v>0.60209106162835002</v>
      </c>
      <c r="D39">
        <v>40</v>
      </c>
      <c r="E39" t="s">
        <v>4</v>
      </c>
      <c r="F39">
        <v>0.32965560252529208</v>
      </c>
      <c r="G39">
        <v>0.11874056914801059</v>
      </c>
      <c r="H39">
        <v>2.294375553846808</v>
      </c>
      <c r="I39" t="str">
        <f t="shared" si="0"/>
        <v>failed</v>
      </c>
    </row>
    <row r="40" spans="1:9" x14ac:dyDescent="0.2">
      <c r="A40">
        <v>36196</v>
      </c>
      <c r="B40" t="s">
        <v>8</v>
      </c>
      <c r="C40">
        <v>3.5169262627392998E-4</v>
      </c>
      <c r="D40">
        <v>27</v>
      </c>
      <c r="E40" t="s">
        <v>4</v>
      </c>
      <c r="F40">
        <v>5.0002876064143733E-4</v>
      </c>
      <c r="G40">
        <v>1.4595093403085391E-4</v>
      </c>
      <c r="H40">
        <v>-1.016342480811796</v>
      </c>
      <c r="I40" t="str">
        <f t="shared" si="0"/>
        <v>failed</v>
      </c>
    </row>
    <row r="41" spans="1:9" x14ac:dyDescent="0.2">
      <c r="A41">
        <v>36344</v>
      </c>
      <c r="B41" t="s">
        <v>8</v>
      </c>
      <c r="C41">
        <v>0.13514566465277</v>
      </c>
      <c r="D41">
        <v>19</v>
      </c>
      <c r="E41" t="s">
        <v>4</v>
      </c>
      <c r="F41">
        <v>7.6892309022783004E-2</v>
      </c>
      <c r="G41">
        <v>2.5067343779522262E-2</v>
      </c>
      <c r="H41">
        <v>2.323874286097261</v>
      </c>
      <c r="I41" t="str">
        <f t="shared" si="0"/>
        <v>failed</v>
      </c>
    </row>
    <row r="42" spans="1:9" x14ac:dyDescent="0.2">
      <c r="A42">
        <v>36403</v>
      </c>
      <c r="B42" t="s">
        <v>8</v>
      </c>
      <c r="C42">
        <v>0.10564053671721001</v>
      </c>
      <c r="D42">
        <v>36</v>
      </c>
      <c r="E42" t="s">
        <v>4</v>
      </c>
      <c r="F42">
        <v>5.0665819722588802E-2</v>
      </c>
      <c r="G42">
        <v>1.505542414106003E-2</v>
      </c>
      <c r="H42">
        <v>3.6514890898813239</v>
      </c>
      <c r="I42" t="str">
        <f t="shared" si="0"/>
        <v>failed</v>
      </c>
    </row>
    <row r="43" spans="1:9" x14ac:dyDescent="0.2">
      <c r="A43">
        <v>36525</v>
      </c>
      <c r="B43" t="s">
        <v>8</v>
      </c>
      <c r="C43">
        <v>0.18831795273211999</v>
      </c>
      <c r="D43">
        <v>32</v>
      </c>
      <c r="E43" t="s">
        <v>4</v>
      </c>
      <c r="F43">
        <v>0.1059056215868569</v>
      </c>
      <c r="G43">
        <v>2.6181023070625219E-2</v>
      </c>
      <c r="H43">
        <v>3.1477887981285702</v>
      </c>
      <c r="I43" t="str">
        <f t="shared" si="0"/>
        <v>failed</v>
      </c>
    </row>
    <row r="44" spans="1:9" x14ac:dyDescent="0.2">
      <c r="A44">
        <v>36540</v>
      </c>
      <c r="B44" t="s">
        <v>8</v>
      </c>
      <c r="C44">
        <v>5.4554062416926004E-15</v>
      </c>
      <c r="D44">
        <v>38</v>
      </c>
      <c r="E44" t="s">
        <v>4</v>
      </c>
      <c r="F44">
        <v>2.1661144845315129E-5</v>
      </c>
      <c r="G44">
        <v>2.6487433978149629E-5</v>
      </c>
      <c r="H44">
        <v>-0.8177894794635121</v>
      </c>
      <c r="I44" t="str">
        <f t="shared" si="0"/>
        <v>failed</v>
      </c>
    </row>
    <row r="45" spans="1:9" x14ac:dyDescent="0.2">
      <c r="A45">
        <v>36660</v>
      </c>
      <c r="B45" t="s">
        <v>8</v>
      </c>
      <c r="C45">
        <v>2.7308603145563002E-3</v>
      </c>
      <c r="D45">
        <v>30</v>
      </c>
      <c r="E45" t="s">
        <v>4</v>
      </c>
      <c r="F45">
        <v>3.727881401096542E-3</v>
      </c>
      <c r="G45">
        <v>3.3023270103383251E-3</v>
      </c>
      <c r="H45">
        <v>-0.30191470542405768</v>
      </c>
      <c r="I45" t="str">
        <f t="shared" si="0"/>
        <v>failed</v>
      </c>
    </row>
    <row r="46" spans="1:9" x14ac:dyDescent="0.2">
      <c r="A46">
        <v>36737</v>
      </c>
      <c r="B46" t="s">
        <v>8</v>
      </c>
      <c r="C46">
        <v>9.8308678749954009E-3</v>
      </c>
      <c r="D46">
        <v>43</v>
      </c>
      <c r="E46" t="s">
        <v>4</v>
      </c>
      <c r="F46">
        <v>4.42216792043217E-3</v>
      </c>
      <c r="G46">
        <v>1.388836148862136E-3</v>
      </c>
      <c r="H46">
        <v>3.8944118490815698</v>
      </c>
      <c r="I46" t="str">
        <f t="shared" si="0"/>
        <v>failed</v>
      </c>
    </row>
    <row r="47" spans="1:9" x14ac:dyDescent="0.2">
      <c r="A47">
        <v>36795</v>
      </c>
      <c r="B47" t="s">
        <v>8</v>
      </c>
      <c r="C47">
        <v>5.4554062416926004E-15</v>
      </c>
      <c r="D47">
        <v>39</v>
      </c>
      <c r="E47" t="s">
        <v>4</v>
      </c>
      <c r="F47">
        <v>0</v>
      </c>
      <c r="G47">
        <v>0</v>
      </c>
      <c r="H47">
        <v>0</v>
      </c>
      <c r="I47" t="str">
        <f t="shared" si="0"/>
        <v>failed</v>
      </c>
    </row>
    <row r="48" spans="1:9" x14ac:dyDescent="0.2">
      <c r="A48">
        <v>36796</v>
      </c>
      <c r="B48" t="s">
        <v>8</v>
      </c>
      <c r="C48">
        <v>3.7594308342926E-2</v>
      </c>
      <c r="D48">
        <v>35</v>
      </c>
      <c r="E48" t="s">
        <v>4</v>
      </c>
      <c r="F48">
        <v>3.5990372494494771E-2</v>
      </c>
      <c r="G48">
        <v>1.7780201385585521E-2</v>
      </c>
      <c r="H48">
        <v>9.0209093454437714E-2</v>
      </c>
      <c r="I48" t="str">
        <f t="shared" si="0"/>
        <v>failed</v>
      </c>
    </row>
    <row r="49" spans="1:9" x14ac:dyDescent="0.2">
      <c r="A49">
        <v>36820</v>
      </c>
      <c r="B49" t="s">
        <v>8</v>
      </c>
      <c r="C49">
        <v>0.12766878168751</v>
      </c>
      <c r="D49">
        <v>25</v>
      </c>
      <c r="E49" t="s">
        <v>4</v>
      </c>
      <c r="F49">
        <v>5.1673006064040398E-2</v>
      </c>
      <c r="G49">
        <v>1.5722861694908542E-2</v>
      </c>
      <c r="H49">
        <v>4.8334569811857344</v>
      </c>
      <c r="I49" t="str">
        <f t="shared" si="0"/>
        <v>failed</v>
      </c>
    </row>
    <row r="50" spans="1:9" x14ac:dyDescent="0.2">
      <c r="A50">
        <v>36828</v>
      </c>
      <c r="B50" t="s">
        <v>8</v>
      </c>
      <c r="C50">
        <v>1.6036510695266999</v>
      </c>
      <c r="D50">
        <v>25</v>
      </c>
      <c r="E50" t="s">
        <v>4</v>
      </c>
      <c r="F50">
        <v>1.127967550401781</v>
      </c>
      <c r="G50">
        <v>0.27197149488794259</v>
      </c>
      <c r="H50">
        <v>1.7490197615044449</v>
      </c>
      <c r="I50" t="str">
        <f t="shared" si="0"/>
        <v>failed</v>
      </c>
    </row>
    <row r="51" spans="1:9" x14ac:dyDescent="0.2">
      <c r="A51">
        <v>36911</v>
      </c>
      <c r="B51" t="s">
        <v>8</v>
      </c>
      <c r="C51">
        <v>4.6556524582172E-2</v>
      </c>
      <c r="D51">
        <v>42</v>
      </c>
      <c r="E51" t="s">
        <v>4</v>
      </c>
      <c r="F51">
        <v>6.5132577890451265E-2</v>
      </c>
      <c r="G51">
        <v>4.5251977793378043E-2</v>
      </c>
      <c r="H51">
        <v>-0.41050257279589802</v>
      </c>
      <c r="I51" t="str">
        <f t="shared" si="0"/>
        <v>failed</v>
      </c>
    </row>
    <row r="52" spans="1:9" x14ac:dyDescent="0.2">
      <c r="A52">
        <v>36918</v>
      </c>
      <c r="B52" t="s">
        <v>8</v>
      </c>
      <c r="C52">
        <v>2.3261495686643001E-3</v>
      </c>
      <c r="D52">
        <v>42</v>
      </c>
      <c r="E52" t="s">
        <v>4</v>
      </c>
      <c r="F52">
        <v>1.0078043006238619E-3</v>
      </c>
      <c r="G52">
        <v>3.8620428862700328E-4</v>
      </c>
      <c r="H52">
        <v>3.4135956198917898</v>
      </c>
      <c r="I52" t="str">
        <f t="shared" si="0"/>
        <v>failed</v>
      </c>
    </row>
    <row r="53" spans="1:9" x14ac:dyDescent="0.2">
      <c r="A53">
        <v>37055</v>
      </c>
      <c r="B53" t="s">
        <v>8</v>
      </c>
      <c r="C53">
        <v>1.9930592920977E-2</v>
      </c>
      <c r="D53">
        <v>45</v>
      </c>
      <c r="E53" t="s">
        <v>4</v>
      </c>
      <c r="F53">
        <v>2.9620172793945632E-2</v>
      </c>
      <c r="G53">
        <v>1.138783965364853E-2</v>
      </c>
      <c r="H53">
        <v>-0.85087076808867246</v>
      </c>
      <c r="I53" t="str">
        <f t="shared" si="0"/>
        <v>failed</v>
      </c>
    </row>
    <row r="54" spans="1:9" x14ac:dyDescent="0.2">
      <c r="A54">
        <v>37078</v>
      </c>
      <c r="B54" t="s">
        <v>8</v>
      </c>
      <c r="C54">
        <v>4.6350405327847E-3</v>
      </c>
      <c r="D54">
        <v>20</v>
      </c>
      <c r="E54" t="s">
        <v>4</v>
      </c>
      <c r="F54">
        <v>5.3856499444019318E-3</v>
      </c>
      <c r="G54">
        <v>1.9278887715691211E-3</v>
      </c>
      <c r="H54">
        <v>-0.38934269584758319</v>
      </c>
      <c r="I54" t="str">
        <f t="shared" si="0"/>
        <v>failed</v>
      </c>
    </row>
    <row r="55" spans="1:9" x14ac:dyDescent="0.2">
      <c r="A55">
        <v>37578</v>
      </c>
      <c r="B55" t="s">
        <v>8</v>
      </c>
      <c r="C55">
        <v>0.10799608160874</v>
      </c>
      <c r="D55">
        <v>25</v>
      </c>
      <c r="E55" t="s">
        <v>4</v>
      </c>
      <c r="F55">
        <v>2.9163422292487771</v>
      </c>
      <c r="G55">
        <v>0.59680518391231085</v>
      </c>
      <c r="H55">
        <v>-4.7056329659037814</v>
      </c>
      <c r="I55" t="str">
        <f t="shared" si="0"/>
        <v>failed</v>
      </c>
    </row>
    <row r="56" spans="1:9" x14ac:dyDescent="0.2">
      <c r="A56">
        <v>37637</v>
      </c>
      <c r="B56" t="s">
        <v>8</v>
      </c>
      <c r="C56">
        <v>1.9501149826623002E-2</v>
      </c>
      <c r="D56">
        <v>33</v>
      </c>
      <c r="E56" t="s">
        <v>4</v>
      </c>
      <c r="F56">
        <v>1.2618227837242341E-2</v>
      </c>
      <c r="G56">
        <v>4.4578228519059947E-3</v>
      </c>
      <c r="H56">
        <v>1.5440097594810851</v>
      </c>
      <c r="I56" t="str">
        <f t="shared" si="0"/>
        <v>failed</v>
      </c>
    </row>
    <row r="57" spans="1:9" x14ac:dyDescent="0.2">
      <c r="A57">
        <v>37643</v>
      </c>
      <c r="B57" t="s">
        <v>8</v>
      </c>
      <c r="C57">
        <v>5.5511151231258001E-15</v>
      </c>
      <c r="D57">
        <v>35</v>
      </c>
      <c r="E57" t="s">
        <v>4</v>
      </c>
      <c r="F57">
        <v>0</v>
      </c>
      <c r="G57">
        <v>0</v>
      </c>
      <c r="H57">
        <v>0</v>
      </c>
      <c r="I57" t="str">
        <f t="shared" si="0"/>
        <v>failed</v>
      </c>
    </row>
    <row r="58" spans="1:9" x14ac:dyDescent="0.2">
      <c r="A58">
        <v>37652</v>
      </c>
      <c r="B58" t="s">
        <v>8</v>
      </c>
      <c r="C58">
        <v>3.0230760254391E-2</v>
      </c>
      <c r="D58">
        <v>20</v>
      </c>
      <c r="E58" t="s">
        <v>4</v>
      </c>
      <c r="F58">
        <v>0.28538805562848862</v>
      </c>
      <c r="G58">
        <v>4.0428908175435443E-2</v>
      </c>
      <c r="H58">
        <v>-6.3112586238262889</v>
      </c>
      <c r="I58" t="str">
        <f t="shared" si="0"/>
        <v>failed</v>
      </c>
    </row>
    <row r="59" spans="1:9" x14ac:dyDescent="0.2">
      <c r="A59">
        <v>37662</v>
      </c>
      <c r="B59" t="s">
        <v>8</v>
      </c>
      <c r="C59">
        <v>2.3234377404604E-2</v>
      </c>
      <c r="D59">
        <v>26</v>
      </c>
      <c r="E59" t="s">
        <v>4</v>
      </c>
      <c r="F59">
        <v>2.4772701144356288E-2</v>
      </c>
      <c r="G59">
        <v>1.768356606801548E-2</v>
      </c>
      <c r="H59">
        <v>-8.6991715010109813E-2</v>
      </c>
      <c r="I59" t="str">
        <f t="shared" si="0"/>
        <v>failed</v>
      </c>
    </row>
    <row r="60" spans="1:9" x14ac:dyDescent="0.2">
      <c r="A60">
        <v>37904</v>
      </c>
      <c r="B60" t="s">
        <v>8</v>
      </c>
      <c r="C60">
        <v>9.1190251119786E-4</v>
      </c>
      <c r="D60">
        <v>22</v>
      </c>
      <c r="E60" t="s">
        <v>4</v>
      </c>
      <c r="F60">
        <v>4.5926635659127133E-4</v>
      </c>
      <c r="G60">
        <v>1.3473111758232061E-4</v>
      </c>
      <c r="H60">
        <v>3.359551696228396</v>
      </c>
      <c r="I60" t="str">
        <f t="shared" si="0"/>
        <v>failed</v>
      </c>
    </row>
    <row r="61" spans="1:9" x14ac:dyDescent="0.2">
      <c r="A61">
        <v>37928</v>
      </c>
      <c r="B61" t="s">
        <v>8</v>
      </c>
      <c r="C61">
        <v>0</v>
      </c>
      <c r="D61">
        <v>22</v>
      </c>
      <c r="E61" t="s">
        <v>4</v>
      </c>
      <c r="F61">
        <v>0</v>
      </c>
      <c r="G61">
        <v>0</v>
      </c>
      <c r="H61">
        <v>0</v>
      </c>
      <c r="I61" t="str">
        <f t="shared" si="0"/>
        <v>failed</v>
      </c>
    </row>
    <row r="62" spans="1:9" x14ac:dyDescent="0.2">
      <c r="A62">
        <v>38140</v>
      </c>
      <c r="B62" t="s">
        <v>8</v>
      </c>
      <c r="C62">
        <v>5.3866084298724999E-5</v>
      </c>
      <c r="D62">
        <v>24</v>
      </c>
      <c r="E62" t="s">
        <v>4</v>
      </c>
      <c r="F62">
        <v>2.9060752478417009E-5</v>
      </c>
      <c r="G62">
        <v>2.003136020711816E-5</v>
      </c>
      <c r="H62">
        <v>1.2383248847031501</v>
      </c>
      <c r="I62" t="str">
        <f t="shared" si="0"/>
        <v>failed</v>
      </c>
    </row>
    <row r="63" spans="1:9" x14ac:dyDescent="0.2">
      <c r="A63">
        <v>38175</v>
      </c>
      <c r="B63" t="s">
        <v>8</v>
      </c>
      <c r="C63">
        <v>1.4338737038163001</v>
      </c>
      <c r="D63">
        <v>41</v>
      </c>
      <c r="E63" t="s">
        <v>4</v>
      </c>
      <c r="F63">
        <v>1.0687020731238379</v>
      </c>
      <c r="G63">
        <v>0.1782719637400241</v>
      </c>
      <c r="H63">
        <v>2.048396298730466</v>
      </c>
      <c r="I63" t="str">
        <f t="shared" si="0"/>
        <v>failed</v>
      </c>
    </row>
    <row r="64" spans="1:9" x14ac:dyDescent="0.2">
      <c r="A64">
        <v>38176</v>
      </c>
      <c r="B64" t="s">
        <v>8</v>
      </c>
      <c r="C64">
        <v>0.17191056639867999</v>
      </c>
      <c r="D64">
        <v>33</v>
      </c>
      <c r="E64" t="s">
        <v>4</v>
      </c>
      <c r="F64">
        <v>0.15553713018512691</v>
      </c>
      <c r="G64">
        <v>4.6769675960399278E-2</v>
      </c>
      <c r="H64">
        <v>0.35008658660409547</v>
      </c>
      <c r="I64" t="str">
        <f t="shared" si="0"/>
        <v>failed</v>
      </c>
    </row>
    <row r="65" spans="1:9" x14ac:dyDescent="0.2">
      <c r="A65">
        <v>38181</v>
      </c>
      <c r="B65" t="s">
        <v>8</v>
      </c>
      <c r="C65">
        <v>5.4554062416926004E-15</v>
      </c>
      <c r="D65">
        <v>26</v>
      </c>
      <c r="E65" t="s">
        <v>4</v>
      </c>
      <c r="F65">
        <v>0</v>
      </c>
      <c r="G65">
        <v>0</v>
      </c>
      <c r="H65">
        <v>0</v>
      </c>
      <c r="I65" t="str">
        <f t="shared" si="0"/>
        <v>failed</v>
      </c>
    </row>
    <row r="66" spans="1:9" x14ac:dyDescent="0.2">
      <c r="A66">
        <v>38226</v>
      </c>
      <c r="B66" t="s">
        <v>8</v>
      </c>
      <c r="C66">
        <v>2.2519216397989998E-3</v>
      </c>
      <c r="D66">
        <v>45</v>
      </c>
      <c r="E66" t="s">
        <v>4</v>
      </c>
      <c r="F66">
        <v>5.5816296573075689E-3</v>
      </c>
      <c r="G66">
        <v>2.6615097064143058E-3</v>
      </c>
      <c r="H66">
        <v>-1.2510598813461371</v>
      </c>
      <c r="I66" t="str">
        <f t="shared" si="0"/>
        <v>failed</v>
      </c>
    </row>
    <row r="67" spans="1:9" x14ac:dyDescent="0.2">
      <c r="A67">
        <v>38379</v>
      </c>
      <c r="B67" t="s">
        <v>8</v>
      </c>
      <c r="C67">
        <v>7.4585616391332002E-3</v>
      </c>
      <c r="D67">
        <v>44</v>
      </c>
      <c r="E67" t="s">
        <v>4</v>
      </c>
      <c r="F67">
        <v>5.11676926122761E-3</v>
      </c>
      <c r="G67">
        <v>1.676657632178463E-3</v>
      </c>
      <c r="H67">
        <v>1.3967027811529831</v>
      </c>
      <c r="I67" t="str">
        <f t="shared" ref="I67:I130" si="6">IF((H67&lt;-2)*AND(D67&lt;=19),"passed","failed")</f>
        <v>failed</v>
      </c>
    </row>
    <row r="68" spans="1:9" x14ac:dyDescent="0.2">
      <c r="A68">
        <v>38444</v>
      </c>
      <c r="B68" t="s">
        <v>8</v>
      </c>
      <c r="C68">
        <v>4.2063123002812002E-2</v>
      </c>
      <c r="D68">
        <v>26</v>
      </c>
      <c r="E68" t="s">
        <v>4</v>
      </c>
      <c r="F68">
        <v>4.0453320992512053E-2</v>
      </c>
      <c r="G68">
        <v>1.203003715215771E-2</v>
      </c>
      <c r="H68">
        <v>0.13381521519350961</v>
      </c>
      <c r="I68" t="str">
        <f t="shared" si="6"/>
        <v>failed</v>
      </c>
    </row>
    <row r="69" spans="1:9" x14ac:dyDescent="0.2">
      <c r="A69">
        <v>38626</v>
      </c>
      <c r="B69" t="s">
        <v>8</v>
      </c>
      <c r="C69">
        <v>0.27559909346286998</v>
      </c>
      <c r="D69">
        <v>39</v>
      </c>
      <c r="E69" t="s">
        <v>4</v>
      </c>
      <c r="F69">
        <v>0.18397262927201019</v>
      </c>
      <c r="G69">
        <v>6.8876726331924557E-2</v>
      </c>
      <c r="H69">
        <v>1.330296445120017</v>
      </c>
      <c r="I69" t="str">
        <f t="shared" si="6"/>
        <v>failed</v>
      </c>
    </row>
    <row r="70" spans="1:9" x14ac:dyDescent="0.2">
      <c r="A70">
        <v>38704</v>
      </c>
      <c r="B70" t="s">
        <v>8</v>
      </c>
      <c r="C70">
        <v>4.1154819016277001E-15</v>
      </c>
      <c r="D70">
        <v>44</v>
      </c>
      <c r="E70" t="s">
        <v>4</v>
      </c>
      <c r="F70">
        <v>1.6590012238410842E-5</v>
      </c>
      <c r="G70">
        <v>1.9241238483206911E-5</v>
      </c>
      <c r="H70">
        <v>-0.86221124762265322</v>
      </c>
      <c r="I70" t="str">
        <f t="shared" si="6"/>
        <v>failed</v>
      </c>
    </row>
    <row r="71" spans="1:9" x14ac:dyDescent="0.2">
      <c r="A71">
        <v>38750</v>
      </c>
      <c r="B71" t="s">
        <v>8</v>
      </c>
      <c r="C71">
        <v>0.86790357401278995</v>
      </c>
      <c r="D71">
        <v>41</v>
      </c>
      <c r="E71" t="s">
        <v>4</v>
      </c>
      <c r="F71">
        <v>0.60301484210971135</v>
      </c>
      <c r="G71">
        <v>0.14210134456515061</v>
      </c>
      <c r="H71">
        <v>1.8640832197166839</v>
      </c>
      <c r="I71" t="str">
        <f t="shared" si="6"/>
        <v>failed</v>
      </c>
    </row>
    <row r="72" spans="1:9" x14ac:dyDescent="0.2">
      <c r="A72">
        <v>38862</v>
      </c>
      <c r="B72" t="s">
        <v>8</v>
      </c>
      <c r="C72">
        <v>0.34309504809106001</v>
      </c>
      <c r="D72">
        <v>27</v>
      </c>
      <c r="E72" t="s">
        <v>4</v>
      </c>
      <c r="F72">
        <v>0.1787819002851396</v>
      </c>
      <c r="G72">
        <v>4.5381664955537269E-2</v>
      </c>
      <c r="H72">
        <v>3.6206945683219072</v>
      </c>
      <c r="I72" t="str">
        <f t="shared" si="6"/>
        <v>failed</v>
      </c>
    </row>
    <row r="73" spans="1:9" x14ac:dyDescent="0.2">
      <c r="A73">
        <v>38916</v>
      </c>
      <c r="B73" t="s">
        <v>8</v>
      </c>
      <c r="C73">
        <v>1.9141776286641001E-16</v>
      </c>
      <c r="D73">
        <v>29</v>
      </c>
      <c r="E73" t="s">
        <v>4</v>
      </c>
      <c r="F73">
        <v>2.6962615105799372E-4</v>
      </c>
      <c r="G73">
        <v>8.8229656876977669E-4</v>
      </c>
      <c r="H73">
        <v>-0.30559582866104168</v>
      </c>
      <c r="I73" t="str">
        <f t="shared" si="6"/>
        <v>failed</v>
      </c>
    </row>
    <row r="74" spans="1:9" x14ac:dyDescent="0.2">
      <c r="A74">
        <v>39032</v>
      </c>
      <c r="B74" t="s">
        <v>8</v>
      </c>
      <c r="C74">
        <v>5.4554062416926004E-15</v>
      </c>
      <c r="D74">
        <v>18</v>
      </c>
      <c r="E74" t="s">
        <v>4</v>
      </c>
      <c r="F74">
        <v>0</v>
      </c>
      <c r="G74">
        <v>0</v>
      </c>
      <c r="H74">
        <v>0</v>
      </c>
      <c r="I74" t="str">
        <f t="shared" si="6"/>
        <v>failed</v>
      </c>
    </row>
    <row r="75" spans="1:9" x14ac:dyDescent="0.2">
      <c r="A75">
        <v>42688</v>
      </c>
      <c r="B75" t="s">
        <v>8</v>
      </c>
      <c r="C75">
        <v>2.0207372547651E-3</v>
      </c>
      <c r="D75">
        <v>34</v>
      </c>
      <c r="E75" t="s">
        <v>4</v>
      </c>
      <c r="F75">
        <v>1.368606992891561E-2</v>
      </c>
      <c r="G75">
        <v>1.222065824923586E-2</v>
      </c>
      <c r="H75">
        <v>-0.95455845636497894</v>
      </c>
      <c r="I75" t="str">
        <f t="shared" si="6"/>
        <v>failed</v>
      </c>
    </row>
    <row r="76" spans="1:9" x14ac:dyDescent="0.2">
      <c r="A76">
        <v>42698</v>
      </c>
      <c r="B76" t="s">
        <v>8</v>
      </c>
      <c r="C76">
        <v>0.19996768908731999</v>
      </c>
      <c r="D76">
        <v>28</v>
      </c>
      <c r="E76" t="s">
        <v>4</v>
      </c>
      <c r="F76">
        <v>1.3546494754270331</v>
      </c>
      <c r="G76">
        <v>0.22011233776453781</v>
      </c>
      <c r="H76">
        <v>-5.2458748930962633</v>
      </c>
      <c r="I76" t="str">
        <f t="shared" si="6"/>
        <v>failed</v>
      </c>
    </row>
    <row r="77" spans="1:9" x14ac:dyDescent="0.2">
      <c r="A77">
        <v>43416</v>
      </c>
      <c r="B77" t="s">
        <v>8</v>
      </c>
      <c r="C77">
        <v>1.5968292191503</v>
      </c>
      <c r="D77">
        <v>36</v>
      </c>
      <c r="E77" t="s">
        <v>4</v>
      </c>
      <c r="F77">
        <v>4.5579158217103224</v>
      </c>
      <c r="G77">
        <v>0.66393181073129348</v>
      </c>
      <c r="H77">
        <v>-4.4599257855990713</v>
      </c>
      <c r="I77" t="str">
        <f t="shared" si="6"/>
        <v>failed</v>
      </c>
    </row>
    <row r="78" spans="1:9" x14ac:dyDescent="0.2">
      <c r="A78">
        <v>44133</v>
      </c>
      <c r="B78" t="s">
        <v>8</v>
      </c>
      <c r="C78">
        <v>3.7995177540660001E-2</v>
      </c>
      <c r="D78">
        <v>23</v>
      </c>
      <c r="E78" t="s">
        <v>4</v>
      </c>
      <c r="F78">
        <v>5.7498650606870001</v>
      </c>
      <c r="G78">
        <v>1.1086482983203481</v>
      </c>
      <c r="H78">
        <v>-5.1521026928017486</v>
      </c>
      <c r="I78" t="str">
        <f t="shared" si="6"/>
        <v>failed</v>
      </c>
    </row>
    <row r="79" spans="1:9" x14ac:dyDescent="0.2">
      <c r="A79">
        <v>44137</v>
      </c>
      <c r="B79" t="s">
        <v>8</v>
      </c>
      <c r="C79">
        <v>4.6098374518331999E-4</v>
      </c>
      <c r="D79">
        <v>26</v>
      </c>
      <c r="E79" t="s">
        <v>4</v>
      </c>
      <c r="F79">
        <v>3.2711788264587049E-4</v>
      </c>
      <c r="G79">
        <v>1.108031231773502E-4</v>
      </c>
      <c r="H79">
        <v>1.208141600164949</v>
      </c>
      <c r="I79" t="str">
        <f t="shared" si="6"/>
        <v>failed</v>
      </c>
    </row>
    <row r="80" spans="1:9" x14ac:dyDescent="0.2">
      <c r="A80">
        <v>44140</v>
      </c>
      <c r="B80" t="s">
        <v>8</v>
      </c>
      <c r="C80">
        <v>0.24798537149361999</v>
      </c>
      <c r="D80">
        <v>23</v>
      </c>
      <c r="E80" t="s">
        <v>4</v>
      </c>
      <c r="F80">
        <v>2.3407873624162212</v>
      </c>
      <c r="G80">
        <v>0.39210537907676352</v>
      </c>
      <c r="H80">
        <v>-5.3373457815096472</v>
      </c>
      <c r="I80" t="str">
        <f t="shared" si="6"/>
        <v>failed</v>
      </c>
    </row>
    <row r="81" spans="1:9" x14ac:dyDescent="0.2">
      <c r="A81">
        <v>44141</v>
      </c>
      <c r="B81" t="s">
        <v>8</v>
      </c>
      <c r="C81">
        <v>4.1154819016277001E-15</v>
      </c>
      <c r="D81">
        <v>29</v>
      </c>
      <c r="E81" t="s">
        <v>4</v>
      </c>
      <c r="F81">
        <v>0</v>
      </c>
      <c r="G81">
        <v>0</v>
      </c>
      <c r="H81">
        <v>0</v>
      </c>
      <c r="I81" t="str">
        <f t="shared" si="6"/>
        <v>failed</v>
      </c>
    </row>
    <row r="82" spans="1:9" x14ac:dyDescent="0.2">
      <c r="A82">
        <v>44183</v>
      </c>
      <c r="B82" t="s">
        <v>8</v>
      </c>
      <c r="C82">
        <v>5.3570607936797E-2</v>
      </c>
      <c r="D82">
        <v>22</v>
      </c>
      <c r="E82" t="s">
        <v>4</v>
      </c>
      <c r="F82">
        <v>0.31050340365578277</v>
      </c>
      <c r="G82">
        <v>4.993090150519227E-2</v>
      </c>
      <c r="H82">
        <v>-5.1457672097562268</v>
      </c>
      <c r="I82" t="str">
        <f t="shared" si="6"/>
        <v>failed</v>
      </c>
    </row>
    <row r="83" spans="1:9" x14ac:dyDescent="0.2">
      <c r="A83">
        <v>44293</v>
      </c>
      <c r="B83" t="s">
        <v>8</v>
      </c>
      <c r="C83">
        <v>0.25673339177868998</v>
      </c>
      <c r="D83">
        <v>32</v>
      </c>
      <c r="E83" t="s">
        <v>4</v>
      </c>
      <c r="F83">
        <v>3.9206485825262312</v>
      </c>
      <c r="G83">
        <v>0.57630852471639826</v>
      </c>
      <c r="H83">
        <v>-6.3575585534684889</v>
      </c>
      <c r="I83" t="str">
        <f t="shared" si="6"/>
        <v>failed</v>
      </c>
    </row>
    <row r="84" spans="1:9" x14ac:dyDescent="0.2">
      <c r="A84">
        <v>44296</v>
      </c>
      <c r="B84" t="s">
        <v>8</v>
      </c>
      <c r="C84">
        <v>5.2904520190562999E-2</v>
      </c>
      <c r="D84">
        <v>39</v>
      </c>
      <c r="E84" t="s">
        <v>4</v>
      </c>
      <c r="F84">
        <v>8.2395927236563499E-2</v>
      </c>
      <c r="G84">
        <v>1.432118785527187E-2</v>
      </c>
      <c r="H84">
        <v>-2.0592849799916988</v>
      </c>
      <c r="I84" t="str">
        <f t="shared" si="6"/>
        <v>failed</v>
      </c>
    </row>
    <row r="85" spans="1:9" x14ac:dyDescent="0.2">
      <c r="A85">
        <v>44298</v>
      </c>
      <c r="B85" t="s">
        <v>8</v>
      </c>
      <c r="C85">
        <v>0.13151048521541001</v>
      </c>
      <c r="D85">
        <v>29</v>
      </c>
      <c r="E85" t="s">
        <v>4</v>
      </c>
      <c r="F85">
        <v>5.2301919606036673</v>
      </c>
      <c r="G85">
        <v>1.131005411401697</v>
      </c>
      <c r="H85">
        <v>-4.5080964458598602</v>
      </c>
      <c r="I85" t="str">
        <f t="shared" si="6"/>
        <v>failed</v>
      </c>
    </row>
    <row r="86" spans="1:9" x14ac:dyDescent="0.2">
      <c r="A86">
        <v>44301</v>
      </c>
      <c r="B86" t="s">
        <v>8</v>
      </c>
      <c r="C86">
        <v>6.5151016655699001E-2</v>
      </c>
      <c r="D86">
        <v>28</v>
      </c>
      <c r="E86" t="s">
        <v>4</v>
      </c>
      <c r="F86">
        <v>5.2107739078593063E-2</v>
      </c>
      <c r="G86">
        <v>1.8642801094143551E-2</v>
      </c>
      <c r="H86">
        <v>0.69964151369957595</v>
      </c>
      <c r="I86" t="str">
        <f t="shared" si="6"/>
        <v>failed</v>
      </c>
    </row>
    <row r="87" spans="1:9" x14ac:dyDescent="0.2">
      <c r="A87">
        <v>44306</v>
      </c>
      <c r="B87" t="s">
        <v>8</v>
      </c>
      <c r="C87">
        <v>8.6873230051641007E-2</v>
      </c>
      <c r="D87">
        <v>28</v>
      </c>
      <c r="E87" t="s">
        <v>4</v>
      </c>
      <c r="F87">
        <v>7.0021624344077962</v>
      </c>
      <c r="G87">
        <v>1.3141357108885121</v>
      </c>
      <c r="H87">
        <v>-5.262233684891342</v>
      </c>
      <c r="I87" t="str">
        <f t="shared" si="6"/>
        <v>failed</v>
      </c>
    </row>
    <row r="88" spans="1:9" x14ac:dyDescent="0.2">
      <c r="A88">
        <v>44307</v>
      </c>
      <c r="B88" t="s">
        <v>8</v>
      </c>
      <c r="C88">
        <v>4.4819604086845002E-2</v>
      </c>
      <c r="D88">
        <v>28</v>
      </c>
      <c r="E88" t="s">
        <v>4</v>
      </c>
      <c r="F88">
        <v>6.10906105280693</v>
      </c>
      <c r="G88">
        <v>1.2360378990919769</v>
      </c>
      <c r="H88">
        <v>-4.9061937770476307</v>
      </c>
      <c r="I88" t="str">
        <f t="shared" si="6"/>
        <v>failed</v>
      </c>
    </row>
    <row r="89" spans="1:9" x14ac:dyDescent="0.2">
      <c r="A89">
        <v>44308</v>
      </c>
      <c r="B89" t="s">
        <v>8</v>
      </c>
      <c r="C89">
        <v>3.0100676995654999E-2</v>
      </c>
      <c r="D89">
        <v>35</v>
      </c>
      <c r="E89" t="s">
        <v>4</v>
      </c>
      <c r="F89">
        <v>0.28714661565968869</v>
      </c>
      <c r="G89">
        <v>4.2874136588473451E-2</v>
      </c>
      <c r="H89">
        <v>-5.9953612857859513</v>
      </c>
      <c r="I89" t="str">
        <f t="shared" si="6"/>
        <v>failed</v>
      </c>
    </row>
    <row r="90" spans="1:9" x14ac:dyDescent="0.2">
      <c r="A90">
        <v>44309</v>
      </c>
      <c r="B90" t="s">
        <v>8</v>
      </c>
      <c r="C90">
        <v>8.5915814609473007E-2</v>
      </c>
      <c r="D90">
        <v>31</v>
      </c>
      <c r="E90" t="s">
        <v>4</v>
      </c>
      <c r="F90">
        <v>0.67734126210845669</v>
      </c>
      <c r="G90">
        <v>0.10562305312179431</v>
      </c>
      <c r="H90">
        <v>-5.5993973855026606</v>
      </c>
      <c r="I90" t="str">
        <f t="shared" si="6"/>
        <v>failed</v>
      </c>
    </row>
    <row r="91" spans="1:9" x14ac:dyDescent="0.2">
      <c r="A91">
        <v>44340</v>
      </c>
      <c r="B91" t="s">
        <v>8</v>
      </c>
      <c r="C91">
        <v>0.15288668833708</v>
      </c>
      <c r="D91">
        <v>23</v>
      </c>
      <c r="E91" t="s">
        <v>4</v>
      </c>
      <c r="F91">
        <v>0.1049302745523497</v>
      </c>
      <c r="G91">
        <v>2.6465241648645589E-2</v>
      </c>
      <c r="H91">
        <v>1.812052745310186</v>
      </c>
      <c r="I91" t="str">
        <f t="shared" si="6"/>
        <v>failed</v>
      </c>
    </row>
    <row r="92" spans="1:9" x14ac:dyDescent="0.2">
      <c r="A92">
        <v>44341</v>
      </c>
      <c r="B92" t="s">
        <v>8</v>
      </c>
      <c r="C92">
        <v>0.27812563139816998</v>
      </c>
      <c r="D92">
        <v>28</v>
      </c>
      <c r="E92" t="s">
        <v>4</v>
      </c>
      <c r="F92">
        <v>1.3781766625766101</v>
      </c>
      <c r="G92">
        <v>0.20485569879952631</v>
      </c>
      <c r="H92">
        <v>-5.3698824959463876</v>
      </c>
      <c r="I92" t="str">
        <f t="shared" si="6"/>
        <v>failed</v>
      </c>
    </row>
    <row r="93" spans="1:9" x14ac:dyDescent="0.2">
      <c r="A93">
        <v>44351</v>
      </c>
      <c r="B93" t="s">
        <v>8</v>
      </c>
      <c r="C93">
        <v>3.6757148964859002E-2</v>
      </c>
      <c r="D93">
        <v>42</v>
      </c>
      <c r="E93" t="s">
        <v>4</v>
      </c>
      <c r="F93">
        <v>0.28824387363721571</v>
      </c>
      <c r="G93">
        <v>4.5170259045588163E-2</v>
      </c>
      <c r="H93">
        <v>-5.567528944621345</v>
      </c>
      <c r="I93" t="str">
        <f t="shared" si="6"/>
        <v>failed</v>
      </c>
    </row>
    <row r="94" spans="1:9" x14ac:dyDescent="0.2">
      <c r="A94">
        <v>44352</v>
      </c>
      <c r="B94" t="s">
        <v>8</v>
      </c>
      <c r="C94">
        <v>5.7425328859922E-16</v>
      </c>
      <c r="D94">
        <v>45</v>
      </c>
      <c r="E94" t="s">
        <v>4</v>
      </c>
      <c r="F94">
        <v>2.5099463747668469E-5</v>
      </c>
      <c r="G94">
        <v>2.3426026678463179E-5</v>
      </c>
      <c r="H94">
        <v>-1.07143495105569</v>
      </c>
      <c r="I94" t="str">
        <f t="shared" si="6"/>
        <v>failed</v>
      </c>
    </row>
    <row r="95" spans="1:9" x14ac:dyDescent="0.2">
      <c r="A95">
        <v>44371</v>
      </c>
      <c r="B95" t="s">
        <v>8</v>
      </c>
      <c r="C95">
        <v>1.0609225776438</v>
      </c>
      <c r="D95">
        <v>44</v>
      </c>
      <c r="E95" t="s">
        <v>4</v>
      </c>
      <c r="F95">
        <v>8.2589644476384869</v>
      </c>
      <c r="G95">
        <v>1.169116034725793</v>
      </c>
      <c r="H95">
        <v>-6.1568241784340794</v>
      </c>
      <c r="I95" t="str">
        <f t="shared" si="6"/>
        <v>failed</v>
      </c>
    </row>
    <row r="96" spans="1:9" x14ac:dyDescent="0.2">
      <c r="A96">
        <v>44414</v>
      </c>
      <c r="B96" t="s">
        <v>8</v>
      </c>
      <c r="C96">
        <v>3.9719185794778998E-15</v>
      </c>
      <c r="D96">
        <v>30</v>
      </c>
      <c r="E96" t="s">
        <v>4</v>
      </c>
      <c r="F96">
        <v>1.0863784330209011E-2</v>
      </c>
      <c r="G96">
        <v>1.2720555728681551E-2</v>
      </c>
      <c r="H96">
        <v>-0.85403378295132171</v>
      </c>
      <c r="I96" t="str">
        <f t="shared" si="6"/>
        <v>failed</v>
      </c>
    </row>
    <row r="97" spans="1:9" x14ac:dyDescent="0.2">
      <c r="A97">
        <v>44415</v>
      </c>
      <c r="B97" t="s">
        <v>8</v>
      </c>
      <c r="C97">
        <v>2.6798486801297E-15</v>
      </c>
      <c r="D97">
        <v>35</v>
      </c>
      <c r="E97" t="s">
        <v>4</v>
      </c>
      <c r="F97">
        <v>4.3444948548226883E-3</v>
      </c>
      <c r="G97">
        <v>3.1548452659783811E-3</v>
      </c>
      <c r="H97">
        <v>-1.3770865093364171</v>
      </c>
      <c r="I97" t="str">
        <f t="shared" si="6"/>
        <v>failed</v>
      </c>
    </row>
    <row r="98" spans="1:9" x14ac:dyDescent="0.2">
      <c r="A98">
        <v>44427</v>
      </c>
      <c r="B98" t="s">
        <v>8</v>
      </c>
      <c r="C98">
        <v>5.1282963504447998E-2</v>
      </c>
      <c r="D98">
        <v>29</v>
      </c>
      <c r="E98" t="s">
        <v>4</v>
      </c>
      <c r="F98">
        <v>0.46560398162676792</v>
      </c>
      <c r="G98">
        <v>7.910675892809102E-2</v>
      </c>
      <c r="H98">
        <v>-5.237492013785273</v>
      </c>
      <c r="I98" t="str">
        <f t="shared" si="6"/>
        <v>failed</v>
      </c>
    </row>
    <row r="99" spans="1:9" x14ac:dyDescent="0.2">
      <c r="A99">
        <v>44453</v>
      </c>
      <c r="B99" t="s">
        <v>8</v>
      </c>
      <c r="C99">
        <v>0.42272167043328002</v>
      </c>
      <c r="D99">
        <v>41</v>
      </c>
      <c r="E99" t="s">
        <v>4</v>
      </c>
      <c r="F99">
        <v>0.4157009677513272</v>
      </c>
      <c r="G99">
        <v>0.13968405515885349</v>
      </c>
      <c r="H99">
        <v>5.0261303439135672E-2</v>
      </c>
      <c r="I99" t="str">
        <f t="shared" si="6"/>
        <v>failed</v>
      </c>
    </row>
    <row r="100" spans="1:9" x14ac:dyDescent="0.2">
      <c r="A100">
        <v>44489</v>
      </c>
      <c r="B100" t="s">
        <v>8</v>
      </c>
      <c r="C100">
        <v>2.0052982512805002</v>
      </c>
      <c r="D100">
        <v>24</v>
      </c>
      <c r="E100" t="s">
        <v>4</v>
      </c>
      <c r="F100">
        <v>5.8501137997966781</v>
      </c>
      <c r="G100">
        <v>1.093042339272642</v>
      </c>
      <c r="H100">
        <v>-3.5175357901274511</v>
      </c>
      <c r="I100" t="str">
        <f t="shared" si="6"/>
        <v>failed</v>
      </c>
    </row>
    <row r="101" spans="1:9" x14ac:dyDescent="0.2">
      <c r="A101">
        <v>44540</v>
      </c>
      <c r="B101" t="s">
        <v>8</v>
      </c>
      <c r="C101">
        <v>2.6699391902022001</v>
      </c>
      <c r="D101">
        <v>22</v>
      </c>
      <c r="E101" t="s">
        <v>4</v>
      </c>
      <c r="F101">
        <v>2.9845458733859371</v>
      </c>
      <c r="G101">
        <v>0.47320656469302741</v>
      </c>
      <c r="H101">
        <v>-0.66484006490448866</v>
      </c>
      <c r="I101" t="str">
        <f t="shared" si="6"/>
        <v>failed</v>
      </c>
    </row>
    <row r="102" spans="1:9" x14ac:dyDescent="0.2">
      <c r="A102">
        <v>44557</v>
      </c>
      <c r="B102" t="s">
        <v>8</v>
      </c>
      <c r="C102">
        <v>3.0738022218799001E-4</v>
      </c>
      <c r="D102">
        <v>33</v>
      </c>
      <c r="E102" t="s">
        <v>4</v>
      </c>
      <c r="F102">
        <v>2.7663835771665372E-4</v>
      </c>
      <c r="G102">
        <v>3.4398051745816282E-4</v>
      </c>
      <c r="H102">
        <v>8.9370946641889673E-2</v>
      </c>
      <c r="I102" t="str">
        <f t="shared" si="6"/>
        <v>failed</v>
      </c>
    </row>
    <row r="103" spans="1:9" x14ac:dyDescent="0.2">
      <c r="A103">
        <v>44569</v>
      </c>
      <c r="B103" t="s">
        <v>8</v>
      </c>
      <c r="C103">
        <v>1.7944223222530999E-2</v>
      </c>
      <c r="D103">
        <v>18</v>
      </c>
      <c r="E103" t="s">
        <v>4</v>
      </c>
      <c r="F103">
        <v>9.8027696353519909E-3</v>
      </c>
      <c r="G103">
        <v>3.1663993642463821E-3</v>
      </c>
      <c r="H103">
        <v>2.5712023818308598</v>
      </c>
      <c r="I103" t="str">
        <f t="shared" si="6"/>
        <v>failed</v>
      </c>
    </row>
    <row r="104" spans="1:9" x14ac:dyDescent="0.2">
      <c r="A104">
        <v>44582</v>
      </c>
      <c r="B104" t="s">
        <v>8</v>
      </c>
      <c r="C104">
        <v>0.23771343710254</v>
      </c>
      <c r="D104">
        <v>42</v>
      </c>
      <c r="E104" t="s">
        <v>4</v>
      </c>
      <c r="F104">
        <v>0.72249032271125291</v>
      </c>
      <c r="G104">
        <v>0.1163494097969162</v>
      </c>
      <c r="H104">
        <v>-4.1665607625760117</v>
      </c>
      <c r="I104" t="str">
        <f t="shared" si="6"/>
        <v>failed</v>
      </c>
    </row>
    <row r="105" spans="1:9" x14ac:dyDescent="0.2">
      <c r="A105">
        <v>44588</v>
      </c>
      <c r="B105" t="s">
        <v>8</v>
      </c>
      <c r="C105">
        <v>2.6388479195037</v>
      </c>
      <c r="D105">
        <v>30</v>
      </c>
      <c r="E105" t="s">
        <v>4</v>
      </c>
      <c r="F105">
        <v>5.4312104754539154</v>
      </c>
      <c r="G105">
        <v>0.83376085821958845</v>
      </c>
      <c r="H105">
        <v>-3.349116870169488</v>
      </c>
      <c r="I105" t="str">
        <f t="shared" si="6"/>
        <v>failed</v>
      </c>
    </row>
    <row r="106" spans="1:9" x14ac:dyDescent="0.2">
      <c r="A106">
        <v>44589</v>
      </c>
      <c r="B106" t="s">
        <v>8</v>
      </c>
      <c r="C106">
        <v>0.73808720476020995</v>
      </c>
      <c r="D106">
        <v>36</v>
      </c>
      <c r="E106" t="s">
        <v>4</v>
      </c>
      <c r="F106">
        <v>11.447180639114549</v>
      </c>
      <c r="G106">
        <v>1.8282578967219001</v>
      </c>
      <c r="H106">
        <v>-5.8575398216826784</v>
      </c>
      <c r="I106" t="str">
        <f t="shared" si="6"/>
        <v>failed</v>
      </c>
    </row>
    <row r="107" spans="1:9" x14ac:dyDescent="0.2">
      <c r="A107">
        <v>44590</v>
      </c>
      <c r="B107" t="s">
        <v>8</v>
      </c>
      <c r="C107">
        <v>0.26608484188082998</v>
      </c>
      <c r="D107">
        <v>21</v>
      </c>
      <c r="E107" t="s">
        <v>4</v>
      </c>
      <c r="F107">
        <v>0.67502924491272009</v>
      </c>
      <c r="G107">
        <v>0.101076152544662</v>
      </c>
      <c r="H107">
        <v>-4.0459039321979393</v>
      </c>
      <c r="I107" t="str">
        <f t="shared" si="6"/>
        <v>failed</v>
      </c>
    </row>
    <row r="108" spans="1:9" x14ac:dyDescent="0.2">
      <c r="A108">
        <v>44618</v>
      </c>
      <c r="B108" t="s">
        <v>8</v>
      </c>
      <c r="C108">
        <v>1.3465350921920001</v>
      </c>
      <c r="D108">
        <v>30</v>
      </c>
      <c r="E108" t="s">
        <v>4</v>
      </c>
      <c r="F108">
        <v>3.511949502316333</v>
      </c>
      <c r="G108">
        <v>0.68916525912100146</v>
      </c>
      <c r="H108">
        <v>-3.1420829495762019</v>
      </c>
      <c r="I108" t="str">
        <f t="shared" si="6"/>
        <v>failed</v>
      </c>
    </row>
    <row r="109" spans="1:9" x14ac:dyDescent="0.2">
      <c r="A109">
        <v>44627</v>
      </c>
      <c r="B109" t="s">
        <v>8</v>
      </c>
      <c r="C109">
        <v>4.5254901422248001E-2</v>
      </c>
      <c r="D109">
        <v>33</v>
      </c>
      <c r="E109" t="s">
        <v>4</v>
      </c>
      <c r="F109">
        <v>0.19132898865680659</v>
      </c>
      <c r="G109">
        <v>2.9611262152740701E-2</v>
      </c>
      <c r="H109">
        <v>-4.9330584586729183</v>
      </c>
      <c r="I109" t="str">
        <f t="shared" si="6"/>
        <v>failed</v>
      </c>
    </row>
    <row r="110" spans="1:9" x14ac:dyDescent="0.2">
      <c r="A110">
        <v>44645</v>
      </c>
      <c r="B110" t="s">
        <v>8</v>
      </c>
      <c r="C110">
        <v>2.1983766209972E-3</v>
      </c>
      <c r="D110">
        <v>25</v>
      </c>
      <c r="E110" t="s">
        <v>4</v>
      </c>
      <c r="F110">
        <v>1.4398376607793969E-3</v>
      </c>
      <c r="G110">
        <v>7.5309973969411273E-4</v>
      </c>
      <c r="H110">
        <v>1.0072224437710311</v>
      </c>
      <c r="I110" t="str">
        <f t="shared" si="6"/>
        <v>failed</v>
      </c>
    </row>
    <row r="111" spans="1:9" x14ac:dyDescent="0.2">
      <c r="A111">
        <v>44666</v>
      </c>
      <c r="B111" t="s">
        <v>8</v>
      </c>
      <c r="C111">
        <v>0.30719400832638</v>
      </c>
      <c r="D111">
        <v>43</v>
      </c>
      <c r="E111" t="s">
        <v>4</v>
      </c>
      <c r="F111">
        <v>6.5620619137155121</v>
      </c>
      <c r="G111">
        <v>1.0108587583649089</v>
      </c>
      <c r="H111">
        <v>-6.1876774115372459</v>
      </c>
      <c r="I111" t="str">
        <f t="shared" si="6"/>
        <v>failed</v>
      </c>
    </row>
    <row r="112" spans="1:9" x14ac:dyDescent="0.2">
      <c r="A112">
        <v>44671</v>
      </c>
      <c r="B112" t="s">
        <v>8</v>
      </c>
      <c r="C112">
        <v>1.8184687472309002E-15</v>
      </c>
      <c r="D112">
        <v>38</v>
      </c>
      <c r="E112" t="s">
        <v>4</v>
      </c>
      <c r="F112">
        <v>1.1215772791435621E-2</v>
      </c>
      <c r="G112">
        <v>1.143085474532626E-2</v>
      </c>
      <c r="H112">
        <v>-0.98118408826963899</v>
      </c>
      <c r="I112" t="str">
        <f t="shared" si="6"/>
        <v>failed</v>
      </c>
    </row>
    <row r="113" spans="1:9" x14ac:dyDescent="0.2">
      <c r="A113">
        <v>44685</v>
      </c>
      <c r="B113" t="s">
        <v>8</v>
      </c>
      <c r="C113">
        <v>8.1681580047563998E-2</v>
      </c>
      <c r="D113">
        <v>27</v>
      </c>
      <c r="E113" t="s">
        <v>4</v>
      </c>
      <c r="F113">
        <v>0.41258571429300672</v>
      </c>
      <c r="G113">
        <v>6.2519696216209175E-2</v>
      </c>
      <c r="H113">
        <v>-5.2927981783706954</v>
      </c>
      <c r="I113" t="str">
        <f t="shared" si="6"/>
        <v>failed</v>
      </c>
    </row>
    <row r="114" spans="1:9" x14ac:dyDescent="0.2">
      <c r="A114">
        <v>44692</v>
      </c>
      <c r="B114" t="s">
        <v>8</v>
      </c>
      <c r="C114">
        <v>4.9021339739967998E-4</v>
      </c>
      <c r="D114">
        <v>35</v>
      </c>
      <c r="E114" t="s">
        <v>4</v>
      </c>
      <c r="F114">
        <v>2.432562535330695E-4</v>
      </c>
      <c r="G114">
        <v>9.2127328814440974E-5</v>
      </c>
      <c r="H114">
        <v>2.6806067976203032</v>
      </c>
      <c r="I114" t="str">
        <f t="shared" si="6"/>
        <v>failed</v>
      </c>
    </row>
    <row r="115" spans="1:9" x14ac:dyDescent="0.2">
      <c r="A115">
        <v>44695</v>
      </c>
      <c r="B115" t="s">
        <v>8</v>
      </c>
      <c r="C115">
        <v>0.10041466892247</v>
      </c>
      <c r="D115">
        <v>27</v>
      </c>
      <c r="E115" t="s">
        <v>4</v>
      </c>
      <c r="F115">
        <v>9.5340904242042903</v>
      </c>
      <c r="G115">
        <v>1.504380996794356</v>
      </c>
      <c r="H115">
        <v>-6.2708022604538201</v>
      </c>
      <c r="I115" t="str">
        <f t="shared" si="6"/>
        <v>failed</v>
      </c>
    </row>
    <row r="116" spans="1:9" x14ac:dyDescent="0.2">
      <c r="A116">
        <v>44733</v>
      </c>
      <c r="B116" t="s">
        <v>8</v>
      </c>
      <c r="C116">
        <v>2.3221114750458001</v>
      </c>
      <c r="D116">
        <v>44</v>
      </c>
      <c r="E116" t="s">
        <v>4</v>
      </c>
      <c r="F116">
        <v>3.7110801816801842</v>
      </c>
      <c r="G116">
        <v>0.58823078327522726</v>
      </c>
      <c r="H116">
        <v>-2.361264908478081</v>
      </c>
      <c r="I116" t="str">
        <f t="shared" si="6"/>
        <v>failed</v>
      </c>
    </row>
    <row r="117" spans="1:9" x14ac:dyDescent="0.2">
      <c r="A117">
        <v>44773</v>
      </c>
      <c r="B117" t="s">
        <v>8</v>
      </c>
      <c r="C117">
        <v>0.17819296245943</v>
      </c>
      <c r="D117">
        <v>28</v>
      </c>
      <c r="E117" t="s">
        <v>4</v>
      </c>
      <c r="F117">
        <v>5.1337841028211502</v>
      </c>
      <c r="G117">
        <v>0.87423039416578174</v>
      </c>
      <c r="H117">
        <v>-5.6685184745727133</v>
      </c>
      <c r="I117" t="str">
        <f t="shared" si="6"/>
        <v>failed</v>
      </c>
    </row>
    <row r="118" spans="1:9" x14ac:dyDescent="0.2">
      <c r="A118">
        <v>44784</v>
      </c>
      <c r="B118" t="s">
        <v>8</v>
      </c>
      <c r="C118">
        <v>7.1090935515914E-2</v>
      </c>
      <c r="D118">
        <v>27</v>
      </c>
      <c r="E118" t="s">
        <v>4</v>
      </c>
      <c r="F118">
        <v>5.9998784901033151</v>
      </c>
      <c r="G118">
        <v>1.32058117809006</v>
      </c>
      <c r="H118">
        <v>-4.4895290444485463</v>
      </c>
      <c r="I118" t="str">
        <f t="shared" si="6"/>
        <v>failed</v>
      </c>
    </row>
    <row r="119" spans="1:9" x14ac:dyDescent="0.2">
      <c r="A119">
        <v>44787</v>
      </c>
      <c r="B119" t="s">
        <v>8</v>
      </c>
      <c r="C119">
        <v>4.8171027808625998E-2</v>
      </c>
      <c r="D119">
        <v>23</v>
      </c>
      <c r="E119" t="s">
        <v>4</v>
      </c>
      <c r="F119">
        <v>0.48332965127916949</v>
      </c>
      <c r="G119">
        <v>7.4401154706721845E-2</v>
      </c>
      <c r="H119">
        <v>-5.8488154543551607</v>
      </c>
      <c r="I119" t="str">
        <f t="shared" si="6"/>
        <v>failed</v>
      </c>
    </row>
    <row r="120" spans="1:9" x14ac:dyDescent="0.2">
      <c r="A120">
        <v>44833</v>
      </c>
      <c r="B120" t="s">
        <v>8</v>
      </c>
      <c r="C120">
        <v>2.8510542716767999E-2</v>
      </c>
      <c r="D120">
        <v>34</v>
      </c>
      <c r="E120" t="s">
        <v>4</v>
      </c>
      <c r="F120">
        <v>0.16739244893549271</v>
      </c>
      <c r="G120">
        <v>2.711325784273164E-2</v>
      </c>
      <c r="H120">
        <v>-5.1222876654770957</v>
      </c>
      <c r="I120" t="str">
        <f t="shared" si="6"/>
        <v>failed</v>
      </c>
    </row>
    <row r="121" spans="1:9" x14ac:dyDescent="0.2">
      <c r="A121">
        <v>44857</v>
      </c>
      <c r="B121" t="s">
        <v>8</v>
      </c>
      <c r="C121">
        <v>2.3350803270278999</v>
      </c>
      <c r="D121">
        <v>38</v>
      </c>
      <c r="E121" t="s">
        <v>4</v>
      </c>
      <c r="F121">
        <v>3.8609209724071301</v>
      </c>
      <c r="G121">
        <v>0.59446789268145139</v>
      </c>
      <c r="H121">
        <v>-2.5667334841191578</v>
      </c>
      <c r="I121" t="str">
        <f t="shared" si="6"/>
        <v>failed</v>
      </c>
    </row>
    <row r="122" spans="1:9" x14ac:dyDescent="0.2">
      <c r="A122">
        <v>44871</v>
      </c>
      <c r="B122" t="s">
        <v>8</v>
      </c>
      <c r="C122">
        <v>0.15089549976821001</v>
      </c>
      <c r="D122">
        <v>27</v>
      </c>
      <c r="E122" t="s">
        <v>4</v>
      </c>
      <c r="F122">
        <v>0.5499329415243257</v>
      </c>
      <c r="G122">
        <v>8.3723170469497468E-2</v>
      </c>
      <c r="H122">
        <v>-4.7661530197484847</v>
      </c>
      <c r="I122" t="str">
        <f t="shared" si="6"/>
        <v>failed</v>
      </c>
    </row>
    <row r="123" spans="1:9" x14ac:dyDescent="0.2">
      <c r="A123">
        <v>44956</v>
      </c>
      <c r="B123" t="s">
        <v>8</v>
      </c>
      <c r="C123">
        <v>5.6859619268456001E-2</v>
      </c>
      <c r="D123">
        <v>23</v>
      </c>
      <c r="E123" t="s">
        <v>4</v>
      </c>
      <c r="F123">
        <v>3.1920898218359639E-2</v>
      </c>
      <c r="G123">
        <v>5.6815105482228923E-3</v>
      </c>
      <c r="H123">
        <v>4.3894525651981358</v>
      </c>
      <c r="I123" t="str">
        <f t="shared" si="6"/>
        <v>failed</v>
      </c>
    </row>
    <row r="124" spans="1:9" x14ac:dyDescent="0.2">
      <c r="A124">
        <v>44973</v>
      </c>
      <c r="B124" t="s">
        <v>8</v>
      </c>
      <c r="C124">
        <v>0.14197425463367</v>
      </c>
      <c r="D124">
        <v>23</v>
      </c>
      <c r="E124" t="s">
        <v>4</v>
      </c>
      <c r="F124">
        <v>4.2756442708811626</v>
      </c>
      <c r="G124">
        <v>0.73136011841954074</v>
      </c>
      <c r="H124">
        <v>-5.6520309381653178</v>
      </c>
      <c r="I124" t="str">
        <f t="shared" si="6"/>
        <v>failed</v>
      </c>
    </row>
    <row r="125" spans="1:9" x14ac:dyDescent="0.2">
      <c r="A125">
        <v>45041</v>
      </c>
      <c r="B125" t="s">
        <v>8</v>
      </c>
      <c r="C125">
        <v>1.5052978939907</v>
      </c>
      <c r="D125">
        <v>34</v>
      </c>
      <c r="E125" t="s">
        <v>4</v>
      </c>
      <c r="F125">
        <v>6.1472755591467152</v>
      </c>
      <c r="G125">
        <v>0.92184938540756589</v>
      </c>
      <c r="H125">
        <v>-5.0355055160163111</v>
      </c>
      <c r="I125" t="str">
        <f t="shared" si="6"/>
        <v>failed</v>
      </c>
    </row>
    <row r="126" spans="1:9" x14ac:dyDescent="0.2">
      <c r="A126">
        <v>45043</v>
      </c>
      <c r="B126" t="s">
        <v>8</v>
      </c>
      <c r="C126">
        <v>2.0163248956483999</v>
      </c>
      <c r="D126">
        <v>42</v>
      </c>
      <c r="E126" t="s">
        <v>4</v>
      </c>
      <c r="F126">
        <v>4.218028129185746</v>
      </c>
      <c r="G126">
        <v>0.63795042146776837</v>
      </c>
      <c r="H126">
        <v>-3.451213698506197</v>
      </c>
      <c r="I126" t="str">
        <f t="shared" si="6"/>
        <v>failed</v>
      </c>
    </row>
    <row r="127" spans="1:9" x14ac:dyDescent="0.2">
      <c r="A127">
        <v>45169</v>
      </c>
      <c r="B127" t="s">
        <v>8</v>
      </c>
      <c r="C127">
        <v>4.7850044018110001E-2</v>
      </c>
      <c r="D127">
        <v>29</v>
      </c>
      <c r="E127" t="s">
        <v>4</v>
      </c>
      <c r="F127">
        <v>0.38512955598160392</v>
      </c>
      <c r="G127">
        <v>5.5813142867387158E-2</v>
      </c>
      <c r="H127">
        <v>-6.0430123557971749</v>
      </c>
      <c r="I127" t="str">
        <f t="shared" si="6"/>
        <v>failed</v>
      </c>
    </row>
    <row r="128" spans="1:9" x14ac:dyDescent="0.2">
      <c r="A128">
        <v>45280</v>
      </c>
      <c r="B128" t="s">
        <v>8</v>
      </c>
      <c r="C128">
        <v>0.28705980212158999</v>
      </c>
      <c r="D128">
        <v>44</v>
      </c>
      <c r="E128" t="s">
        <v>4</v>
      </c>
      <c r="F128">
        <v>0.30969400238868788</v>
      </c>
      <c r="G128">
        <v>5.7414435822520288E-2</v>
      </c>
      <c r="H128">
        <v>-0.39422490080825451</v>
      </c>
      <c r="I128" t="str">
        <f t="shared" si="6"/>
        <v>failed</v>
      </c>
    </row>
    <row r="129" spans="1:9" x14ac:dyDescent="0.2">
      <c r="A129">
        <v>45282</v>
      </c>
      <c r="B129" t="s">
        <v>8</v>
      </c>
      <c r="C129">
        <v>4.7854440716602003E-15</v>
      </c>
      <c r="D129">
        <v>35</v>
      </c>
      <c r="E129" t="s">
        <v>4</v>
      </c>
      <c r="F129">
        <v>5.7822325428465747E-5</v>
      </c>
      <c r="G129">
        <v>1.0185548816734491E-4</v>
      </c>
      <c r="H129">
        <v>-0.56768983654043004</v>
      </c>
      <c r="I129" t="str">
        <f t="shared" si="6"/>
        <v>failed</v>
      </c>
    </row>
    <row r="130" spans="1:9" x14ac:dyDescent="0.2">
      <c r="A130">
        <v>45290</v>
      </c>
      <c r="B130" t="s">
        <v>8</v>
      </c>
      <c r="C130">
        <v>0.86648090283969004</v>
      </c>
      <c r="D130">
        <v>35</v>
      </c>
      <c r="E130" t="s">
        <v>4</v>
      </c>
      <c r="F130">
        <v>2.989467249514139</v>
      </c>
      <c r="G130">
        <v>0.50337736733683813</v>
      </c>
      <c r="H130">
        <v>-4.2174847031885774</v>
      </c>
      <c r="I130" t="str">
        <f t="shared" si="6"/>
        <v>failed</v>
      </c>
    </row>
    <row r="131" spans="1:9" x14ac:dyDescent="0.2">
      <c r="A131">
        <v>45292</v>
      </c>
      <c r="B131" t="s">
        <v>8</v>
      </c>
      <c r="C131">
        <v>0.18520799124247</v>
      </c>
      <c r="D131">
        <v>21</v>
      </c>
      <c r="E131" t="s">
        <v>4</v>
      </c>
      <c r="F131">
        <v>1.3163700944170771</v>
      </c>
      <c r="G131">
        <v>0.19031260679179349</v>
      </c>
      <c r="H131">
        <v>-5.9437055812709323</v>
      </c>
      <c r="I131" t="str">
        <f t="shared" ref="I131:I194" si="7">IF((H131&lt;-2)*AND(D131&lt;=19),"passed","failed")</f>
        <v>failed</v>
      </c>
    </row>
    <row r="132" spans="1:9" x14ac:dyDescent="0.2">
      <c r="A132">
        <v>45299</v>
      </c>
      <c r="B132" t="s">
        <v>8</v>
      </c>
      <c r="C132">
        <v>8.9425448002763003E-2</v>
      </c>
      <c r="D132">
        <v>28</v>
      </c>
      <c r="E132" t="s">
        <v>4</v>
      </c>
      <c r="F132">
        <v>0.51886294609508665</v>
      </c>
      <c r="G132">
        <v>0.1509817493050073</v>
      </c>
      <c r="H132">
        <v>-2.844300718921934</v>
      </c>
      <c r="I132" t="str">
        <f t="shared" si="7"/>
        <v>failed</v>
      </c>
    </row>
    <row r="133" spans="1:9" x14ac:dyDescent="0.2">
      <c r="A133">
        <v>45300</v>
      </c>
      <c r="B133" t="s">
        <v>8</v>
      </c>
      <c r="C133">
        <v>1.8817550180134E-2</v>
      </c>
      <c r="D133">
        <v>20</v>
      </c>
      <c r="E133" t="s">
        <v>4</v>
      </c>
      <c r="F133">
        <v>3.7883930587072481</v>
      </c>
      <c r="G133">
        <v>0.78913401870068689</v>
      </c>
      <c r="H133">
        <v>-4.7768508506751983</v>
      </c>
      <c r="I133" t="str">
        <f t="shared" si="7"/>
        <v>failed</v>
      </c>
    </row>
    <row r="134" spans="1:9" x14ac:dyDescent="0.2">
      <c r="A134">
        <v>45363</v>
      </c>
      <c r="B134" t="s">
        <v>8</v>
      </c>
      <c r="C134">
        <v>0.46606989157973999</v>
      </c>
      <c r="D134">
        <v>12</v>
      </c>
      <c r="E134" t="s">
        <v>4</v>
      </c>
      <c r="F134">
        <v>0.2037902048353159</v>
      </c>
      <c r="G134">
        <v>8.9272599548784068E-2</v>
      </c>
      <c r="H134">
        <v>2.9379640345422859</v>
      </c>
      <c r="I134" t="str">
        <f t="shared" si="7"/>
        <v>failed</v>
      </c>
    </row>
    <row r="135" spans="1:9" x14ac:dyDescent="0.2">
      <c r="A135">
        <v>45369</v>
      </c>
      <c r="B135" t="s">
        <v>8</v>
      </c>
      <c r="C135">
        <v>4.5272337715892001E-2</v>
      </c>
      <c r="D135">
        <v>21</v>
      </c>
      <c r="E135" t="s">
        <v>4</v>
      </c>
      <c r="F135">
        <v>0.38708168195920312</v>
      </c>
      <c r="G135">
        <v>5.826928884713193E-2</v>
      </c>
      <c r="H135">
        <v>-5.8660291039425454</v>
      </c>
      <c r="I135" t="str">
        <f t="shared" si="7"/>
        <v>failed</v>
      </c>
    </row>
    <row r="136" spans="1:9" x14ac:dyDescent="0.2">
      <c r="A136">
        <v>45376</v>
      </c>
      <c r="B136" t="s">
        <v>8</v>
      </c>
      <c r="C136">
        <v>0.19281961337869</v>
      </c>
      <c r="D136">
        <v>26</v>
      </c>
      <c r="E136" t="s">
        <v>4</v>
      </c>
      <c r="F136">
        <v>1.6069920720493089</v>
      </c>
      <c r="G136">
        <v>0.2590226657772407</v>
      </c>
      <c r="H136">
        <v>-5.4596475348099593</v>
      </c>
      <c r="I136" t="str">
        <f t="shared" si="7"/>
        <v>failed</v>
      </c>
    </row>
    <row r="137" spans="1:9" x14ac:dyDescent="0.2">
      <c r="A137">
        <v>45409</v>
      </c>
      <c r="B137" t="s">
        <v>8</v>
      </c>
      <c r="C137">
        <v>6.2851339000161003E-6</v>
      </c>
      <c r="D137">
        <v>45</v>
      </c>
      <c r="E137" t="s">
        <v>4</v>
      </c>
      <c r="F137">
        <v>3.158279783992518E-6</v>
      </c>
      <c r="G137">
        <v>2.2431071519303962E-6</v>
      </c>
      <c r="H137">
        <v>1.3939833912121029</v>
      </c>
      <c r="I137" t="str">
        <f t="shared" si="7"/>
        <v>failed</v>
      </c>
    </row>
    <row r="138" spans="1:9" x14ac:dyDescent="0.2">
      <c r="A138">
        <v>45475</v>
      </c>
      <c r="B138" t="s">
        <v>8</v>
      </c>
      <c r="C138">
        <v>0.12590840192666999</v>
      </c>
      <c r="D138">
        <v>34</v>
      </c>
      <c r="E138" t="s">
        <v>4</v>
      </c>
      <c r="F138">
        <v>0.64296075533275343</v>
      </c>
      <c r="G138">
        <v>0.1017836975087882</v>
      </c>
      <c r="H138">
        <v>-5.0799132480075011</v>
      </c>
      <c r="I138" t="str">
        <f t="shared" si="7"/>
        <v>failed</v>
      </c>
    </row>
    <row r="139" spans="1:9" x14ac:dyDescent="0.2">
      <c r="A139">
        <v>45714</v>
      </c>
      <c r="B139" t="s">
        <v>8</v>
      </c>
      <c r="C139">
        <v>4.0345069949886998</v>
      </c>
      <c r="D139">
        <v>25</v>
      </c>
      <c r="E139" t="s">
        <v>4</v>
      </c>
      <c r="F139">
        <v>3.7972446698633808</v>
      </c>
      <c r="G139">
        <v>0.62555799239638576</v>
      </c>
      <c r="H139">
        <v>0.3792811026462618</v>
      </c>
      <c r="I139" t="str">
        <f t="shared" si="7"/>
        <v>failed</v>
      </c>
    </row>
    <row r="140" spans="1:9" x14ac:dyDescent="0.2">
      <c r="A140">
        <v>45720</v>
      </c>
      <c r="B140" t="s">
        <v>8</v>
      </c>
      <c r="C140">
        <v>1.7537234311102001E-2</v>
      </c>
      <c r="D140">
        <v>25</v>
      </c>
      <c r="E140" t="s">
        <v>4</v>
      </c>
      <c r="F140">
        <v>0.88050754783662344</v>
      </c>
      <c r="G140">
        <v>0.31330555177323688</v>
      </c>
      <c r="H140">
        <v>-2.754404793152593</v>
      </c>
      <c r="I140" t="str">
        <f t="shared" si="7"/>
        <v>failed</v>
      </c>
    </row>
    <row r="141" spans="1:9" x14ac:dyDescent="0.2">
      <c r="A141">
        <v>45733</v>
      </c>
      <c r="B141" t="s">
        <v>8</v>
      </c>
      <c r="C141">
        <v>0.48578381656921998</v>
      </c>
      <c r="D141">
        <v>29</v>
      </c>
      <c r="E141" t="s">
        <v>4</v>
      </c>
      <c r="F141">
        <v>8.6498336784426417</v>
      </c>
      <c r="G141">
        <v>1.3786751647695601</v>
      </c>
      <c r="H141">
        <v>-5.9216631085379756</v>
      </c>
      <c r="I141" t="str">
        <f t="shared" si="7"/>
        <v>failed</v>
      </c>
    </row>
    <row r="142" spans="1:9" x14ac:dyDescent="0.2">
      <c r="A142">
        <v>45784</v>
      </c>
      <c r="B142" t="s">
        <v>8</v>
      </c>
      <c r="C142">
        <v>0.19369428021132001</v>
      </c>
      <c r="D142">
        <v>28</v>
      </c>
      <c r="E142" t="s">
        <v>4</v>
      </c>
      <c r="F142">
        <v>8.1440416935412777E-2</v>
      </c>
      <c r="G142">
        <v>3.9832760258311103E-2</v>
      </c>
      <c r="H142">
        <v>2.8181291617240349</v>
      </c>
      <c r="I142" t="str">
        <f t="shared" si="7"/>
        <v>failed</v>
      </c>
    </row>
    <row r="143" spans="1:9" x14ac:dyDescent="0.2">
      <c r="A143">
        <v>45820</v>
      </c>
      <c r="B143" t="s">
        <v>8</v>
      </c>
      <c r="C143">
        <v>1.0662464141034E-4</v>
      </c>
      <c r="D143">
        <v>32</v>
      </c>
      <c r="E143" t="s">
        <v>4</v>
      </c>
      <c r="F143">
        <v>5.0425065250784651E-4</v>
      </c>
      <c r="G143">
        <v>3.6009480699840542E-4</v>
      </c>
      <c r="H143">
        <v>-1.1042258965442731</v>
      </c>
      <c r="I143" t="str">
        <f t="shared" si="7"/>
        <v>failed</v>
      </c>
    </row>
    <row r="144" spans="1:9" x14ac:dyDescent="0.2">
      <c r="A144">
        <v>45829</v>
      </c>
      <c r="B144" t="s">
        <v>8</v>
      </c>
      <c r="C144">
        <v>1.8950666849747</v>
      </c>
      <c r="D144">
        <v>36</v>
      </c>
      <c r="E144" t="s">
        <v>4</v>
      </c>
      <c r="F144">
        <v>4.1696369222277276</v>
      </c>
      <c r="G144">
        <v>0.65032134200372804</v>
      </c>
      <c r="H144">
        <v>-3.4976097051417412</v>
      </c>
      <c r="I144" t="str">
        <f t="shared" si="7"/>
        <v>failed</v>
      </c>
    </row>
    <row r="145" spans="1:9" x14ac:dyDescent="0.2">
      <c r="A145">
        <v>45878</v>
      </c>
      <c r="B145" t="s">
        <v>8</v>
      </c>
      <c r="C145">
        <v>0.34709061737550001</v>
      </c>
      <c r="D145">
        <v>26</v>
      </c>
      <c r="E145" t="s">
        <v>4</v>
      </c>
      <c r="F145">
        <v>8.2686550728518657</v>
      </c>
      <c r="G145">
        <v>1.2536709243349691</v>
      </c>
      <c r="H145">
        <v>-6.3186952027929459</v>
      </c>
      <c r="I145" t="str">
        <f t="shared" si="7"/>
        <v>failed</v>
      </c>
    </row>
    <row r="146" spans="1:9" x14ac:dyDescent="0.2">
      <c r="A146">
        <v>46082</v>
      </c>
      <c r="B146" t="s">
        <v>8</v>
      </c>
      <c r="C146">
        <v>0.17014361404938</v>
      </c>
      <c r="D146">
        <v>29</v>
      </c>
      <c r="E146" t="s">
        <v>4</v>
      </c>
      <c r="F146">
        <v>7.0334660652373787E-2</v>
      </c>
      <c r="G146">
        <v>2.3770357888911742E-2</v>
      </c>
      <c r="H146">
        <v>4.1988830737616274</v>
      </c>
      <c r="I146" t="str">
        <f t="shared" si="7"/>
        <v>failed</v>
      </c>
    </row>
    <row r="147" spans="1:9" x14ac:dyDescent="0.2">
      <c r="A147">
        <v>46110</v>
      </c>
      <c r="B147" t="s">
        <v>8</v>
      </c>
      <c r="C147">
        <v>0.30255767752397</v>
      </c>
      <c r="D147">
        <v>21</v>
      </c>
      <c r="E147" t="s">
        <v>4</v>
      </c>
      <c r="F147">
        <v>7.31629507472383</v>
      </c>
      <c r="G147">
        <v>1.2334591291486821</v>
      </c>
      <c r="H147">
        <v>-5.6862341292497112</v>
      </c>
      <c r="I147" t="str">
        <f t="shared" si="7"/>
        <v>failed</v>
      </c>
    </row>
    <row r="148" spans="1:9" x14ac:dyDescent="0.2">
      <c r="A148">
        <v>46112</v>
      </c>
      <c r="B148" t="s">
        <v>8</v>
      </c>
      <c r="C148">
        <v>1.5655914358395999E-3</v>
      </c>
      <c r="D148">
        <v>40</v>
      </c>
      <c r="E148" t="s">
        <v>4</v>
      </c>
      <c r="F148">
        <v>3.5401202126907859E-3</v>
      </c>
      <c r="G148">
        <v>2.1659235247027992E-3</v>
      </c>
      <c r="H148">
        <v>-0.91163365388086215</v>
      </c>
      <c r="I148" t="str">
        <f t="shared" si="7"/>
        <v>failed</v>
      </c>
    </row>
    <row r="149" spans="1:9" x14ac:dyDescent="0.2">
      <c r="A149">
        <v>46130</v>
      </c>
      <c r="B149" t="s">
        <v>8</v>
      </c>
      <c r="C149">
        <v>1.2146202276236</v>
      </c>
      <c r="D149">
        <v>20</v>
      </c>
      <c r="E149" t="s">
        <v>4</v>
      </c>
      <c r="F149">
        <v>0.47382935135743698</v>
      </c>
      <c r="G149">
        <v>0.1522340394145803</v>
      </c>
      <c r="H149">
        <v>4.8661316425349392</v>
      </c>
      <c r="I149" t="str">
        <f t="shared" si="7"/>
        <v>failed</v>
      </c>
    </row>
    <row r="150" spans="1:9" x14ac:dyDescent="0.2">
      <c r="A150">
        <v>46150</v>
      </c>
      <c r="B150" t="s">
        <v>8</v>
      </c>
      <c r="C150">
        <v>3.6228332883598999</v>
      </c>
      <c r="D150">
        <v>32</v>
      </c>
      <c r="E150" t="s">
        <v>4</v>
      </c>
      <c r="F150">
        <v>3.49516657760751</v>
      </c>
      <c r="G150">
        <v>0.50413385919640152</v>
      </c>
      <c r="H150">
        <v>0.25323970692214959</v>
      </c>
      <c r="I150" t="str">
        <f t="shared" si="7"/>
        <v>failed</v>
      </c>
    </row>
    <row r="151" spans="1:9" x14ac:dyDescent="0.2">
      <c r="A151">
        <v>46182</v>
      </c>
      <c r="B151" t="s">
        <v>8</v>
      </c>
      <c r="C151">
        <v>9.2408906044215006E-3</v>
      </c>
      <c r="D151">
        <v>35</v>
      </c>
      <c r="E151" t="s">
        <v>4</v>
      </c>
      <c r="F151">
        <v>4.9761220908882573E-3</v>
      </c>
      <c r="G151">
        <v>2.3060523098108738E-3</v>
      </c>
      <c r="H151">
        <v>1.8493806473466581</v>
      </c>
      <c r="I151" t="str">
        <f t="shared" si="7"/>
        <v>failed</v>
      </c>
    </row>
    <row r="152" spans="1:9" x14ac:dyDescent="0.2">
      <c r="A152">
        <v>46243</v>
      </c>
      <c r="B152" t="s">
        <v>8</v>
      </c>
      <c r="C152">
        <v>2.8712664429961E-16</v>
      </c>
      <c r="D152">
        <v>35</v>
      </c>
      <c r="E152" t="s">
        <v>4</v>
      </c>
      <c r="F152">
        <v>2.6730124521072792E-4</v>
      </c>
      <c r="G152">
        <v>1.3031507276509511E-3</v>
      </c>
      <c r="H152">
        <v>-0.20511920803863029</v>
      </c>
      <c r="I152" t="str">
        <f t="shared" si="7"/>
        <v>failed</v>
      </c>
    </row>
    <row r="153" spans="1:9" x14ac:dyDescent="0.2">
      <c r="A153">
        <v>46264</v>
      </c>
      <c r="B153" t="s">
        <v>8</v>
      </c>
      <c r="C153">
        <v>0.47715966121587999</v>
      </c>
      <c r="D153">
        <v>25</v>
      </c>
      <c r="E153" t="s">
        <v>4</v>
      </c>
      <c r="F153">
        <v>3.1015770866517101</v>
      </c>
      <c r="G153">
        <v>0.65106130557114816</v>
      </c>
      <c r="H153">
        <v>-4.0309835694098686</v>
      </c>
      <c r="I153" t="str">
        <f t="shared" si="7"/>
        <v>failed</v>
      </c>
    </row>
    <row r="154" spans="1:9" x14ac:dyDescent="0.2">
      <c r="A154">
        <v>46293</v>
      </c>
      <c r="B154" t="s">
        <v>8</v>
      </c>
      <c r="C154">
        <v>0.13962664075684</v>
      </c>
      <c r="D154">
        <v>35</v>
      </c>
      <c r="E154" t="s">
        <v>4</v>
      </c>
      <c r="F154">
        <v>0.61906104045774035</v>
      </c>
      <c r="G154">
        <v>9.6507573687244816E-2</v>
      </c>
      <c r="H154">
        <v>-4.9678422260891271</v>
      </c>
      <c r="I154" t="str">
        <f t="shared" si="7"/>
        <v>failed</v>
      </c>
    </row>
    <row r="155" spans="1:9" x14ac:dyDescent="0.2">
      <c r="A155">
        <v>46297</v>
      </c>
      <c r="B155" t="s">
        <v>8</v>
      </c>
      <c r="C155">
        <v>2.3409451380578998E-3</v>
      </c>
      <c r="D155">
        <v>36</v>
      </c>
      <c r="E155" t="s">
        <v>4</v>
      </c>
      <c r="F155">
        <v>4.1438274695217063E-3</v>
      </c>
      <c r="G155">
        <v>1.382936925275764E-3</v>
      </c>
      <c r="H155">
        <v>-1.3036620098223179</v>
      </c>
      <c r="I155" t="str">
        <f t="shared" si="7"/>
        <v>failed</v>
      </c>
    </row>
    <row r="156" spans="1:9" x14ac:dyDescent="0.2">
      <c r="A156">
        <v>46299</v>
      </c>
      <c r="B156" t="s">
        <v>8</v>
      </c>
      <c r="C156">
        <v>5.5653928787932003E-2</v>
      </c>
      <c r="D156">
        <v>26</v>
      </c>
      <c r="E156" t="s">
        <v>4</v>
      </c>
      <c r="F156">
        <v>8.5125414216931734</v>
      </c>
      <c r="G156">
        <v>1.3857566812809241</v>
      </c>
      <c r="H156">
        <v>-6.1027217888555407</v>
      </c>
      <c r="I156" t="str">
        <f t="shared" si="7"/>
        <v>failed</v>
      </c>
    </row>
    <row r="157" spans="1:9" x14ac:dyDescent="0.2">
      <c r="A157">
        <v>46308</v>
      </c>
      <c r="B157" t="s">
        <v>8</v>
      </c>
      <c r="C157">
        <v>0.11692219228532</v>
      </c>
      <c r="D157">
        <v>31</v>
      </c>
      <c r="E157" t="s">
        <v>4</v>
      </c>
      <c r="F157">
        <v>0.76222950711002391</v>
      </c>
      <c r="G157">
        <v>0.1136837361594914</v>
      </c>
      <c r="H157">
        <v>-5.6763380288572902</v>
      </c>
      <c r="I157" t="str">
        <f t="shared" si="7"/>
        <v>failed</v>
      </c>
    </row>
    <row r="158" spans="1:9" x14ac:dyDescent="0.2">
      <c r="A158">
        <v>46313</v>
      </c>
      <c r="B158" t="s">
        <v>8</v>
      </c>
      <c r="C158">
        <v>0.6270898376431</v>
      </c>
      <c r="D158">
        <v>32</v>
      </c>
      <c r="E158" t="s">
        <v>4</v>
      </c>
      <c r="F158">
        <v>5.1977656398024088</v>
      </c>
      <c r="G158">
        <v>0.7730762631976924</v>
      </c>
      <c r="H158">
        <v>-5.9123220046280123</v>
      </c>
      <c r="I158" t="str">
        <f t="shared" si="7"/>
        <v>failed</v>
      </c>
    </row>
    <row r="159" spans="1:9" x14ac:dyDescent="0.2">
      <c r="A159">
        <v>46315</v>
      </c>
      <c r="B159" t="s">
        <v>8</v>
      </c>
      <c r="C159">
        <v>0.36567694099983</v>
      </c>
      <c r="D159">
        <v>30</v>
      </c>
      <c r="E159" t="s">
        <v>4</v>
      </c>
      <c r="F159">
        <v>2.2865113042841378</v>
      </c>
      <c r="G159">
        <v>0.37695035751777972</v>
      </c>
      <c r="H159">
        <v>-5.0957223543519454</v>
      </c>
      <c r="I159" t="str">
        <f t="shared" si="7"/>
        <v>failed</v>
      </c>
    </row>
    <row r="160" spans="1:9" x14ac:dyDescent="0.2">
      <c r="A160">
        <v>46320</v>
      </c>
      <c r="B160" t="s">
        <v>8</v>
      </c>
      <c r="C160">
        <v>2.1921977208329002</v>
      </c>
      <c r="D160">
        <v>40</v>
      </c>
      <c r="E160" t="s">
        <v>4</v>
      </c>
      <c r="F160">
        <v>5.355716147800254</v>
      </c>
      <c r="G160">
        <v>0.79986167181095835</v>
      </c>
      <c r="H160">
        <v>-3.955081907856433</v>
      </c>
      <c r="I160" t="str">
        <f t="shared" si="7"/>
        <v>failed</v>
      </c>
    </row>
    <row r="161" spans="1:9" x14ac:dyDescent="0.2">
      <c r="A161">
        <v>46358</v>
      </c>
      <c r="B161" t="s">
        <v>8</v>
      </c>
      <c r="C161">
        <v>2.1699922143535999E-2</v>
      </c>
      <c r="D161">
        <v>36</v>
      </c>
      <c r="E161" t="s">
        <v>4</v>
      </c>
      <c r="F161">
        <v>3.2020239880059968E-2</v>
      </c>
      <c r="G161">
        <v>4.9616586253593328E-3</v>
      </c>
      <c r="H161">
        <v>-2.0800136639341238</v>
      </c>
      <c r="I161" t="str">
        <f t="shared" si="7"/>
        <v>failed</v>
      </c>
    </row>
    <row r="162" spans="1:9" x14ac:dyDescent="0.2">
      <c r="A162">
        <v>46363</v>
      </c>
      <c r="B162" t="s">
        <v>8</v>
      </c>
      <c r="C162">
        <v>0.41587189216499998</v>
      </c>
      <c r="D162">
        <v>31</v>
      </c>
      <c r="E162" t="s">
        <v>4</v>
      </c>
      <c r="F162">
        <v>0.27940201593218827</v>
      </c>
      <c r="G162">
        <v>8.8951063965638733E-2</v>
      </c>
      <c r="H162">
        <v>1.534212972264444</v>
      </c>
      <c r="I162" t="str">
        <f t="shared" si="7"/>
        <v>failed</v>
      </c>
    </row>
    <row r="163" spans="1:9" x14ac:dyDescent="0.2">
      <c r="A163">
        <v>46378</v>
      </c>
      <c r="B163" t="s">
        <v>8</v>
      </c>
      <c r="C163">
        <v>1.2102252960537001</v>
      </c>
      <c r="D163">
        <v>34</v>
      </c>
      <c r="E163" t="s">
        <v>4</v>
      </c>
      <c r="F163">
        <v>6.8932782896061928</v>
      </c>
      <c r="G163">
        <v>1.0693423710462511</v>
      </c>
      <c r="H163">
        <v>-5.3145308251389833</v>
      </c>
      <c r="I163" t="str">
        <f t="shared" si="7"/>
        <v>failed</v>
      </c>
    </row>
    <row r="164" spans="1:9" x14ac:dyDescent="0.2">
      <c r="A164">
        <v>46439</v>
      </c>
      <c r="B164" t="s">
        <v>8</v>
      </c>
      <c r="C164">
        <v>8.2837380723985998E-2</v>
      </c>
      <c r="D164">
        <v>43</v>
      </c>
      <c r="E164" t="s">
        <v>4</v>
      </c>
      <c r="F164">
        <v>0.85218563336194275</v>
      </c>
      <c r="G164">
        <v>0.1223920570729751</v>
      </c>
      <c r="H164">
        <v>-6.2859328541168287</v>
      </c>
      <c r="I164" t="str">
        <f t="shared" si="7"/>
        <v>failed</v>
      </c>
    </row>
    <row r="165" spans="1:9" x14ac:dyDescent="0.2">
      <c r="A165">
        <v>46480</v>
      </c>
      <c r="B165" t="s">
        <v>8</v>
      </c>
      <c r="C165">
        <v>5.8824883946570997E-2</v>
      </c>
      <c r="D165">
        <v>21</v>
      </c>
      <c r="E165" t="s">
        <v>4</v>
      </c>
      <c r="F165">
        <v>9.2042593273724285E-2</v>
      </c>
      <c r="G165">
        <v>3.6051763212594033E-2</v>
      </c>
      <c r="H165">
        <v>-0.921389312674466</v>
      </c>
      <c r="I165" t="str">
        <f t="shared" si="7"/>
        <v>failed</v>
      </c>
    </row>
    <row r="166" spans="1:9" x14ac:dyDescent="0.2">
      <c r="A166">
        <v>46545</v>
      </c>
      <c r="B166" t="s">
        <v>8</v>
      </c>
      <c r="C166">
        <v>1.6270509843645001E-15</v>
      </c>
      <c r="D166">
        <v>37</v>
      </c>
      <c r="E166" t="s">
        <v>4</v>
      </c>
      <c r="F166">
        <v>1.2056529428253479E-2</v>
      </c>
      <c r="G166">
        <v>1.7355442808222332E-2</v>
      </c>
      <c r="H166">
        <v>-0.69468290503896379</v>
      </c>
      <c r="I166" t="str">
        <f t="shared" si="7"/>
        <v>failed</v>
      </c>
    </row>
    <row r="167" spans="1:9" x14ac:dyDescent="0.2">
      <c r="A167">
        <v>46555</v>
      </c>
      <c r="B167" t="s">
        <v>8</v>
      </c>
      <c r="C167">
        <v>0.19322414386202</v>
      </c>
      <c r="D167">
        <v>22</v>
      </c>
      <c r="E167" t="s">
        <v>4</v>
      </c>
      <c r="F167">
        <v>0.91784786721706224</v>
      </c>
      <c r="G167">
        <v>0.15419629836702201</v>
      </c>
      <c r="H167">
        <v>-4.6993587461501356</v>
      </c>
      <c r="I167" t="str">
        <f t="shared" si="7"/>
        <v>failed</v>
      </c>
    </row>
    <row r="168" spans="1:9" x14ac:dyDescent="0.2">
      <c r="A168">
        <v>46572</v>
      </c>
      <c r="B168" t="s">
        <v>8</v>
      </c>
      <c r="C168">
        <v>6.6820276497723003E-3</v>
      </c>
      <c r="D168">
        <v>25</v>
      </c>
      <c r="E168" t="s">
        <v>4</v>
      </c>
      <c r="F168">
        <v>3.237773716828222E-3</v>
      </c>
      <c r="G168">
        <v>7.1493804138097951E-4</v>
      </c>
      <c r="H168">
        <v>4.8175558350321062</v>
      </c>
      <c r="I168" t="str">
        <f t="shared" si="7"/>
        <v>failed</v>
      </c>
    </row>
    <row r="169" spans="1:9" x14ac:dyDescent="0.2">
      <c r="A169">
        <v>46604</v>
      </c>
      <c r="B169" t="s">
        <v>8</v>
      </c>
      <c r="C169">
        <v>1.7472378406006999E-2</v>
      </c>
      <c r="D169">
        <v>26</v>
      </c>
      <c r="E169" t="s">
        <v>4</v>
      </c>
      <c r="F169">
        <v>0.20677600623861389</v>
      </c>
      <c r="G169">
        <v>3.7442270366186158E-2</v>
      </c>
      <c r="H169">
        <v>-5.0558800516425046</v>
      </c>
      <c r="I169" t="str">
        <f t="shared" si="7"/>
        <v>failed</v>
      </c>
    </row>
    <row r="170" spans="1:9" x14ac:dyDescent="0.2">
      <c r="A170">
        <v>46643</v>
      </c>
      <c r="B170" t="s">
        <v>8</v>
      </c>
      <c r="C170">
        <v>9.5708881433203001E-16</v>
      </c>
      <c r="D170">
        <v>36</v>
      </c>
      <c r="E170" t="s">
        <v>4</v>
      </c>
      <c r="F170">
        <v>7.4355127296440154E-3</v>
      </c>
      <c r="G170">
        <v>6.4436921865383403E-3</v>
      </c>
      <c r="H170">
        <v>-1.1539211548896939</v>
      </c>
      <c r="I170" t="str">
        <f t="shared" si="7"/>
        <v>failed</v>
      </c>
    </row>
    <row r="171" spans="1:9" x14ac:dyDescent="0.2">
      <c r="A171">
        <v>48243</v>
      </c>
      <c r="B171" t="s">
        <v>8</v>
      </c>
      <c r="C171">
        <v>1.8345331582330999</v>
      </c>
      <c r="D171">
        <v>32</v>
      </c>
      <c r="E171" t="s">
        <v>4</v>
      </c>
      <c r="F171">
        <v>3.628638007904879</v>
      </c>
      <c r="G171">
        <v>0.69847603561774674</v>
      </c>
      <c r="H171">
        <v>-2.5685990043810172</v>
      </c>
      <c r="I171" t="str">
        <f t="shared" si="7"/>
        <v>failed</v>
      </c>
    </row>
    <row r="172" spans="1:9" x14ac:dyDescent="0.2">
      <c r="A172">
        <v>48245</v>
      </c>
      <c r="B172" t="s">
        <v>8</v>
      </c>
      <c r="C172">
        <v>0.70505530577069997</v>
      </c>
      <c r="D172">
        <v>27</v>
      </c>
      <c r="E172" t="s">
        <v>4</v>
      </c>
      <c r="F172">
        <v>0.65501454715324037</v>
      </c>
      <c r="G172">
        <v>0.13649500499048869</v>
      </c>
      <c r="H172">
        <v>0.36661237985191553</v>
      </c>
      <c r="I172" t="str">
        <f t="shared" si="7"/>
        <v>failed</v>
      </c>
    </row>
    <row r="173" spans="1:9" x14ac:dyDescent="0.2">
      <c r="A173">
        <v>48249</v>
      </c>
      <c r="B173" t="s">
        <v>8</v>
      </c>
      <c r="C173">
        <v>4.5289181831271001E-2</v>
      </c>
      <c r="D173">
        <v>41</v>
      </c>
      <c r="E173" t="s">
        <v>4</v>
      </c>
      <c r="F173">
        <v>0.54591002881599049</v>
      </c>
      <c r="G173">
        <v>0.1171492539314066</v>
      </c>
      <c r="H173">
        <v>-4.2733592420302013</v>
      </c>
      <c r="I173" t="str">
        <f t="shared" si="7"/>
        <v>failed</v>
      </c>
    </row>
    <row r="174" spans="1:9" x14ac:dyDescent="0.2">
      <c r="A174">
        <v>48373</v>
      </c>
      <c r="B174" t="s">
        <v>8</v>
      </c>
      <c r="C174">
        <v>4.1964966533934001E-2</v>
      </c>
      <c r="D174">
        <v>21</v>
      </c>
      <c r="E174" t="s">
        <v>4</v>
      </c>
      <c r="F174">
        <v>1.234975559415215</v>
      </c>
      <c r="G174">
        <v>0.2193628266556524</v>
      </c>
      <c r="H174">
        <v>-5.4385267142551283</v>
      </c>
      <c r="I174" t="str">
        <f t="shared" si="7"/>
        <v>failed</v>
      </c>
    </row>
    <row r="175" spans="1:9" x14ac:dyDescent="0.2">
      <c r="A175">
        <v>48398</v>
      </c>
      <c r="B175" t="s">
        <v>8</v>
      </c>
      <c r="C175">
        <v>3.1423872636021999</v>
      </c>
      <c r="D175">
        <v>34</v>
      </c>
      <c r="E175" t="s">
        <v>4</v>
      </c>
      <c r="F175">
        <v>4.0419942685650581</v>
      </c>
      <c r="G175">
        <v>0.57914399331968014</v>
      </c>
      <c r="H175">
        <v>-1.5533390924185779</v>
      </c>
      <c r="I175" t="str">
        <f t="shared" si="7"/>
        <v>failed</v>
      </c>
    </row>
    <row r="176" spans="1:9" x14ac:dyDescent="0.2">
      <c r="A176">
        <v>48587</v>
      </c>
      <c r="B176" t="s">
        <v>8</v>
      </c>
      <c r="C176">
        <v>2.2637184012160998</v>
      </c>
      <c r="D176">
        <v>44</v>
      </c>
      <c r="E176" t="s">
        <v>4</v>
      </c>
      <c r="F176">
        <v>3.6162826903605492</v>
      </c>
      <c r="G176">
        <v>0.51665746333427631</v>
      </c>
      <c r="H176">
        <v>-2.617912998712232</v>
      </c>
      <c r="I176" t="str">
        <f t="shared" si="7"/>
        <v>failed</v>
      </c>
    </row>
    <row r="177" spans="1:9" x14ac:dyDescent="0.2">
      <c r="A177">
        <v>48830</v>
      </c>
      <c r="B177" t="s">
        <v>8</v>
      </c>
      <c r="C177">
        <v>0.34913186866481999</v>
      </c>
      <c r="D177">
        <v>39</v>
      </c>
      <c r="E177" t="s">
        <v>4</v>
      </c>
      <c r="F177">
        <v>1.149735082023861</v>
      </c>
      <c r="G177">
        <v>0.25420720465782698</v>
      </c>
      <c r="H177">
        <v>-3.1494119705878569</v>
      </c>
      <c r="I177" t="str">
        <f t="shared" si="7"/>
        <v>failed</v>
      </c>
    </row>
    <row r="178" spans="1:9" x14ac:dyDescent="0.2">
      <c r="A178">
        <v>49011</v>
      </c>
      <c r="B178" t="s">
        <v>8</v>
      </c>
      <c r="C178">
        <v>1.9685071715703</v>
      </c>
      <c r="D178">
        <v>28</v>
      </c>
      <c r="E178" t="s">
        <v>4</v>
      </c>
      <c r="F178">
        <v>3.5945303723406639</v>
      </c>
      <c r="G178">
        <v>0.53822505512291052</v>
      </c>
      <c r="H178">
        <v>-3.0210841827105179</v>
      </c>
      <c r="I178" t="str">
        <f t="shared" si="7"/>
        <v>failed</v>
      </c>
    </row>
    <row r="179" spans="1:9" x14ac:dyDescent="0.2">
      <c r="A179">
        <v>49326</v>
      </c>
      <c r="B179" t="s">
        <v>8</v>
      </c>
      <c r="C179">
        <v>0.32515123113472999</v>
      </c>
      <c r="D179">
        <v>31</v>
      </c>
      <c r="E179" t="s">
        <v>4</v>
      </c>
      <c r="F179">
        <v>0.22926426596538449</v>
      </c>
      <c r="G179">
        <v>7.0852637072063365E-2</v>
      </c>
      <c r="H179">
        <v>1.3533295178811959</v>
      </c>
      <c r="I179" t="str">
        <f t="shared" si="7"/>
        <v>failed</v>
      </c>
    </row>
    <row r="180" spans="1:9" x14ac:dyDescent="0.2">
      <c r="A180">
        <v>49369</v>
      </c>
      <c r="B180" t="s">
        <v>8</v>
      </c>
      <c r="C180">
        <v>0.22573147222885001</v>
      </c>
      <c r="D180">
        <v>27</v>
      </c>
      <c r="E180" t="s">
        <v>4</v>
      </c>
      <c r="F180">
        <v>3.8978669945412241</v>
      </c>
      <c r="G180">
        <v>0.74715245350239023</v>
      </c>
      <c r="H180">
        <v>-4.914841014171448</v>
      </c>
      <c r="I180" t="str">
        <f t="shared" si="7"/>
        <v>failed</v>
      </c>
    </row>
    <row r="181" spans="1:9" x14ac:dyDescent="0.2">
      <c r="A181">
        <v>49399</v>
      </c>
      <c r="B181" t="s">
        <v>8</v>
      </c>
      <c r="C181">
        <v>0.24442341872057999</v>
      </c>
      <c r="D181">
        <v>35</v>
      </c>
      <c r="E181" t="s">
        <v>4</v>
      </c>
      <c r="F181">
        <v>5.3589524001415398</v>
      </c>
      <c r="G181">
        <v>0.76981641780180621</v>
      </c>
      <c r="H181">
        <v>-6.6438294418627528</v>
      </c>
      <c r="I181" t="str">
        <f t="shared" si="7"/>
        <v>failed</v>
      </c>
    </row>
    <row r="182" spans="1:9" x14ac:dyDescent="0.2">
      <c r="A182">
        <v>49410</v>
      </c>
      <c r="B182" t="s">
        <v>8</v>
      </c>
      <c r="C182">
        <v>0.22628189094483001</v>
      </c>
      <c r="D182">
        <v>36</v>
      </c>
      <c r="E182" t="s">
        <v>4</v>
      </c>
      <c r="F182">
        <v>0.63835213475208619</v>
      </c>
      <c r="G182">
        <v>0.10206008083725759</v>
      </c>
      <c r="H182">
        <v>-4.0375261358487116</v>
      </c>
      <c r="I182" t="str">
        <f t="shared" si="7"/>
        <v>failed</v>
      </c>
    </row>
    <row r="183" spans="1:9" x14ac:dyDescent="0.2">
      <c r="A183">
        <v>49453</v>
      </c>
      <c r="B183" t="s">
        <v>8</v>
      </c>
      <c r="C183">
        <v>1.6286246081506001E-2</v>
      </c>
      <c r="D183">
        <v>28</v>
      </c>
      <c r="E183" t="s">
        <v>4</v>
      </c>
      <c r="F183">
        <v>1.017687144703598E-2</v>
      </c>
      <c r="G183">
        <v>3.7433283789217661E-3</v>
      </c>
      <c r="H183">
        <v>1.632070183548384</v>
      </c>
      <c r="I183" t="str">
        <f t="shared" si="7"/>
        <v>failed</v>
      </c>
    </row>
    <row r="184" spans="1:9" x14ac:dyDescent="0.2">
      <c r="A184">
        <v>49483</v>
      </c>
      <c r="B184" t="s">
        <v>8</v>
      </c>
      <c r="C184">
        <v>0.21974730360186001</v>
      </c>
      <c r="D184">
        <v>38</v>
      </c>
      <c r="E184" t="s">
        <v>4</v>
      </c>
      <c r="F184">
        <v>0.1201332080645877</v>
      </c>
      <c r="G184">
        <v>3.4912001727222752E-2</v>
      </c>
      <c r="H184">
        <v>2.8532908629981639</v>
      </c>
      <c r="I184" t="str">
        <f t="shared" si="7"/>
        <v>failed</v>
      </c>
    </row>
    <row r="185" spans="1:9" x14ac:dyDescent="0.2">
      <c r="A185">
        <v>49547</v>
      </c>
      <c r="B185" t="s">
        <v>8</v>
      </c>
      <c r="C185">
        <v>1.2522583202231E-2</v>
      </c>
      <c r="D185">
        <v>34</v>
      </c>
      <c r="E185" t="s">
        <v>4</v>
      </c>
      <c r="F185">
        <v>2.4367779338919961E-2</v>
      </c>
      <c r="G185">
        <v>6.8162887279661867E-3</v>
      </c>
      <c r="H185">
        <v>-1.7377779330399741</v>
      </c>
      <c r="I185" t="str">
        <f t="shared" si="7"/>
        <v>failed</v>
      </c>
    </row>
    <row r="186" spans="1:9" x14ac:dyDescent="0.2">
      <c r="A186">
        <v>49620</v>
      </c>
      <c r="B186" t="s">
        <v>8</v>
      </c>
      <c r="C186">
        <v>5.0846938367217999E-3</v>
      </c>
      <c r="D186">
        <v>39</v>
      </c>
      <c r="E186" t="s">
        <v>4</v>
      </c>
      <c r="F186">
        <v>3.1621356151776158E-3</v>
      </c>
      <c r="G186">
        <v>1.3537166688180381E-3</v>
      </c>
      <c r="H186">
        <v>1.4202072455978549</v>
      </c>
      <c r="I186" t="str">
        <f t="shared" si="7"/>
        <v>failed</v>
      </c>
    </row>
    <row r="187" spans="1:9" x14ac:dyDescent="0.2">
      <c r="A187">
        <v>49701</v>
      </c>
      <c r="B187" t="s">
        <v>8</v>
      </c>
      <c r="C187">
        <v>0.54276209026125</v>
      </c>
      <c r="D187">
        <v>40</v>
      </c>
      <c r="E187" t="s">
        <v>4</v>
      </c>
      <c r="F187">
        <v>2.333407123098806</v>
      </c>
      <c r="G187">
        <v>0.35309966538654669</v>
      </c>
      <c r="H187">
        <v>-5.0712170199235302</v>
      </c>
      <c r="I187" t="str">
        <f t="shared" si="7"/>
        <v>failed</v>
      </c>
    </row>
    <row r="188" spans="1:9" x14ac:dyDescent="0.2">
      <c r="A188">
        <v>50035</v>
      </c>
      <c r="B188" t="s">
        <v>8</v>
      </c>
      <c r="C188">
        <v>1.0875020758454E-2</v>
      </c>
      <c r="D188">
        <v>32</v>
      </c>
      <c r="E188" t="s">
        <v>4</v>
      </c>
      <c r="F188">
        <v>1.348926454278021E-2</v>
      </c>
      <c r="G188">
        <v>8.4800145795195323E-3</v>
      </c>
      <c r="H188">
        <v>-0.30828293510713578</v>
      </c>
      <c r="I188" t="str">
        <f t="shared" si="7"/>
        <v>failed</v>
      </c>
    </row>
    <row r="189" spans="1:9" x14ac:dyDescent="0.2">
      <c r="A189">
        <v>50501</v>
      </c>
      <c r="B189" t="s">
        <v>8</v>
      </c>
      <c r="C189">
        <v>0.46628002992030998</v>
      </c>
      <c r="D189">
        <v>26</v>
      </c>
      <c r="E189" t="s">
        <v>4</v>
      </c>
      <c r="F189">
        <v>0.22257575488330811</v>
      </c>
      <c r="G189">
        <v>6.8626350117514945E-2</v>
      </c>
      <c r="H189">
        <v>3.5511764011882541</v>
      </c>
      <c r="I189" t="str">
        <f t="shared" si="7"/>
        <v>failed</v>
      </c>
    </row>
    <row r="190" spans="1:9" x14ac:dyDescent="0.2">
      <c r="A190">
        <v>52064</v>
      </c>
      <c r="B190" t="s">
        <v>8</v>
      </c>
      <c r="C190">
        <v>0.60016335072496996</v>
      </c>
      <c r="D190">
        <v>28</v>
      </c>
      <c r="E190" t="s">
        <v>4</v>
      </c>
      <c r="F190">
        <v>3.991911318723866</v>
      </c>
      <c r="G190">
        <v>0.61427087111101464</v>
      </c>
      <c r="H190">
        <v>-5.5215836001865739</v>
      </c>
      <c r="I190" t="str">
        <f t="shared" si="7"/>
        <v>failed</v>
      </c>
    </row>
    <row r="191" spans="1:9" x14ac:dyDescent="0.2">
      <c r="A191">
        <v>52174</v>
      </c>
      <c r="B191" t="s">
        <v>8</v>
      </c>
      <c r="C191">
        <v>8.3192455234014001E-2</v>
      </c>
      <c r="D191">
        <v>42</v>
      </c>
      <c r="E191" t="s">
        <v>4</v>
      </c>
      <c r="F191">
        <v>2.4389278855801499E-2</v>
      </c>
      <c r="G191">
        <v>1.543064570728785E-2</v>
      </c>
      <c r="H191">
        <v>3.8108046476915152</v>
      </c>
      <c r="I191" t="str">
        <f t="shared" si="7"/>
        <v>failed</v>
      </c>
    </row>
    <row r="192" spans="1:9" x14ac:dyDescent="0.2">
      <c r="A192">
        <v>52221</v>
      </c>
      <c r="B192" t="s">
        <v>8</v>
      </c>
      <c r="C192">
        <v>4.3068996644941002E-15</v>
      </c>
      <c r="D192">
        <v>45</v>
      </c>
      <c r="E192" t="s">
        <v>4</v>
      </c>
      <c r="F192">
        <v>2.3757368410347408E-3</v>
      </c>
      <c r="G192">
        <v>2.8485875956954119E-3</v>
      </c>
      <c r="H192">
        <v>-0.83400519072146151</v>
      </c>
      <c r="I192" t="str">
        <f t="shared" si="7"/>
        <v>failed</v>
      </c>
    </row>
    <row r="193" spans="1:9" x14ac:dyDescent="0.2">
      <c r="A193">
        <v>52269</v>
      </c>
      <c r="B193" t="s">
        <v>8</v>
      </c>
      <c r="C193">
        <v>4.6170815399629E-2</v>
      </c>
      <c r="D193">
        <v>20</v>
      </c>
      <c r="E193" t="s">
        <v>4</v>
      </c>
      <c r="F193">
        <v>0.37579806675716931</v>
      </c>
      <c r="G193">
        <v>5.6926780999678211E-2</v>
      </c>
      <c r="H193">
        <v>-5.7903722214576474</v>
      </c>
      <c r="I193" t="str">
        <f t="shared" si="7"/>
        <v>failed</v>
      </c>
    </row>
    <row r="194" spans="1:9" x14ac:dyDescent="0.2">
      <c r="A194">
        <v>52783</v>
      </c>
      <c r="B194" t="s">
        <v>8</v>
      </c>
      <c r="C194">
        <v>4.2188877455966001E-2</v>
      </c>
      <c r="D194">
        <v>28</v>
      </c>
      <c r="E194" t="s">
        <v>4</v>
      </c>
      <c r="F194">
        <v>0.2815883990903128</v>
      </c>
      <c r="G194">
        <v>4.1038452855838903E-2</v>
      </c>
      <c r="H194">
        <v>-5.8335415926939946</v>
      </c>
      <c r="I194" t="str">
        <f t="shared" si="7"/>
        <v>failed</v>
      </c>
    </row>
    <row r="195" spans="1:9" x14ac:dyDescent="0.2">
      <c r="A195">
        <v>52960</v>
      </c>
      <c r="B195" t="s">
        <v>8</v>
      </c>
      <c r="C195">
        <v>6.9433821851221003E-2</v>
      </c>
      <c r="D195">
        <v>26</v>
      </c>
      <c r="E195" t="s">
        <v>4</v>
      </c>
      <c r="F195">
        <v>3.1862184114427792</v>
      </c>
      <c r="G195">
        <v>0.59154899130719119</v>
      </c>
      <c r="H195">
        <v>-5.2688528513997808</v>
      </c>
      <c r="I195" t="str">
        <f t="shared" ref="I195:I258" si="8">IF((H195&lt;-2)*AND(D195&lt;=19),"passed","failed")</f>
        <v>failed</v>
      </c>
    </row>
    <row r="196" spans="1:9" x14ac:dyDescent="0.2">
      <c r="A196">
        <v>53238</v>
      </c>
      <c r="B196" t="s">
        <v>8</v>
      </c>
      <c r="C196">
        <v>0.18094951180324001</v>
      </c>
      <c r="D196">
        <v>20</v>
      </c>
      <c r="E196" t="s">
        <v>4</v>
      </c>
      <c r="F196">
        <v>1.130871126812141</v>
      </c>
      <c r="G196">
        <v>0.1925439712173895</v>
      </c>
      <c r="H196">
        <v>-4.9335308137817808</v>
      </c>
      <c r="I196" t="str">
        <f t="shared" si="8"/>
        <v>failed</v>
      </c>
    </row>
    <row r="197" spans="1:9" x14ac:dyDescent="0.2">
      <c r="A197">
        <v>53252</v>
      </c>
      <c r="B197" t="s">
        <v>8</v>
      </c>
      <c r="C197">
        <v>1.3995874205495</v>
      </c>
      <c r="D197">
        <v>23</v>
      </c>
      <c r="E197" t="s">
        <v>4</v>
      </c>
      <c r="F197">
        <v>0.47333814780291278</v>
      </c>
      <c r="G197">
        <v>0.12511489591760261</v>
      </c>
      <c r="H197">
        <v>7.4031894120474089</v>
      </c>
      <c r="I197" t="str">
        <f t="shared" si="8"/>
        <v>failed</v>
      </c>
    </row>
    <row r="198" spans="1:9" x14ac:dyDescent="0.2">
      <c r="A198">
        <v>53284</v>
      </c>
      <c r="B198" t="s">
        <v>8</v>
      </c>
      <c r="C198">
        <v>0.22713441563030001</v>
      </c>
      <c r="D198">
        <v>34</v>
      </c>
      <c r="E198" t="s">
        <v>4</v>
      </c>
      <c r="F198">
        <v>1.457668542873799</v>
      </c>
      <c r="G198">
        <v>0.21600718512497219</v>
      </c>
      <c r="H198">
        <v>-5.6967277571418133</v>
      </c>
      <c r="I198" t="str">
        <f t="shared" si="8"/>
        <v>failed</v>
      </c>
    </row>
    <row r="199" spans="1:9" s="6" customFormat="1" x14ac:dyDescent="0.2">
      <c r="A199" s="6">
        <v>34433</v>
      </c>
      <c r="B199" s="6" t="s">
        <v>8</v>
      </c>
      <c r="C199" s="6">
        <v>0.41955768183212</v>
      </c>
      <c r="D199" s="6">
        <v>19</v>
      </c>
      <c r="E199" s="6" t="s">
        <v>4</v>
      </c>
      <c r="F199" s="6">
        <v>1.511726009008638</v>
      </c>
      <c r="G199" s="6">
        <v>0.2602423336121546</v>
      </c>
      <c r="H199" s="6">
        <v>-4.1967358347016672</v>
      </c>
      <c r="I199" s="6" t="str">
        <f t="shared" si="8"/>
        <v>passed</v>
      </c>
    </row>
    <row r="200" spans="1:9" s="6" customFormat="1" x14ac:dyDescent="0.2">
      <c r="A200" s="6">
        <v>34464</v>
      </c>
      <c r="B200" s="6" t="s">
        <v>8</v>
      </c>
      <c r="C200" s="6">
        <v>0.56664153718514998</v>
      </c>
      <c r="D200" s="6">
        <v>13</v>
      </c>
      <c r="E200" s="6" t="s">
        <v>4</v>
      </c>
      <c r="F200" s="6">
        <v>1.167123394830333</v>
      </c>
      <c r="G200" s="6">
        <v>0.1974413778874437</v>
      </c>
      <c r="H200" s="6">
        <v>-3.041317195362693</v>
      </c>
      <c r="I200" s="6" t="str">
        <f t="shared" si="8"/>
        <v>passed</v>
      </c>
    </row>
    <row r="201" spans="1:9" s="6" customFormat="1" x14ac:dyDescent="0.2">
      <c r="A201" s="6">
        <v>38637</v>
      </c>
      <c r="B201" s="6" t="s">
        <v>8</v>
      </c>
      <c r="C201" s="6">
        <v>0.33257893615248002</v>
      </c>
      <c r="D201" s="6">
        <v>19</v>
      </c>
      <c r="E201" s="6" t="s">
        <v>4</v>
      </c>
      <c r="F201" s="6">
        <v>4.4736820730661346</v>
      </c>
      <c r="G201" s="6">
        <v>0.72105564261079291</v>
      </c>
      <c r="H201" s="6">
        <v>-5.743111754759429</v>
      </c>
      <c r="I201" s="6" t="str">
        <f t="shared" si="8"/>
        <v>passed</v>
      </c>
    </row>
    <row r="202" spans="1:9" s="6" customFormat="1" x14ac:dyDescent="0.2">
      <c r="A202" s="6">
        <v>44347</v>
      </c>
      <c r="B202" s="6" t="s">
        <v>8</v>
      </c>
      <c r="C202" s="6">
        <v>0.75415091083701002</v>
      </c>
      <c r="D202" s="6">
        <v>18</v>
      </c>
      <c r="E202" s="6" t="s">
        <v>4</v>
      </c>
      <c r="F202" s="6">
        <v>3.4498163414213261</v>
      </c>
      <c r="G202" s="6">
        <v>0.63082538049691261</v>
      </c>
      <c r="H202" s="6">
        <v>-4.2732355322496574</v>
      </c>
      <c r="I202" s="6" t="str">
        <f t="shared" si="8"/>
        <v>passed</v>
      </c>
    </row>
    <row r="203" spans="1:9" s="6" customFormat="1" x14ac:dyDescent="0.2">
      <c r="A203" s="6">
        <v>45047</v>
      </c>
      <c r="B203" s="6" t="s">
        <v>8</v>
      </c>
      <c r="C203" s="6">
        <v>0.31809463147764</v>
      </c>
      <c r="D203" s="6">
        <v>19</v>
      </c>
      <c r="E203" s="6" t="s">
        <v>4</v>
      </c>
      <c r="F203" s="6">
        <v>2.6194586654239309</v>
      </c>
      <c r="G203" s="6">
        <v>0.42968153259590502</v>
      </c>
      <c r="H203" s="6">
        <v>-5.3559761343306649</v>
      </c>
      <c r="I203" s="6" t="str">
        <f t="shared" si="8"/>
        <v>passed</v>
      </c>
    </row>
    <row r="204" spans="1:9" s="6" customFormat="1" x14ac:dyDescent="0.2">
      <c r="A204" s="6">
        <v>46419</v>
      </c>
      <c r="B204" s="6" t="s">
        <v>8</v>
      </c>
      <c r="C204" s="6">
        <v>0.92839089511113004</v>
      </c>
      <c r="D204" s="6">
        <v>19</v>
      </c>
      <c r="E204" s="6" t="s">
        <v>4</v>
      </c>
      <c r="F204" s="6">
        <v>3.3705277835142651</v>
      </c>
      <c r="G204" s="6">
        <v>0.49045192662397569</v>
      </c>
      <c r="H204" s="6">
        <v>-4.9793603732247016</v>
      </c>
      <c r="I204" s="6" t="str">
        <f t="shared" si="8"/>
        <v>passed</v>
      </c>
    </row>
    <row r="205" spans="1:9" s="6" customFormat="1" x14ac:dyDescent="0.2">
      <c r="A205" s="6">
        <v>49393</v>
      </c>
      <c r="B205" s="6" t="s">
        <v>8</v>
      </c>
      <c r="C205" s="6">
        <v>0.26078644767620002</v>
      </c>
      <c r="D205" s="6">
        <v>18</v>
      </c>
      <c r="E205" s="6" t="s">
        <v>4</v>
      </c>
      <c r="F205" s="6">
        <v>7.5963540450752323</v>
      </c>
      <c r="G205" s="6">
        <v>1.164218158130087</v>
      </c>
      <c r="H205" s="6">
        <v>-6.3008531057281232</v>
      </c>
      <c r="I205" s="6" t="str">
        <f t="shared" si="8"/>
        <v>passed</v>
      </c>
    </row>
    <row r="206" spans="1:9" s="6" customFormat="1" x14ac:dyDescent="0.2">
      <c r="A206" s="6">
        <v>38822</v>
      </c>
      <c r="B206" s="6" t="s">
        <v>8</v>
      </c>
      <c r="C206" s="6">
        <v>1.7454808040025999E-2</v>
      </c>
      <c r="D206" s="6">
        <v>13</v>
      </c>
      <c r="E206" s="6" t="s">
        <v>5</v>
      </c>
      <c r="F206" s="6">
        <v>9.8128006884650072E-3</v>
      </c>
      <c r="G206" s="6">
        <v>4.2037297550808154E-3</v>
      </c>
      <c r="H206" s="6">
        <v>1.8179111876363381</v>
      </c>
      <c r="I206" s="6" t="str">
        <f t="shared" si="8"/>
        <v>failed</v>
      </c>
    </row>
    <row r="207" spans="1:9" x14ac:dyDescent="0.2">
      <c r="A207">
        <v>39386</v>
      </c>
      <c r="B207" t="s">
        <v>8</v>
      </c>
      <c r="C207">
        <v>0.10856128330631</v>
      </c>
      <c r="D207">
        <v>17</v>
      </c>
      <c r="E207" t="s">
        <v>5</v>
      </c>
      <c r="F207">
        <v>2.4194070111787771</v>
      </c>
      <c r="G207">
        <v>0.39977748101981642</v>
      </c>
      <c r="H207">
        <v>-5.7803299024687318</v>
      </c>
      <c r="I207" t="str">
        <f t="shared" si="8"/>
        <v>passed</v>
      </c>
    </row>
    <row r="208" spans="1:9" x14ac:dyDescent="0.2">
      <c r="A208">
        <v>44672</v>
      </c>
      <c r="B208" t="s">
        <v>8</v>
      </c>
      <c r="C208">
        <v>0.19776203097177</v>
      </c>
      <c r="D208">
        <v>13</v>
      </c>
      <c r="E208" t="s">
        <v>5</v>
      </c>
      <c r="F208">
        <v>5.0736917476894767</v>
      </c>
      <c r="G208">
        <v>0.76385287938271262</v>
      </c>
      <c r="H208">
        <v>-6.3833361741832544</v>
      </c>
      <c r="I208" t="str">
        <f t="shared" si="8"/>
        <v>passed</v>
      </c>
    </row>
    <row r="209" spans="1:9" x14ac:dyDescent="0.2">
      <c r="A209">
        <v>44731</v>
      </c>
      <c r="B209" t="s">
        <v>8</v>
      </c>
      <c r="C209">
        <v>5.6605710947414997E-2</v>
      </c>
      <c r="D209">
        <v>18</v>
      </c>
      <c r="E209" t="s">
        <v>5</v>
      </c>
      <c r="F209">
        <v>3.4442464467827358</v>
      </c>
      <c r="G209">
        <v>0.71120915129718354</v>
      </c>
      <c r="H209">
        <v>-4.7632130852880037</v>
      </c>
      <c r="I209" t="str">
        <f t="shared" si="8"/>
        <v>passed</v>
      </c>
    </row>
    <row r="210" spans="1:9" x14ac:dyDescent="0.2">
      <c r="A210">
        <v>45948</v>
      </c>
      <c r="B210" t="s">
        <v>8</v>
      </c>
      <c r="C210">
        <v>0.15587138042723001</v>
      </c>
      <c r="D210">
        <v>17</v>
      </c>
      <c r="E210" t="s">
        <v>5</v>
      </c>
      <c r="F210">
        <v>4.7555807690393292</v>
      </c>
      <c r="G210">
        <v>0.95250621498175969</v>
      </c>
      <c r="H210">
        <v>-4.8290597124347139</v>
      </c>
      <c r="I210" t="str">
        <f t="shared" si="8"/>
        <v>passed</v>
      </c>
    </row>
    <row r="211" spans="1:9" x14ac:dyDescent="0.2">
      <c r="A211">
        <v>46126</v>
      </c>
      <c r="B211" t="s">
        <v>8</v>
      </c>
      <c r="C211">
        <v>6.6131789603319002E-2</v>
      </c>
      <c r="D211">
        <v>18</v>
      </c>
      <c r="E211" t="s">
        <v>5</v>
      </c>
      <c r="F211">
        <v>4.6327202590257972</v>
      </c>
      <c r="G211">
        <v>0.69146777823553851</v>
      </c>
      <c r="H211">
        <v>-6.6041956157021922</v>
      </c>
      <c r="I211" t="str">
        <f t="shared" si="8"/>
        <v>passed</v>
      </c>
    </row>
    <row r="212" spans="1:9" x14ac:dyDescent="0.2">
      <c r="A212">
        <v>46214</v>
      </c>
      <c r="B212" t="s">
        <v>8</v>
      </c>
      <c r="C212">
        <v>4.1587045312746998E-2</v>
      </c>
      <c r="D212">
        <v>18</v>
      </c>
      <c r="E212" t="s">
        <v>5</v>
      </c>
      <c r="F212">
        <v>0.52002596869152296</v>
      </c>
      <c r="G212">
        <v>9.0877629734416224E-2</v>
      </c>
      <c r="H212">
        <v>-5.2646501100103782</v>
      </c>
      <c r="I212" t="str">
        <f t="shared" si="8"/>
        <v>passed</v>
      </c>
    </row>
    <row r="213" spans="1:9" x14ac:dyDescent="0.2">
      <c r="A213">
        <v>48522</v>
      </c>
      <c r="B213" t="s">
        <v>8</v>
      </c>
      <c r="C213">
        <v>0.12503450603979999</v>
      </c>
      <c r="D213">
        <v>14</v>
      </c>
      <c r="E213" t="s">
        <v>5</v>
      </c>
      <c r="F213">
        <v>4.6101787246567687</v>
      </c>
      <c r="G213">
        <v>0.80390298298694474</v>
      </c>
      <c r="H213">
        <v>-5.5792108171463308</v>
      </c>
      <c r="I213" t="str">
        <f t="shared" si="8"/>
        <v>passed</v>
      </c>
    </row>
    <row r="214" spans="1:9" x14ac:dyDescent="0.2">
      <c r="A214">
        <v>49395</v>
      </c>
      <c r="B214" t="s">
        <v>8</v>
      </c>
      <c r="C214">
        <v>1.6420565603299998E-2</v>
      </c>
      <c r="D214">
        <v>19</v>
      </c>
      <c r="E214" t="s">
        <v>5</v>
      </c>
      <c r="F214">
        <v>5.2192155535757614</v>
      </c>
      <c r="G214">
        <v>0.78158881203328967</v>
      </c>
      <c r="H214">
        <v>-6.6566907149521253</v>
      </c>
      <c r="I214" t="str">
        <f t="shared" si="8"/>
        <v>passed</v>
      </c>
    </row>
    <row r="215" spans="1:9" x14ac:dyDescent="0.2">
      <c r="A215">
        <v>49733</v>
      </c>
      <c r="B215" t="s">
        <v>8</v>
      </c>
      <c r="C215">
        <v>4.0392539579266001E-2</v>
      </c>
      <c r="D215">
        <v>12</v>
      </c>
      <c r="E215" t="s">
        <v>5</v>
      </c>
      <c r="F215">
        <v>0.35593917818157411</v>
      </c>
      <c r="G215">
        <v>5.5424589313158953E-2</v>
      </c>
      <c r="H215">
        <v>-5.6932607442413614</v>
      </c>
      <c r="I215" t="str">
        <f t="shared" si="8"/>
        <v>passed</v>
      </c>
    </row>
    <row r="216" spans="1:9" x14ac:dyDescent="0.2">
      <c r="A216">
        <v>50392</v>
      </c>
      <c r="B216" t="s">
        <v>8</v>
      </c>
      <c r="C216">
        <v>0.13900288121585</v>
      </c>
      <c r="D216">
        <v>18</v>
      </c>
      <c r="E216" t="s">
        <v>5</v>
      </c>
      <c r="F216">
        <v>1.215782841508257</v>
      </c>
      <c r="G216">
        <v>0.2144053127918413</v>
      </c>
      <c r="H216">
        <v>-5.0221701424806371</v>
      </c>
      <c r="I216" t="str">
        <f t="shared" si="8"/>
        <v>passed</v>
      </c>
    </row>
    <row r="217" spans="1:9" x14ac:dyDescent="0.2">
      <c r="A217">
        <v>30725</v>
      </c>
      <c r="B217" t="s">
        <v>9</v>
      </c>
      <c r="C217">
        <v>1.1676195192225E-3</v>
      </c>
      <c r="D217">
        <v>9</v>
      </c>
      <c r="E217" t="s">
        <v>4</v>
      </c>
      <c r="F217">
        <v>1.183561355201425E-3</v>
      </c>
      <c r="G217">
        <v>3.0381645521485658E-4</v>
      </c>
      <c r="H217">
        <v>-5.2471930686040461E-2</v>
      </c>
      <c r="I217" t="str">
        <f t="shared" si="8"/>
        <v>failed</v>
      </c>
    </row>
    <row r="218" spans="1:9" x14ac:dyDescent="0.2">
      <c r="A218">
        <v>48114</v>
      </c>
      <c r="B218" t="s">
        <v>9</v>
      </c>
      <c r="C218">
        <v>0.35117409883799</v>
      </c>
      <c r="D218">
        <v>9</v>
      </c>
      <c r="E218" t="s">
        <v>4</v>
      </c>
      <c r="F218">
        <v>2.1720518552454591</v>
      </c>
      <c r="G218">
        <v>0.70132433023593344</v>
      </c>
      <c r="H218">
        <v>-1.124694753354901</v>
      </c>
      <c r="I218" t="str">
        <f t="shared" si="8"/>
        <v>failed</v>
      </c>
    </row>
    <row r="219" spans="1:9" x14ac:dyDescent="0.2">
      <c r="A219">
        <v>32074</v>
      </c>
      <c r="B219" t="s">
        <v>9</v>
      </c>
      <c r="C219">
        <v>0.23631225537555001</v>
      </c>
      <c r="D219">
        <v>12</v>
      </c>
      <c r="E219" t="s">
        <v>4</v>
      </c>
      <c r="F219">
        <v>0.14847738936549371</v>
      </c>
      <c r="G219">
        <v>2.3861005755403342E-2</v>
      </c>
      <c r="H219">
        <v>3.6811049337331898</v>
      </c>
      <c r="I219" t="str">
        <f t="shared" si="8"/>
        <v>failed</v>
      </c>
    </row>
    <row r="220" spans="1:9" x14ac:dyDescent="0.2">
      <c r="A220">
        <v>53745</v>
      </c>
      <c r="B220" t="s">
        <v>9</v>
      </c>
      <c r="C220">
        <v>3.3435232778411002E-5</v>
      </c>
      <c r="D220">
        <v>14</v>
      </c>
      <c r="E220" t="s">
        <v>4</v>
      </c>
      <c r="F220">
        <v>8.1903782093226124E-5</v>
      </c>
      <c r="G220">
        <v>9.8474845443479283E-5</v>
      </c>
      <c r="H220">
        <v>-0.49219218468621839</v>
      </c>
      <c r="I220" t="str">
        <f t="shared" si="8"/>
        <v>failed</v>
      </c>
    </row>
    <row r="221" spans="1:9" x14ac:dyDescent="0.2">
      <c r="A221">
        <v>31561</v>
      </c>
      <c r="B221" t="s">
        <v>9</v>
      </c>
      <c r="C221">
        <v>3.1298591420493999E-4</v>
      </c>
      <c r="D221">
        <v>15</v>
      </c>
      <c r="E221" t="s">
        <v>4</v>
      </c>
      <c r="F221">
        <v>2.387710943931218E-4</v>
      </c>
      <c r="G221">
        <v>6.082451611850963E-5</v>
      </c>
      <c r="H221">
        <v>1.2201464894020779</v>
      </c>
      <c r="I221" t="str">
        <f t="shared" si="8"/>
        <v>failed</v>
      </c>
    </row>
    <row r="222" spans="1:9" x14ac:dyDescent="0.2">
      <c r="A222">
        <v>38820</v>
      </c>
      <c r="B222" t="s">
        <v>9</v>
      </c>
      <c r="C222">
        <v>4.7859981142239997E-3</v>
      </c>
      <c r="D222">
        <v>16</v>
      </c>
      <c r="E222" t="s">
        <v>4</v>
      </c>
      <c r="F222">
        <v>4.6268415779903019E-3</v>
      </c>
      <c r="G222">
        <v>2.7088414993337961E-3</v>
      </c>
      <c r="H222">
        <v>5.8754466170493229E-2</v>
      </c>
      <c r="I222" t="str">
        <f t="shared" si="8"/>
        <v>failed</v>
      </c>
    </row>
    <row r="223" spans="1:9" x14ac:dyDescent="0.2">
      <c r="A223">
        <v>29027</v>
      </c>
      <c r="B223" t="s">
        <v>9</v>
      </c>
      <c r="C223">
        <v>1.9141776286641001E-16</v>
      </c>
      <c r="D223">
        <v>17</v>
      </c>
      <c r="E223" t="s">
        <v>4</v>
      </c>
      <c r="F223">
        <v>3.195798727922624E-5</v>
      </c>
      <c r="G223">
        <v>2.08325166765331E-5</v>
      </c>
      <c r="H223">
        <v>-1.534043523182463</v>
      </c>
      <c r="I223" t="str">
        <f t="shared" si="8"/>
        <v>failed</v>
      </c>
    </row>
    <row r="224" spans="1:9" x14ac:dyDescent="0.2">
      <c r="A224">
        <v>59817</v>
      </c>
      <c r="B224" t="s">
        <v>9</v>
      </c>
      <c r="C224">
        <v>4.4396209649191004E-19</v>
      </c>
      <c r="D224">
        <v>18</v>
      </c>
      <c r="E224" t="s">
        <v>4</v>
      </c>
      <c r="F224">
        <v>3.4447678045672022E-5</v>
      </c>
      <c r="G224">
        <v>2.1523332402433241E-4</v>
      </c>
      <c r="H224">
        <v>-0.1600480697021511</v>
      </c>
      <c r="I224" t="str">
        <f t="shared" si="8"/>
        <v>failed</v>
      </c>
    </row>
    <row r="225" spans="1:9" x14ac:dyDescent="0.2">
      <c r="A225">
        <v>33653</v>
      </c>
      <c r="B225" t="s">
        <v>9</v>
      </c>
      <c r="C225">
        <v>1.1535781163121E-2</v>
      </c>
      <c r="D225">
        <v>19</v>
      </c>
      <c r="E225" t="s">
        <v>4</v>
      </c>
      <c r="F225">
        <v>6.0362983800392274E-3</v>
      </c>
      <c r="G225">
        <v>3.775531280631655E-3</v>
      </c>
      <c r="H225">
        <v>1.4566116327235841</v>
      </c>
      <c r="I225" t="str">
        <f t="shared" si="8"/>
        <v>failed</v>
      </c>
    </row>
    <row r="226" spans="1:9" x14ac:dyDescent="0.2">
      <c r="A226">
        <v>56211</v>
      </c>
      <c r="B226" t="s">
        <v>9</v>
      </c>
      <c r="C226">
        <v>0.60783496194681996</v>
      </c>
      <c r="D226">
        <v>19</v>
      </c>
      <c r="E226" t="s">
        <v>4</v>
      </c>
      <c r="F226">
        <v>0.35219874418631958</v>
      </c>
      <c r="G226">
        <v>0.1206470348277475</v>
      </c>
      <c r="H226">
        <v>2.1188769216374181</v>
      </c>
      <c r="I226" t="str">
        <f t="shared" si="8"/>
        <v>failed</v>
      </c>
    </row>
    <row r="227" spans="1:9" x14ac:dyDescent="0.2">
      <c r="A227">
        <v>29400</v>
      </c>
      <c r="B227" t="s">
        <v>9</v>
      </c>
      <c r="C227">
        <v>1.3204763586884001</v>
      </c>
      <c r="D227">
        <v>20</v>
      </c>
      <c r="E227" t="s">
        <v>4</v>
      </c>
      <c r="F227">
        <v>4.6505560532658006</v>
      </c>
      <c r="G227">
        <v>0.77235045659774348</v>
      </c>
      <c r="H227">
        <v>-4.3116174349745284</v>
      </c>
      <c r="I227" t="str">
        <f t="shared" si="8"/>
        <v>failed</v>
      </c>
    </row>
    <row r="228" spans="1:9" x14ac:dyDescent="0.2">
      <c r="A228">
        <v>40867</v>
      </c>
      <c r="B228" t="s">
        <v>9</v>
      </c>
      <c r="C228">
        <v>1.7871933202006001</v>
      </c>
      <c r="D228">
        <v>20</v>
      </c>
      <c r="E228" t="s">
        <v>4</v>
      </c>
      <c r="F228">
        <v>3.321354379585145</v>
      </c>
      <c r="G228">
        <v>0.54557622379835025</v>
      </c>
      <c r="H228">
        <v>-2.8120013161563491</v>
      </c>
      <c r="I228" t="str">
        <f t="shared" si="8"/>
        <v>failed</v>
      </c>
    </row>
    <row r="229" spans="1:9" x14ac:dyDescent="0.2">
      <c r="A229">
        <v>46693</v>
      </c>
      <c r="B229" t="s">
        <v>9</v>
      </c>
      <c r="C229">
        <v>3.9457538481822998</v>
      </c>
      <c r="D229">
        <v>20</v>
      </c>
      <c r="E229" t="s">
        <v>4</v>
      </c>
      <c r="F229">
        <v>6.9442129568272284</v>
      </c>
      <c r="G229">
        <v>1.1849920949505679</v>
      </c>
      <c r="H229">
        <v>-2.5303621192257548</v>
      </c>
      <c r="I229" t="str">
        <f t="shared" si="8"/>
        <v>failed</v>
      </c>
    </row>
    <row r="230" spans="1:9" x14ac:dyDescent="0.2">
      <c r="A230">
        <v>46802</v>
      </c>
      <c r="B230" t="s">
        <v>9</v>
      </c>
      <c r="C230">
        <v>9.2839976330499993E-2</v>
      </c>
      <c r="D230">
        <v>20</v>
      </c>
      <c r="E230" t="s">
        <v>4</v>
      </c>
      <c r="F230">
        <v>0.31050798184456813</v>
      </c>
      <c r="G230">
        <v>4.7931644360520179E-2</v>
      </c>
      <c r="H230">
        <v>-4.5412171524278904</v>
      </c>
      <c r="I230" t="str">
        <f t="shared" si="8"/>
        <v>failed</v>
      </c>
    </row>
    <row r="231" spans="1:9" x14ac:dyDescent="0.2">
      <c r="A231">
        <v>62777</v>
      </c>
      <c r="B231" t="s">
        <v>9</v>
      </c>
      <c r="C231">
        <v>0.60654566911707997</v>
      </c>
      <c r="D231">
        <v>20</v>
      </c>
      <c r="E231" t="s">
        <v>4</v>
      </c>
      <c r="F231">
        <v>3.5122118880118558</v>
      </c>
      <c r="G231">
        <v>0.68038113974025982</v>
      </c>
      <c r="H231">
        <v>-4.2706448623841027</v>
      </c>
      <c r="I231" t="str">
        <f t="shared" si="8"/>
        <v>failed</v>
      </c>
    </row>
    <row r="232" spans="1:9" x14ac:dyDescent="0.2">
      <c r="A232">
        <v>29134</v>
      </c>
      <c r="B232" t="s">
        <v>9</v>
      </c>
      <c r="C232">
        <v>0.58907882681267998</v>
      </c>
      <c r="D232">
        <v>21</v>
      </c>
      <c r="E232" t="s">
        <v>4</v>
      </c>
      <c r="F232">
        <v>2.204724993062813</v>
      </c>
      <c r="G232">
        <v>0.3695733991650399</v>
      </c>
      <c r="H232">
        <v>-4.3716516662191669</v>
      </c>
      <c r="I232" t="str">
        <f t="shared" si="8"/>
        <v>failed</v>
      </c>
    </row>
    <row r="233" spans="1:9" x14ac:dyDescent="0.2">
      <c r="A233">
        <v>30103</v>
      </c>
      <c r="B233" t="s">
        <v>9</v>
      </c>
      <c r="C233">
        <v>0.97704314786072</v>
      </c>
      <c r="D233">
        <v>21</v>
      </c>
      <c r="E233" t="s">
        <v>4</v>
      </c>
      <c r="F233">
        <v>6.6472244309947452</v>
      </c>
      <c r="G233">
        <v>1.0248036816853929</v>
      </c>
      <c r="H233">
        <v>-5.5329439037619741</v>
      </c>
      <c r="I233" t="str">
        <f t="shared" si="8"/>
        <v>failed</v>
      </c>
    </row>
    <row r="234" spans="1:9" x14ac:dyDescent="0.2">
      <c r="A234">
        <v>30984</v>
      </c>
      <c r="B234" t="s">
        <v>9</v>
      </c>
      <c r="C234">
        <v>0.17430933387250999</v>
      </c>
      <c r="D234">
        <v>21</v>
      </c>
      <c r="E234" t="s">
        <v>4</v>
      </c>
      <c r="F234">
        <v>5.6669112383357234</v>
      </c>
      <c r="G234">
        <v>0.92397036846090541</v>
      </c>
      <c r="H234">
        <v>-5.94456499033888</v>
      </c>
      <c r="I234" t="str">
        <f t="shared" si="8"/>
        <v>failed</v>
      </c>
    </row>
    <row r="235" spans="1:9" x14ac:dyDescent="0.2">
      <c r="A235">
        <v>45782</v>
      </c>
      <c r="B235" t="s">
        <v>9</v>
      </c>
      <c r="C235">
        <v>0.12436445767054</v>
      </c>
      <c r="D235">
        <v>21</v>
      </c>
      <c r="E235" t="s">
        <v>4</v>
      </c>
      <c r="F235">
        <v>2.0918986451772179</v>
      </c>
      <c r="G235">
        <v>0.33376209370088539</v>
      </c>
      <c r="H235">
        <v>-5.8950199098102454</v>
      </c>
      <c r="I235" t="str">
        <f t="shared" si="8"/>
        <v>failed</v>
      </c>
    </row>
    <row r="236" spans="1:9" x14ac:dyDescent="0.2">
      <c r="A236">
        <v>53535</v>
      </c>
      <c r="B236" t="s">
        <v>9</v>
      </c>
      <c r="C236">
        <v>0.38230477014845998</v>
      </c>
      <c r="D236">
        <v>21</v>
      </c>
      <c r="E236" t="s">
        <v>4</v>
      </c>
      <c r="F236">
        <v>7.0916036206611004</v>
      </c>
      <c r="G236">
        <v>1.0091129443025879</v>
      </c>
      <c r="H236">
        <v>-6.6487095308737008</v>
      </c>
      <c r="I236" t="str">
        <f t="shared" si="8"/>
        <v>failed</v>
      </c>
    </row>
    <row r="237" spans="1:9" x14ac:dyDescent="0.2">
      <c r="A237">
        <v>63158</v>
      </c>
      <c r="B237" t="s">
        <v>9</v>
      </c>
      <c r="C237">
        <v>0.79689200787600001</v>
      </c>
      <c r="D237">
        <v>21</v>
      </c>
      <c r="E237" t="s">
        <v>4</v>
      </c>
      <c r="F237">
        <v>2.2721114131367699</v>
      </c>
      <c r="G237">
        <v>0.39141819765015751</v>
      </c>
      <c r="H237">
        <v>-3.7689085845193402</v>
      </c>
      <c r="I237" t="str">
        <f t="shared" si="8"/>
        <v>failed</v>
      </c>
    </row>
    <row r="238" spans="1:9" x14ac:dyDescent="0.2">
      <c r="A238">
        <v>29395</v>
      </c>
      <c r="B238" t="s">
        <v>9</v>
      </c>
      <c r="C238">
        <v>0.61109344576346003</v>
      </c>
      <c r="D238">
        <v>22</v>
      </c>
      <c r="E238" t="s">
        <v>4</v>
      </c>
      <c r="F238">
        <v>3.8511776285055901</v>
      </c>
      <c r="G238">
        <v>0.63559726623215163</v>
      </c>
      <c r="H238">
        <v>-5.0976999979082569</v>
      </c>
      <c r="I238" t="str">
        <f t="shared" si="8"/>
        <v>failed</v>
      </c>
    </row>
    <row r="239" spans="1:9" x14ac:dyDescent="0.2">
      <c r="A239">
        <v>39266</v>
      </c>
      <c r="B239" t="s">
        <v>9</v>
      </c>
      <c r="C239">
        <v>0.69268625004689999</v>
      </c>
      <c r="D239">
        <v>22</v>
      </c>
      <c r="E239" t="s">
        <v>4</v>
      </c>
      <c r="F239">
        <v>3.6291079646987918</v>
      </c>
      <c r="G239">
        <v>0.67083862225908797</v>
      </c>
      <c r="H239">
        <v>-4.3772400950370436</v>
      </c>
      <c r="I239" t="str">
        <f t="shared" si="8"/>
        <v>failed</v>
      </c>
    </row>
    <row r="240" spans="1:9" x14ac:dyDescent="0.2">
      <c r="A240">
        <v>45736</v>
      </c>
      <c r="B240" t="s">
        <v>9</v>
      </c>
      <c r="C240">
        <v>0.28235853854548998</v>
      </c>
      <c r="D240">
        <v>22</v>
      </c>
      <c r="E240" t="s">
        <v>4</v>
      </c>
      <c r="F240">
        <v>2.6832549340251828</v>
      </c>
      <c r="G240">
        <v>0.39732542456435488</v>
      </c>
      <c r="H240">
        <v>-6.0426447618149446</v>
      </c>
      <c r="I240" t="str">
        <f t="shared" si="8"/>
        <v>failed</v>
      </c>
    </row>
    <row r="241" spans="1:9" x14ac:dyDescent="0.2">
      <c r="A241">
        <v>59785</v>
      </c>
      <c r="B241" t="s">
        <v>9</v>
      </c>
      <c r="C241">
        <v>0.44796433960979998</v>
      </c>
      <c r="D241">
        <v>22</v>
      </c>
      <c r="E241" t="s">
        <v>4</v>
      </c>
      <c r="F241">
        <v>1.521011834486649</v>
      </c>
      <c r="G241">
        <v>0.31836917327706621</v>
      </c>
      <c r="H241">
        <v>-3.3704503606039009</v>
      </c>
      <c r="I241" t="str">
        <f t="shared" si="8"/>
        <v>failed</v>
      </c>
    </row>
    <row r="242" spans="1:9" x14ac:dyDescent="0.2">
      <c r="A242">
        <v>60241</v>
      </c>
      <c r="B242" t="s">
        <v>9</v>
      </c>
      <c r="C242">
        <v>1.0788664955487E-2</v>
      </c>
      <c r="D242">
        <v>22</v>
      </c>
      <c r="E242" t="s">
        <v>4</v>
      </c>
      <c r="F242">
        <v>4.3732601472701152E-2</v>
      </c>
      <c r="G242">
        <v>6.9991721779287348E-3</v>
      </c>
      <c r="H242">
        <v>-4.7068332768124304</v>
      </c>
      <c r="I242" t="str">
        <f t="shared" si="8"/>
        <v>failed</v>
      </c>
    </row>
    <row r="243" spans="1:9" x14ac:dyDescent="0.2">
      <c r="A243">
        <v>62784</v>
      </c>
      <c r="B243" t="s">
        <v>9</v>
      </c>
      <c r="C243">
        <v>8.1753954902997E-2</v>
      </c>
      <c r="D243">
        <v>22</v>
      </c>
      <c r="E243" t="s">
        <v>4</v>
      </c>
      <c r="F243">
        <v>5.2242784880909481</v>
      </c>
      <c r="G243">
        <v>0.85569717200835216</v>
      </c>
      <c r="H243">
        <v>-6.0097481929480514</v>
      </c>
      <c r="I243" t="str">
        <f t="shared" si="8"/>
        <v>failed</v>
      </c>
    </row>
    <row r="244" spans="1:9" x14ac:dyDescent="0.2">
      <c r="A244">
        <v>30321</v>
      </c>
      <c r="B244" t="s">
        <v>9</v>
      </c>
      <c r="C244">
        <v>0.25754298208481002</v>
      </c>
      <c r="D244">
        <v>23</v>
      </c>
      <c r="E244" t="s">
        <v>4</v>
      </c>
      <c r="F244">
        <v>5.0074260440170724</v>
      </c>
      <c r="G244">
        <v>1.2428831817174579</v>
      </c>
      <c r="H244">
        <v>-3.8216649253944461</v>
      </c>
      <c r="I244" t="str">
        <f t="shared" si="8"/>
        <v>failed</v>
      </c>
    </row>
    <row r="245" spans="1:9" x14ac:dyDescent="0.2">
      <c r="A245">
        <v>31795</v>
      </c>
      <c r="B245" t="s">
        <v>9</v>
      </c>
      <c r="C245">
        <v>0.13275297457964999</v>
      </c>
      <c r="D245">
        <v>23</v>
      </c>
      <c r="E245" t="s">
        <v>4</v>
      </c>
      <c r="F245">
        <v>3.6249797492367519</v>
      </c>
      <c r="G245">
        <v>0.66090906187678278</v>
      </c>
      <c r="H245">
        <v>-5.283974719215121</v>
      </c>
      <c r="I245" t="str">
        <f t="shared" si="8"/>
        <v>failed</v>
      </c>
    </row>
    <row r="246" spans="1:9" x14ac:dyDescent="0.2">
      <c r="A246">
        <v>46639</v>
      </c>
      <c r="B246" t="s">
        <v>9</v>
      </c>
      <c r="C246">
        <v>0.83231843690319995</v>
      </c>
      <c r="D246">
        <v>23</v>
      </c>
      <c r="E246" t="s">
        <v>4</v>
      </c>
      <c r="F246">
        <v>3.0493266370700169</v>
      </c>
      <c r="G246">
        <v>0.47445599175998637</v>
      </c>
      <c r="H246">
        <v>-4.6727372794742603</v>
      </c>
      <c r="I246" t="str">
        <f t="shared" si="8"/>
        <v>failed</v>
      </c>
    </row>
    <row r="247" spans="1:9" x14ac:dyDescent="0.2">
      <c r="A247">
        <v>60242</v>
      </c>
      <c r="B247" t="s">
        <v>9</v>
      </c>
      <c r="C247">
        <v>0.77508733378409</v>
      </c>
      <c r="D247">
        <v>23</v>
      </c>
      <c r="E247" t="s">
        <v>4</v>
      </c>
      <c r="F247">
        <v>1.989835151922233</v>
      </c>
      <c r="G247">
        <v>0.29252240070795271</v>
      </c>
      <c r="H247">
        <v>-4.1526659674549826</v>
      </c>
      <c r="I247" t="str">
        <f t="shared" si="8"/>
        <v>failed</v>
      </c>
    </row>
    <row r="248" spans="1:9" x14ac:dyDescent="0.2">
      <c r="A248">
        <v>63233</v>
      </c>
      <c r="B248" t="s">
        <v>9</v>
      </c>
      <c r="C248">
        <v>2.9685863874346002E-2</v>
      </c>
      <c r="D248">
        <v>23</v>
      </c>
      <c r="E248" t="s">
        <v>4</v>
      </c>
      <c r="F248">
        <v>0.91377486369380756</v>
      </c>
      <c r="G248">
        <v>0.15923149034128031</v>
      </c>
      <c r="H248">
        <v>-5.5522246128865396</v>
      </c>
      <c r="I248" t="str">
        <f t="shared" si="8"/>
        <v>failed</v>
      </c>
    </row>
    <row r="249" spans="1:9" x14ac:dyDescent="0.2">
      <c r="A249">
        <v>33531</v>
      </c>
      <c r="B249" t="s">
        <v>9</v>
      </c>
      <c r="C249">
        <v>6.8908762243297006E-2</v>
      </c>
      <c r="D249">
        <v>24</v>
      </c>
      <c r="E249" t="s">
        <v>4</v>
      </c>
      <c r="F249">
        <v>1.3321767195853911</v>
      </c>
      <c r="G249">
        <v>0.31048672238156633</v>
      </c>
      <c r="H249">
        <v>-4.0686698215378954</v>
      </c>
      <c r="I249" t="str">
        <f t="shared" si="8"/>
        <v>failed</v>
      </c>
    </row>
    <row r="250" spans="1:9" x14ac:dyDescent="0.2">
      <c r="A250">
        <v>39381</v>
      </c>
      <c r="B250" t="s">
        <v>9</v>
      </c>
      <c r="C250">
        <v>4.7279747464945003E-2</v>
      </c>
      <c r="D250">
        <v>24</v>
      </c>
      <c r="E250" t="s">
        <v>4</v>
      </c>
      <c r="F250">
        <v>8.7002871369706831</v>
      </c>
      <c r="G250">
        <v>1.3458639692824479</v>
      </c>
      <c r="H250">
        <v>-6.4293328204031752</v>
      </c>
      <c r="I250" t="str">
        <f t="shared" si="8"/>
        <v>failed</v>
      </c>
    </row>
    <row r="251" spans="1:9" x14ac:dyDescent="0.2">
      <c r="A251">
        <v>28803</v>
      </c>
      <c r="B251" t="s">
        <v>9</v>
      </c>
      <c r="C251">
        <v>1.4737162298415001</v>
      </c>
      <c r="D251">
        <v>25</v>
      </c>
      <c r="E251" t="s">
        <v>4</v>
      </c>
      <c r="F251">
        <v>8.9802336405143794</v>
      </c>
      <c r="G251">
        <v>2.0818839619019509</v>
      </c>
      <c r="H251">
        <v>-3.6056367924632942</v>
      </c>
      <c r="I251" t="str">
        <f t="shared" si="8"/>
        <v>failed</v>
      </c>
    </row>
    <row r="252" spans="1:9" x14ac:dyDescent="0.2">
      <c r="A252">
        <v>38813</v>
      </c>
      <c r="B252" t="s">
        <v>9</v>
      </c>
      <c r="C252">
        <v>9.6903404651512001E-4</v>
      </c>
      <c r="D252">
        <v>25</v>
      </c>
      <c r="E252" t="s">
        <v>4</v>
      </c>
      <c r="F252">
        <v>1.1677496109620789E-3</v>
      </c>
      <c r="G252">
        <v>3.7174399397506351E-4</v>
      </c>
      <c r="H252">
        <v>-0.5345494955330663</v>
      </c>
      <c r="I252" t="str">
        <f t="shared" si="8"/>
        <v>failed</v>
      </c>
    </row>
    <row r="253" spans="1:9" x14ac:dyDescent="0.2">
      <c r="A253">
        <v>29324</v>
      </c>
      <c r="B253" t="s">
        <v>9</v>
      </c>
      <c r="C253">
        <v>2.9257212156780001</v>
      </c>
      <c r="D253">
        <v>26</v>
      </c>
      <c r="E253" t="s">
        <v>4</v>
      </c>
      <c r="F253">
        <v>3.349566449403159</v>
      </c>
      <c r="G253">
        <v>0.4968125824285598</v>
      </c>
      <c r="H253">
        <v>-0.7999262757615313</v>
      </c>
      <c r="I253" t="str">
        <f t="shared" si="8"/>
        <v>failed</v>
      </c>
    </row>
    <row r="254" spans="1:9" x14ac:dyDescent="0.2">
      <c r="A254">
        <v>46751</v>
      </c>
      <c r="B254" t="s">
        <v>9</v>
      </c>
      <c r="C254">
        <v>1.2797821673475001</v>
      </c>
      <c r="D254">
        <v>26</v>
      </c>
      <c r="E254" t="s">
        <v>4</v>
      </c>
      <c r="F254">
        <v>4.2499354435392362</v>
      </c>
      <c r="G254">
        <v>0.75971536099351988</v>
      </c>
      <c r="H254">
        <v>-3.9095606442754041</v>
      </c>
      <c r="I254" t="str">
        <f t="shared" si="8"/>
        <v>failed</v>
      </c>
    </row>
    <row r="255" spans="1:9" x14ac:dyDescent="0.2">
      <c r="A255">
        <v>59854</v>
      </c>
      <c r="B255" t="s">
        <v>9</v>
      </c>
      <c r="C255">
        <v>0.98174456908329999</v>
      </c>
      <c r="D255">
        <v>26</v>
      </c>
      <c r="E255" t="s">
        <v>4</v>
      </c>
      <c r="F255">
        <v>5.5355050307442593</v>
      </c>
      <c r="G255">
        <v>0.87130616975741382</v>
      </c>
      <c r="H255">
        <v>-5.1562233759204501</v>
      </c>
      <c r="I255" t="str">
        <f t="shared" si="8"/>
        <v>failed</v>
      </c>
    </row>
    <row r="256" spans="1:9" x14ac:dyDescent="0.2">
      <c r="A256">
        <v>62807</v>
      </c>
      <c r="B256" t="s">
        <v>9</v>
      </c>
      <c r="C256">
        <v>4.2763343238080002E-2</v>
      </c>
      <c r="D256">
        <v>26</v>
      </c>
      <c r="E256" t="s">
        <v>4</v>
      </c>
      <c r="F256">
        <v>4.3931744792593381</v>
      </c>
      <c r="G256">
        <v>1.3473469183394049</v>
      </c>
      <c r="H256">
        <v>-3.2288722947339412</v>
      </c>
      <c r="I256" t="str">
        <f t="shared" si="8"/>
        <v>failed</v>
      </c>
    </row>
    <row r="257" spans="1:9" x14ac:dyDescent="0.2">
      <c r="A257">
        <v>30654</v>
      </c>
      <c r="B257" t="s">
        <v>9</v>
      </c>
      <c r="C257">
        <v>3.1190595761952999E-2</v>
      </c>
      <c r="D257">
        <v>27</v>
      </c>
      <c r="E257" t="s">
        <v>4</v>
      </c>
      <c r="F257">
        <v>2.094613369010841E-2</v>
      </c>
      <c r="G257">
        <v>1.6896854286619929E-2</v>
      </c>
      <c r="H257">
        <v>0.60629404136814624</v>
      </c>
      <c r="I257" t="str">
        <f t="shared" si="8"/>
        <v>failed</v>
      </c>
    </row>
    <row r="258" spans="1:9" x14ac:dyDescent="0.2">
      <c r="A258">
        <v>38837</v>
      </c>
      <c r="B258" t="s">
        <v>9</v>
      </c>
      <c r="C258">
        <v>1.6871026538923001E-5</v>
      </c>
      <c r="D258">
        <v>27</v>
      </c>
      <c r="E258" t="s">
        <v>4</v>
      </c>
      <c r="F258">
        <v>6.5984946725347246E-4</v>
      </c>
      <c r="G258">
        <v>9.5383681107107749E-4</v>
      </c>
      <c r="H258">
        <v>-0.67409690342694173</v>
      </c>
      <c r="I258" t="str">
        <f t="shared" si="8"/>
        <v>failed</v>
      </c>
    </row>
    <row r="259" spans="1:9" x14ac:dyDescent="0.2">
      <c r="A259">
        <v>46730</v>
      </c>
      <c r="B259" t="s">
        <v>9</v>
      </c>
      <c r="C259">
        <v>2.6700142074477</v>
      </c>
      <c r="D259">
        <v>27</v>
      </c>
      <c r="E259" t="s">
        <v>4</v>
      </c>
      <c r="F259">
        <v>4.6358206196870562</v>
      </c>
      <c r="G259">
        <v>0.73478452869857303</v>
      </c>
      <c r="H259">
        <v>-2.6753508483923669</v>
      </c>
      <c r="I259" t="str">
        <f t="shared" ref="I259:I322" si="9">IF((H259&lt;-2)*AND(D259&lt;=19),"passed","failed")</f>
        <v>failed</v>
      </c>
    </row>
    <row r="260" spans="1:9" x14ac:dyDescent="0.2">
      <c r="A260">
        <v>38908</v>
      </c>
      <c r="B260" t="s">
        <v>9</v>
      </c>
      <c r="C260">
        <v>0.56971208023439002</v>
      </c>
      <c r="D260">
        <v>28</v>
      </c>
      <c r="E260" t="s">
        <v>4</v>
      </c>
      <c r="F260">
        <v>1.7475280849887851</v>
      </c>
      <c r="G260">
        <v>0.38343432214491768</v>
      </c>
      <c r="H260">
        <v>-3.0717542398545139</v>
      </c>
      <c r="I260" t="str">
        <f t="shared" si="9"/>
        <v>failed</v>
      </c>
    </row>
    <row r="261" spans="1:9" s="6" customFormat="1" x14ac:dyDescent="0.2">
      <c r="A261" s="6">
        <v>29489</v>
      </c>
      <c r="B261" s="6" t="s">
        <v>9</v>
      </c>
      <c r="C261" s="6">
        <v>0.43458472376356999</v>
      </c>
      <c r="D261" s="6">
        <v>9</v>
      </c>
      <c r="E261" s="6" t="s">
        <v>4</v>
      </c>
      <c r="F261" s="6">
        <v>5.7683450859208953</v>
      </c>
      <c r="G261" s="6">
        <v>0.854964897948012</v>
      </c>
      <c r="H261" s="6">
        <v>-6.2385723378337561</v>
      </c>
      <c r="I261" s="6" t="str">
        <f t="shared" si="9"/>
        <v>passed</v>
      </c>
    </row>
    <row r="262" spans="1:9" s="6" customFormat="1" x14ac:dyDescent="0.2">
      <c r="A262" s="6">
        <v>29530</v>
      </c>
      <c r="B262" s="6" t="s">
        <v>9</v>
      </c>
      <c r="C262" s="6">
        <v>0.43360487225670002</v>
      </c>
      <c r="D262" s="6">
        <v>9</v>
      </c>
      <c r="E262" s="6" t="s">
        <v>4</v>
      </c>
      <c r="F262" s="6">
        <v>3.307542590117341</v>
      </c>
      <c r="G262" s="6">
        <v>0.64212129327107803</v>
      </c>
      <c r="H262" s="6">
        <v>-4.4756929072080691</v>
      </c>
      <c r="I262" s="6" t="str">
        <f t="shared" si="9"/>
        <v>passed</v>
      </c>
    </row>
    <row r="263" spans="1:9" s="6" customFormat="1" x14ac:dyDescent="0.2">
      <c r="A263" s="6">
        <v>30650</v>
      </c>
      <c r="B263" s="6" t="s">
        <v>9</v>
      </c>
      <c r="C263" s="6">
        <v>0.21254928904508</v>
      </c>
      <c r="D263" s="6">
        <v>9</v>
      </c>
      <c r="E263" s="6" t="s">
        <v>4</v>
      </c>
      <c r="F263" s="6">
        <v>7.1938143135606429</v>
      </c>
      <c r="G263" s="6">
        <v>1.2106066988452739</v>
      </c>
      <c r="H263" s="6">
        <v>-5.7667490450652332</v>
      </c>
      <c r="I263" s="6" t="str">
        <f t="shared" si="9"/>
        <v>passed</v>
      </c>
    </row>
    <row r="264" spans="1:9" s="6" customFormat="1" x14ac:dyDescent="0.2">
      <c r="A264" s="6">
        <v>30658</v>
      </c>
      <c r="B264" s="6" t="s">
        <v>9</v>
      </c>
      <c r="C264" s="6">
        <v>0.40285947323299998</v>
      </c>
      <c r="D264" s="6">
        <v>9</v>
      </c>
      <c r="E264" s="6" t="s">
        <v>4</v>
      </c>
      <c r="F264" s="6">
        <v>2.9750618466017338</v>
      </c>
      <c r="G264" s="6">
        <v>0.56854022646605618</v>
      </c>
      <c r="H264" s="6">
        <v>-4.5242223041227616</v>
      </c>
      <c r="I264" s="6" t="str">
        <f t="shared" si="9"/>
        <v>passed</v>
      </c>
    </row>
    <row r="265" spans="1:9" s="6" customFormat="1" x14ac:dyDescent="0.2">
      <c r="A265" s="6">
        <v>31065</v>
      </c>
      <c r="B265" s="6" t="s">
        <v>9</v>
      </c>
      <c r="C265" s="6">
        <v>0.35195123134325002</v>
      </c>
      <c r="D265" s="6">
        <v>9</v>
      </c>
      <c r="E265" s="6" t="s">
        <v>4</v>
      </c>
      <c r="F265" s="6">
        <v>4.7632953709175903</v>
      </c>
      <c r="G265" s="6">
        <v>0.80509700842510112</v>
      </c>
      <c r="H265" s="6">
        <v>-5.4792703157643583</v>
      </c>
      <c r="I265" s="6" t="str">
        <f t="shared" si="9"/>
        <v>passed</v>
      </c>
    </row>
    <row r="266" spans="1:9" s="6" customFormat="1" x14ac:dyDescent="0.2">
      <c r="A266" s="6">
        <v>39285</v>
      </c>
      <c r="B266" s="6" t="s">
        <v>9</v>
      </c>
      <c r="C266" s="6">
        <v>0.32069068418878</v>
      </c>
      <c r="D266" s="6">
        <v>9</v>
      </c>
      <c r="E266" s="6" t="s">
        <v>4</v>
      </c>
      <c r="F266" s="6">
        <v>2.607384986700783</v>
      </c>
      <c r="G266" s="6">
        <v>0.43890997718443348</v>
      </c>
      <c r="H266" s="6">
        <v>-5.2099392161940159</v>
      </c>
      <c r="I266" s="6" t="str">
        <f t="shared" si="9"/>
        <v>passed</v>
      </c>
    </row>
    <row r="267" spans="1:9" s="6" customFormat="1" x14ac:dyDescent="0.2">
      <c r="A267" s="6">
        <v>45920</v>
      </c>
      <c r="B267" s="6" t="s">
        <v>9</v>
      </c>
      <c r="C267" s="6">
        <v>0.32627393543820998</v>
      </c>
      <c r="D267" s="6">
        <v>9</v>
      </c>
      <c r="E267" s="6" t="s">
        <v>4</v>
      </c>
      <c r="F267" s="6">
        <v>4.582040628194668</v>
      </c>
      <c r="G267" s="6">
        <v>0.84656129342719733</v>
      </c>
      <c r="H267" s="6">
        <v>-5.0271217521976697</v>
      </c>
      <c r="I267" s="6" t="str">
        <f t="shared" si="9"/>
        <v>passed</v>
      </c>
    </row>
    <row r="268" spans="1:9" s="6" customFormat="1" x14ac:dyDescent="0.2">
      <c r="A268" s="6">
        <v>63695</v>
      </c>
      <c r="B268" s="6" t="s">
        <v>9</v>
      </c>
      <c r="C268" s="6">
        <v>0.67649136687515998</v>
      </c>
      <c r="D268" s="6">
        <v>9</v>
      </c>
      <c r="E268" s="6" t="s">
        <v>4</v>
      </c>
      <c r="F268" s="6">
        <v>5.4902674535545968</v>
      </c>
      <c r="G268" s="6">
        <v>0.95162019491969585</v>
      </c>
      <c r="H268" s="6">
        <v>-5.0585056016866607</v>
      </c>
      <c r="I268" s="6" t="str">
        <f t="shared" si="9"/>
        <v>passed</v>
      </c>
    </row>
    <row r="269" spans="1:9" s="6" customFormat="1" x14ac:dyDescent="0.2">
      <c r="A269" s="6">
        <v>29599</v>
      </c>
      <c r="B269" s="6" t="s">
        <v>9</v>
      </c>
      <c r="C269" s="6">
        <v>0.25270526217435002</v>
      </c>
      <c r="D269" s="6">
        <v>10</v>
      </c>
      <c r="E269" s="6" t="s">
        <v>4</v>
      </c>
      <c r="F269" s="6">
        <v>2.2329683469582511</v>
      </c>
      <c r="G269" s="6">
        <v>0.36849004462197521</v>
      </c>
      <c r="H269" s="6">
        <v>-5.3739934461876802</v>
      </c>
      <c r="I269" s="6" t="str">
        <f t="shared" si="9"/>
        <v>passed</v>
      </c>
    </row>
    <row r="270" spans="1:9" s="6" customFormat="1" x14ac:dyDescent="0.2">
      <c r="A270" s="6">
        <v>62811</v>
      </c>
      <c r="B270" s="6" t="s">
        <v>9</v>
      </c>
      <c r="C270" s="6">
        <v>0.27409937945898</v>
      </c>
      <c r="D270" s="6">
        <v>10</v>
      </c>
      <c r="E270" s="6" t="s">
        <v>4</v>
      </c>
      <c r="F270" s="6">
        <v>2.9132408881558889</v>
      </c>
      <c r="G270" s="6">
        <v>0.4692139636045779</v>
      </c>
      <c r="H270" s="6">
        <v>-5.6246013831783648</v>
      </c>
      <c r="I270" s="6" t="str">
        <f t="shared" si="9"/>
        <v>passed</v>
      </c>
    </row>
    <row r="271" spans="1:9" s="6" customFormat="1" x14ac:dyDescent="0.2">
      <c r="A271" s="6">
        <v>30648</v>
      </c>
      <c r="B271" s="6" t="s">
        <v>9</v>
      </c>
      <c r="C271" s="6">
        <v>0.32119732993611</v>
      </c>
      <c r="D271" s="6">
        <v>11</v>
      </c>
      <c r="E271" s="6" t="s">
        <v>4</v>
      </c>
      <c r="F271" s="6">
        <v>4.2212031301441444</v>
      </c>
      <c r="G271" s="6">
        <v>0.65116076592456473</v>
      </c>
      <c r="H271" s="6">
        <v>-5.989313245355814</v>
      </c>
      <c r="I271" s="6" t="str">
        <f t="shared" si="9"/>
        <v>passed</v>
      </c>
    </row>
    <row r="272" spans="1:9" s="6" customFormat="1" x14ac:dyDescent="0.2">
      <c r="A272" s="6">
        <v>33160</v>
      </c>
      <c r="B272" s="6" t="s">
        <v>9</v>
      </c>
      <c r="C272" s="6">
        <v>0.31806129667939997</v>
      </c>
      <c r="D272" s="6">
        <v>11</v>
      </c>
      <c r="E272" s="6" t="s">
        <v>4</v>
      </c>
      <c r="F272" s="6">
        <v>2.447705272655929</v>
      </c>
      <c r="G272" s="6">
        <v>0.3903191618178089</v>
      </c>
      <c r="H272" s="6">
        <v>-5.4561604561207586</v>
      </c>
      <c r="I272" s="6" t="str">
        <f t="shared" si="9"/>
        <v>passed</v>
      </c>
    </row>
    <row r="273" spans="1:9" s="6" customFormat="1" x14ac:dyDescent="0.2">
      <c r="A273" s="6">
        <v>55774</v>
      </c>
      <c r="B273" s="6" t="s">
        <v>9</v>
      </c>
      <c r="C273" s="6">
        <v>0.47366668417371999</v>
      </c>
      <c r="D273" s="6">
        <v>11</v>
      </c>
      <c r="E273" s="6" t="s">
        <v>4</v>
      </c>
      <c r="F273" s="6">
        <v>3.1030074005349459</v>
      </c>
      <c r="G273" s="6">
        <v>0.45947473320373988</v>
      </c>
      <c r="H273" s="6">
        <v>-5.7224925036200496</v>
      </c>
      <c r="I273" s="6" t="str">
        <f t="shared" si="9"/>
        <v>passed</v>
      </c>
    </row>
    <row r="274" spans="1:9" s="6" customFormat="1" x14ac:dyDescent="0.2">
      <c r="A274" s="6">
        <v>29863</v>
      </c>
      <c r="B274" s="6" t="s">
        <v>9</v>
      </c>
      <c r="C274" s="6">
        <v>0.47189168269024001</v>
      </c>
      <c r="D274" s="6">
        <v>12</v>
      </c>
      <c r="E274" s="6" t="s">
        <v>4</v>
      </c>
      <c r="F274" s="6">
        <v>6.3299035227995137</v>
      </c>
      <c r="G274" s="6">
        <v>0.99152310897614082</v>
      </c>
      <c r="H274" s="6">
        <v>-5.9080941100387774</v>
      </c>
      <c r="I274" s="6" t="str">
        <f t="shared" si="9"/>
        <v>passed</v>
      </c>
    </row>
    <row r="275" spans="1:9" s="6" customFormat="1" x14ac:dyDescent="0.2">
      <c r="A275" s="6">
        <v>30892</v>
      </c>
      <c r="B275" s="6" t="s">
        <v>9</v>
      </c>
      <c r="C275" s="6">
        <v>0.27257188875375998</v>
      </c>
      <c r="D275" s="6">
        <v>12</v>
      </c>
      <c r="E275" s="6" t="s">
        <v>4</v>
      </c>
      <c r="F275" s="6">
        <v>7.3445023191656649</v>
      </c>
      <c r="G275" s="6">
        <v>1.287113160179864</v>
      </c>
      <c r="H275" s="6">
        <v>-5.4944123401113023</v>
      </c>
      <c r="I275" s="6" t="str">
        <f t="shared" si="9"/>
        <v>passed</v>
      </c>
    </row>
    <row r="276" spans="1:9" s="6" customFormat="1" x14ac:dyDescent="0.2">
      <c r="A276" s="6">
        <v>53417</v>
      </c>
      <c r="B276" s="6" t="s">
        <v>9</v>
      </c>
      <c r="C276" s="6">
        <v>0.86617489980339002</v>
      </c>
      <c r="D276" s="6">
        <v>12</v>
      </c>
      <c r="E276" s="6" t="s">
        <v>4</v>
      </c>
      <c r="F276" s="6">
        <v>3.1606290449904679</v>
      </c>
      <c r="G276" s="6">
        <v>0.47995555801360368</v>
      </c>
      <c r="H276" s="6">
        <v>-4.7805554220127338</v>
      </c>
      <c r="I276" s="6" t="str">
        <f t="shared" si="9"/>
        <v>passed</v>
      </c>
    </row>
    <row r="277" spans="1:9" s="6" customFormat="1" x14ac:dyDescent="0.2">
      <c r="A277" s="6">
        <v>30799</v>
      </c>
      <c r="B277" s="6" t="s">
        <v>9</v>
      </c>
      <c r="C277" s="6">
        <v>0.20427349803726999</v>
      </c>
      <c r="D277" s="6">
        <v>13</v>
      </c>
      <c r="E277" s="6" t="s">
        <v>4</v>
      </c>
      <c r="F277" s="6">
        <v>1.103486074831818</v>
      </c>
      <c r="G277" s="6">
        <v>0.24320612484842269</v>
      </c>
      <c r="H277" s="6">
        <v>-3.6973270198477892</v>
      </c>
      <c r="I277" s="6" t="str">
        <f t="shared" si="9"/>
        <v>passed</v>
      </c>
    </row>
    <row r="278" spans="1:9" s="6" customFormat="1" x14ac:dyDescent="0.2">
      <c r="A278" s="6">
        <v>30937</v>
      </c>
      <c r="B278" s="6" t="s">
        <v>9</v>
      </c>
      <c r="C278" s="6">
        <v>0.23131181078242</v>
      </c>
      <c r="D278" s="6">
        <v>13</v>
      </c>
      <c r="E278" s="6" t="s">
        <v>4</v>
      </c>
      <c r="F278" s="6">
        <v>3.3307243399151378</v>
      </c>
      <c r="G278" s="6">
        <v>0.63593275766432644</v>
      </c>
      <c r="H278" s="6">
        <v>-4.8738054326943789</v>
      </c>
      <c r="I278" s="6" t="str">
        <f t="shared" si="9"/>
        <v>passed</v>
      </c>
    </row>
    <row r="279" spans="1:9" s="6" customFormat="1" x14ac:dyDescent="0.2">
      <c r="A279" s="6">
        <v>39188</v>
      </c>
      <c r="B279" s="6" t="s">
        <v>9</v>
      </c>
      <c r="C279" s="6">
        <v>0.26700142013016998</v>
      </c>
      <c r="D279" s="6">
        <v>13</v>
      </c>
      <c r="E279" s="6" t="s">
        <v>4</v>
      </c>
      <c r="F279" s="6">
        <v>2.5492341852924949</v>
      </c>
      <c r="G279" s="6">
        <v>0.45382343990314072</v>
      </c>
      <c r="H279" s="6">
        <v>-5.0289001503523574</v>
      </c>
      <c r="I279" s="6" t="str">
        <f t="shared" si="9"/>
        <v>passed</v>
      </c>
    </row>
    <row r="280" spans="1:9" s="6" customFormat="1" x14ac:dyDescent="0.2">
      <c r="A280" s="6">
        <v>59830</v>
      </c>
      <c r="B280" s="6" t="s">
        <v>9</v>
      </c>
      <c r="C280" s="6">
        <v>0.21416145930554001</v>
      </c>
      <c r="D280" s="6">
        <v>13</v>
      </c>
      <c r="E280" s="6" t="s">
        <v>4</v>
      </c>
      <c r="F280" s="6">
        <v>4.6308628725920729</v>
      </c>
      <c r="G280" s="6">
        <v>0.7547356851394561</v>
      </c>
      <c r="H280" s="6">
        <v>-5.8519843439898276</v>
      </c>
      <c r="I280" s="6" t="str">
        <f t="shared" si="9"/>
        <v>passed</v>
      </c>
    </row>
    <row r="281" spans="1:9" s="6" customFormat="1" x14ac:dyDescent="0.2">
      <c r="A281" s="6">
        <v>29216</v>
      </c>
      <c r="B281" s="6" t="s">
        <v>9</v>
      </c>
      <c r="C281" s="6">
        <v>0.28552707770104002</v>
      </c>
      <c r="D281" s="6">
        <v>14</v>
      </c>
      <c r="E281" s="6" t="s">
        <v>4</v>
      </c>
      <c r="F281" s="6">
        <v>2.6437063180334159</v>
      </c>
      <c r="G281" s="6">
        <v>0.39514737770510122</v>
      </c>
      <c r="H281" s="6">
        <v>-5.9678473738785334</v>
      </c>
      <c r="I281" s="6" t="str">
        <f t="shared" si="9"/>
        <v>passed</v>
      </c>
    </row>
    <row r="282" spans="1:9" s="6" customFormat="1" x14ac:dyDescent="0.2">
      <c r="A282" s="6">
        <v>29403</v>
      </c>
      <c r="B282" s="6" t="s">
        <v>9</v>
      </c>
      <c r="C282" s="6">
        <v>0.26621601497852998</v>
      </c>
      <c r="D282" s="6">
        <v>14</v>
      </c>
      <c r="E282" s="6" t="s">
        <v>4</v>
      </c>
      <c r="F282" s="6">
        <v>5.4885289094213459</v>
      </c>
      <c r="G282" s="6">
        <v>0.88830603679899489</v>
      </c>
      <c r="H282" s="6">
        <v>-5.8789568888458579</v>
      </c>
      <c r="I282" s="6" t="str">
        <f t="shared" si="9"/>
        <v>passed</v>
      </c>
    </row>
    <row r="283" spans="1:9" s="6" customFormat="1" x14ac:dyDescent="0.2">
      <c r="A283" s="6">
        <v>29696</v>
      </c>
      <c r="B283" s="6" t="s">
        <v>9</v>
      </c>
      <c r="C283" s="6">
        <v>1.2669594691405E-2</v>
      </c>
      <c r="D283" s="6">
        <v>14</v>
      </c>
      <c r="E283" s="6" t="s">
        <v>4</v>
      </c>
      <c r="F283" s="6">
        <v>0.35170130550032719</v>
      </c>
      <c r="G283" s="6">
        <v>5.8368707823327891E-2</v>
      </c>
      <c r="H283" s="6">
        <v>-5.8084498261484878</v>
      </c>
      <c r="I283" s="6" t="str">
        <f t="shared" si="9"/>
        <v>passed</v>
      </c>
    </row>
    <row r="284" spans="1:9" s="6" customFormat="1" x14ac:dyDescent="0.2">
      <c r="A284" s="6">
        <v>59774</v>
      </c>
      <c r="B284" s="6" t="s">
        <v>9</v>
      </c>
      <c r="C284" s="6">
        <v>0.57123090986045</v>
      </c>
      <c r="D284" s="6">
        <v>14</v>
      </c>
      <c r="E284" s="6" t="s">
        <v>4</v>
      </c>
      <c r="F284" s="6">
        <v>4.5801682597160331</v>
      </c>
      <c r="G284" s="6">
        <v>0.76322232717841909</v>
      </c>
      <c r="H284" s="6">
        <v>-5.2526468462687079</v>
      </c>
      <c r="I284" s="6" t="str">
        <f t="shared" si="9"/>
        <v>passed</v>
      </c>
    </row>
    <row r="285" spans="1:9" s="6" customFormat="1" x14ac:dyDescent="0.2">
      <c r="A285" s="6">
        <v>62868</v>
      </c>
      <c r="B285" s="6" t="s">
        <v>9</v>
      </c>
      <c r="C285" s="6">
        <v>0.30744941013826999</v>
      </c>
      <c r="D285" s="6">
        <v>14</v>
      </c>
      <c r="E285" s="6" t="s">
        <v>4</v>
      </c>
      <c r="F285" s="6">
        <v>5.8562797175838064</v>
      </c>
      <c r="G285" s="6">
        <v>0.90023380802611797</v>
      </c>
      <c r="H285" s="6">
        <v>-6.1637657439372173</v>
      </c>
      <c r="I285" s="6" t="str">
        <f t="shared" si="9"/>
        <v>passed</v>
      </c>
    </row>
    <row r="286" spans="1:9" s="6" customFormat="1" x14ac:dyDescent="0.2">
      <c r="A286" s="6">
        <v>28796</v>
      </c>
      <c r="B286" s="6" t="s">
        <v>9</v>
      </c>
      <c r="C286" s="6">
        <v>0.54432146829811001</v>
      </c>
      <c r="D286" s="6">
        <v>15</v>
      </c>
      <c r="E286" s="6" t="s">
        <v>4</v>
      </c>
      <c r="F286" s="6">
        <v>8.2802287319243604</v>
      </c>
      <c r="G286" s="6">
        <v>1.1730207577107841</v>
      </c>
      <c r="H286" s="6">
        <v>-6.5948596499888961</v>
      </c>
      <c r="I286" s="6" t="str">
        <f t="shared" si="9"/>
        <v>passed</v>
      </c>
    </row>
    <row r="287" spans="1:9" s="6" customFormat="1" x14ac:dyDescent="0.2">
      <c r="A287" s="6">
        <v>29571</v>
      </c>
      <c r="B287" s="6" t="s">
        <v>9</v>
      </c>
      <c r="C287" s="6">
        <v>0.76347725651869003</v>
      </c>
      <c r="D287" s="6">
        <v>15</v>
      </c>
      <c r="E287" s="6" t="s">
        <v>4</v>
      </c>
      <c r="F287" s="6">
        <v>3.898289322121641</v>
      </c>
      <c r="G287" s="6">
        <v>0.7307772982837607</v>
      </c>
      <c r="H287" s="6">
        <v>-4.2896954694201543</v>
      </c>
      <c r="I287" s="6" t="str">
        <f t="shared" si="9"/>
        <v>passed</v>
      </c>
    </row>
    <row r="288" spans="1:9" s="6" customFormat="1" x14ac:dyDescent="0.2">
      <c r="A288" s="6">
        <v>30681</v>
      </c>
      <c r="B288" s="6" t="s">
        <v>9</v>
      </c>
      <c r="C288" s="6">
        <v>1.0333213106773</v>
      </c>
      <c r="D288" s="6">
        <v>15</v>
      </c>
      <c r="E288" s="6" t="s">
        <v>4</v>
      </c>
      <c r="F288" s="6">
        <v>3.2165790163092529</v>
      </c>
      <c r="G288" s="6">
        <v>0.49268747456002432</v>
      </c>
      <c r="H288" s="6">
        <v>-4.4313237465223203</v>
      </c>
      <c r="I288" s="6" t="str">
        <f t="shared" si="9"/>
        <v>passed</v>
      </c>
    </row>
    <row r="289" spans="1:9" s="6" customFormat="1" x14ac:dyDescent="0.2">
      <c r="A289" s="6">
        <v>45776</v>
      </c>
      <c r="B289" s="6" t="s">
        <v>9</v>
      </c>
      <c r="C289" s="6">
        <v>0.36672253395534998</v>
      </c>
      <c r="D289" s="6">
        <v>15</v>
      </c>
      <c r="E289" s="6" t="s">
        <v>4</v>
      </c>
      <c r="F289" s="6">
        <v>5.2355535789047289</v>
      </c>
      <c r="G289" s="6">
        <v>0.86610828374366289</v>
      </c>
      <c r="H289" s="6">
        <v>-5.6215038423421664</v>
      </c>
      <c r="I289" s="6" t="str">
        <f t="shared" si="9"/>
        <v>passed</v>
      </c>
    </row>
    <row r="290" spans="1:9" s="6" customFormat="1" x14ac:dyDescent="0.2">
      <c r="A290" s="6">
        <v>59803</v>
      </c>
      <c r="B290" s="6" t="s">
        <v>9</v>
      </c>
      <c r="C290" s="6">
        <v>1.3438946190192</v>
      </c>
      <c r="D290" s="6">
        <v>15</v>
      </c>
      <c r="E290" s="6" t="s">
        <v>4</v>
      </c>
      <c r="F290" s="6">
        <v>6.4733959717305476</v>
      </c>
      <c r="G290" s="6">
        <v>1.074488380695986</v>
      </c>
      <c r="H290" s="6">
        <v>-4.7739011839186238</v>
      </c>
      <c r="I290" s="6" t="str">
        <f t="shared" si="9"/>
        <v>passed</v>
      </c>
    </row>
    <row r="291" spans="1:9" s="6" customFormat="1" x14ac:dyDescent="0.2">
      <c r="A291" s="6">
        <v>53381</v>
      </c>
      <c r="B291" s="6" t="s">
        <v>9</v>
      </c>
      <c r="C291" s="6">
        <v>0.23776038774170999</v>
      </c>
      <c r="D291" s="6">
        <v>16</v>
      </c>
      <c r="E291" s="6" t="s">
        <v>4</v>
      </c>
      <c r="F291" s="6">
        <v>3.905536628464684</v>
      </c>
      <c r="G291" s="6">
        <v>0.74569240385854363</v>
      </c>
      <c r="H291" s="6">
        <v>-4.9186182154253864</v>
      </c>
      <c r="I291" s="6" t="str">
        <f t="shared" si="9"/>
        <v>passed</v>
      </c>
    </row>
    <row r="292" spans="1:9" s="6" customFormat="1" x14ac:dyDescent="0.2">
      <c r="A292" s="6">
        <v>30756</v>
      </c>
      <c r="B292" s="6" t="s">
        <v>9</v>
      </c>
      <c r="C292" s="6">
        <v>0.42649880336911999</v>
      </c>
      <c r="D292" s="6">
        <v>17</v>
      </c>
      <c r="E292" s="6" t="s">
        <v>4</v>
      </c>
      <c r="F292" s="6">
        <v>3.56260321134604</v>
      </c>
      <c r="G292" s="6">
        <v>0.54944481872851436</v>
      </c>
      <c r="H292" s="6">
        <v>-5.7077695540641704</v>
      </c>
      <c r="I292" s="6" t="str">
        <f t="shared" si="9"/>
        <v>passed</v>
      </c>
    </row>
    <row r="293" spans="1:9" s="6" customFormat="1" x14ac:dyDescent="0.2">
      <c r="A293" s="6">
        <v>29544</v>
      </c>
      <c r="B293" s="6" t="s">
        <v>9</v>
      </c>
      <c r="C293" s="6">
        <v>0.83291152244859001</v>
      </c>
      <c r="D293" s="6">
        <v>18</v>
      </c>
      <c r="E293" s="6" t="s">
        <v>4</v>
      </c>
      <c r="F293" s="6">
        <v>3.7211439220613469</v>
      </c>
      <c r="G293" s="6">
        <v>0.56797500701493675</v>
      </c>
      <c r="H293" s="6">
        <v>-5.0851399514781876</v>
      </c>
      <c r="I293" s="6" t="str">
        <f t="shared" si="9"/>
        <v>passed</v>
      </c>
    </row>
    <row r="294" spans="1:9" s="6" customFormat="1" x14ac:dyDescent="0.2">
      <c r="A294" s="6">
        <v>53347</v>
      </c>
      <c r="B294" s="6" t="s">
        <v>9</v>
      </c>
      <c r="C294" s="6">
        <v>0.87106734607660996</v>
      </c>
      <c r="D294" s="6">
        <v>18</v>
      </c>
      <c r="E294" s="6" t="s">
        <v>4</v>
      </c>
      <c r="F294" s="6">
        <v>6.2143134865118048</v>
      </c>
      <c r="G294" s="6">
        <v>0.90412690572133836</v>
      </c>
      <c r="H294" s="6">
        <v>-5.9098408714783277</v>
      </c>
      <c r="I294" s="6" t="str">
        <f t="shared" si="9"/>
        <v>passed</v>
      </c>
    </row>
    <row r="295" spans="1:9" s="6" customFormat="1" x14ac:dyDescent="0.2">
      <c r="A295" s="6">
        <v>62899</v>
      </c>
      <c r="B295" s="6" t="s">
        <v>9</v>
      </c>
      <c r="C295" s="6">
        <v>0.99989622706412995</v>
      </c>
      <c r="D295" s="6">
        <v>18</v>
      </c>
      <c r="E295" s="6" t="s">
        <v>4</v>
      </c>
      <c r="F295" s="6">
        <v>2.7147514201892369</v>
      </c>
      <c r="G295" s="6">
        <v>0.39533351973132741</v>
      </c>
      <c r="H295" s="6">
        <v>-4.3377429626775497</v>
      </c>
      <c r="I295" s="6" t="str">
        <f t="shared" si="9"/>
        <v>passed</v>
      </c>
    </row>
    <row r="296" spans="1:9" s="6" customFormat="1" x14ac:dyDescent="0.2">
      <c r="A296" s="6">
        <v>29535</v>
      </c>
      <c r="B296" s="6" t="s">
        <v>9</v>
      </c>
      <c r="C296" s="6">
        <v>0.29985560111078002</v>
      </c>
      <c r="D296" s="6">
        <v>19</v>
      </c>
      <c r="E296" s="6" t="s">
        <v>4</v>
      </c>
      <c r="F296" s="6">
        <v>3.7711621977616132</v>
      </c>
      <c r="G296" s="6">
        <v>0.68518403399109518</v>
      </c>
      <c r="H296" s="6">
        <v>-5.0662397610624241</v>
      </c>
      <c r="I296" s="6" t="str">
        <f t="shared" si="9"/>
        <v>passed</v>
      </c>
    </row>
    <row r="297" spans="1:9" s="6" customFormat="1" x14ac:dyDescent="0.2">
      <c r="A297" s="6">
        <v>39237</v>
      </c>
      <c r="B297" s="6" t="s">
        <v>9</v>
      </c>
      <c r="C297" s="6">
        <v>0.2374317631657</v>
      </c>
      <c r="D297" s="6">
        <v>19</v>
      </c>
      <c r="E297" s="6" t="s">
        <v>4</v>
      </c>
      <c r="F297" s="6">
        <v>5.3285406618972928</v>
      </c>
      <c r="G297" s="6">
        <v>0.86507509247942072</v>
      </c>
      <c r="H297" s="6">
        <v>-5.8851641238910251</v>
      </c>
      <c r="I297" s="6" t="str">
        <f t="shared" si="9"/>
        <v>passed</v>
      </c>
    </row>
    <row r="298" spans="1:9" s="6" customFormat="1" x14ac:dyDescent="0.2">
      <c r="A298" s="6">
        <v>60246</v>
      </c>
      <c r="B298" s="6" t="s">
        <v>9</v>
      </c>
      <c r="C298" s="6">
        <v>0.62960104066744005</v>
      </c>
      <c r="D298" s="6">
        <v>19</v>
      </c>
      <c r="E298" s="6" t="s">
        <v>4</v>
      </c>
      <c r="F298" s="6">
        <v>4.599378578477622</v>
      </c>
      <c r="G298" s="6">
        <v>0.85260857932403789</v>
      </c>
      <c r="H298" s="6">
        <v>-4.6560375230536462</v>
      </c>
      <c r="I298" s="6" t="str">
        <f t="shared" si="9"/>
        <v>passed</v>
      </c>
    </row>
    <row r="299" spans="1:9" s="6" customFormat="1" x14ac:dyDescent="0.2">
      <c r="A299" s="6">
        <v>63127</v>
      </c>
      <c r="B299" s="6" t="s">
        <v>9</v>
      </c>
      <c r="C299" s="6">
        <v>4.1707257868644003</v>
      </c>
      <c r="D299" s="6">
        <v>19</v>
      </c>
      <c r="E299" s="6" t="s">
        <v>4</v>
      </c>
      <c r="F299" s="6">
        <v>6.8740471812789714</v>
      </c>
      <c r="G299" s="6">
        <v>1.1466790640605911</v>
      </c>
      <c r="H299" s="6">
        <v>-2.3026777874832489</v>
      </c>
      <c r="I299" s="6" t="str">
        <f t="shared" si="9"/>
        <v>passed</v>
      </c>
    </row>
    <row r="300" spans="1:9" s="6" customFormat="1" x14ac:dyDescent="0.2">
      <c r="A300" s="6">
        <v>38791</v>
      </c>
      <c r="B300" s="6" t="s">
        <v>9</v>
      </c>
      <c r="C300" s="6">
        <v>9.9039733427578006E-2</v>
      </c>
      <c r="D300" s="6">
        <v>11</v>
      </c>
      <c r="E300" s="6" t="s">
        <v>5</v>
      </c>
      <c r="F300" s="6">
        <v>6.4880191851365676E-2</v>
      </c>
      <c r="G300" s="6">
        <v>3.4928640328980298E-2</v>
      </c>
      <c r="H300" s="6">
        <v>0.97798085623929232</v>
      </c>
      <c r="I300" s="6" t="str">
        <f t="shared" si="9"/>
        <v>failed</v>
      </c>
    </row>
    <row r="301" spans="1:9" s="6" customFormat="1" x14ac:dyDescent="0.2">
      <c r="A301" s="6">
        <v>31887</v>
      </c>
      <c r="B301" s="6" t="s">
        <v>9</v>
      </c>
      <c r="C301" s="6">
        <v>2.2246993478201998E-2</v>
      </c>
      <c r="D301" s="6">
        <v>12</v>
      </c>
      <c r="E301" s="6" t="s">
        <v>5</v>
      </c>
      <c r="F301" s="6">
        <v>0.13483083215165989</v>
      </c>
      <c r="G301" s="6">
        <v>7.7498341942520962E-2</v>
      </c>
      <c r="H301" s="6">
        <v>-1.45272577259728</v>
      </c>
      <c r="I301" s="6" t="str">
        <f t="shared" si="9"/>
        <v>failed</v>
      </c>
    </row>
    <row r="302" spans="1:9" s="6" customFormat="1" x14ac:dyDescent="0.2">
      <c r="A302" s="6">
        <v>33168</v>
      </c>
      <c r="B302" s="6" t="s">
        <v>9</v>
      </c>
      <c r="C302" s="6">
        <v>3.6369374944617002E-15</v>
      </c>
      <c r="D302" s="6">
        <v>12</v>
      </c>
      <c r="E302" s="6" t="s">
        <v>5</v>
      </c>
      <c r="F302" s="6">
        <v>3.7464651662701209</v>
      </c>
      <c r="G302" s="6">
        <v>3.2968984046400629</v>
      </c>
      <c r="H302" s="6">
        <v>-1.13636051417215</v>
      </c>
      <c r="I302" s="6" t="str">
        <f t="shared" si="9"/>
        <v>failed</v>
      </c>
    </row>
    <row r="303" spans="1:9" x14ac:dyDescent="0.2">
      <c r="A303">
        <v>28740</v>
      </c>
      <c r="B303" t="s">
        <v>9</v>
      </c>
      <c r="C303">
        <v>4.7638103925216002E-2</v>
      </c>
      <c r="D303">
        <v>9</v>
      </c>
      <c r="E303" t="s">
        <v>5</v>
      </c>
      <c r="F303">
        <v>4.3167766392078422</v>
      </c>
      <c r="G303">
        <v>0.71112062804464926</v>
      </c>
      <c r="H303">
        <v>-6.0033957206688973</v>
      </c>
      <c r="I303" t="str">
        <f t="shared" si="9"/>
        <v>passed</v>
      </c>
    </row>
    <row r="304" spans="1:9" x14ac:dyDescent="0.2">
      <c r="A304">
        <v>28746</v>
      </c>
      <c r="B304" t="s">
        <v>9</v>
      </c>
      <c r="C304">
        <v>6.7366690253875997E-2</v>
      </c>
      <c r="D304">
        <v>9</v>
      </c>
      <c r="E304" t="s">
        <v>5</v>
      </c>
      <c r="F304">
        <v>1.714861151304796</v>
      </c>
      <c r="G304">
        <v>0.29402663922234051</v>
      </c>
      <c r="H304">
        <v>-5.6032149515714371</v>
      </c>
      <c r="I304" t="str">
        <f t="shared" si="9"/>
        <v>passed</v>
      </c>
    </row>
    <row r="305" spans="1:9" x14ac:dyDescent="0.2">
      <c r="A305">
        <v>28779</v>
      </c>
      <c r="B305" t="s">
        <v>9</v>
      </c>
      <c r="C305">
        <v>0.10235184415291999</v>
      </c>
      <c r="D305">
        <v>9</v>
      </c>
      <c r="E305" t="s">
        <v>5</v>
      </c>
      <c r="F305">
        <v>4.0942125388834532</v>
      </c>
      <c r="G305">
        <v>0.82337559767857649</v>
      </c>
      <c r="H305">
        <v>-4.8481649273857244</v>
      </c>
      <c r="I305" t="str">
        <f t="shared" si="9"/>
        <v>passed</v>
      </c>
    </row>
    <row r="306" spans="1:9" x14ac:dyDescent="0.2">
      <c r="A306">
        <v>29048</v>
      </c>
      <c r="B306" t="s">
        <v>9</v>
      </c>
      <c r="C306">
        <v>9.2320285892932993E-2</v>
      </c>
      <c r="D306">
        <v>9</v>
      </c>
      <c r="E306" t="s">
        <v>5</v>
      </c>
      <c r="F306">
        <v>1.1372396997392511</v>
      </c>
      <c r="G306">
        <v>0.1774783854629641</v>
      </c>
      <c r="H306">
        <v>-5.8875868806253564</v>
      </c>
      <c r="I306" t="str">
        <f t="shared" si="9"/>
        <v>passed</v>
      </c>
    </row>
    <row r="307" spans="1:9" x14ac:dyDescent="0.2">
      <c r="A307">
        <v>29053</v>
      </c>
      <c r="B307" t="s">
        <v>9</v>
      </c>
      <c r="C307">
        <v>9.6073710264455006E-2</v>
      </c>
      <c r="D307">
        <v>9</v>
      </c>
      <c r="E307" t="s">
        <v>5</v>
      </c>
      <c r="F307">
        <v>2.2313983960790762</v>
      </c>
      <c r="G307">
        <v>0.42297707692636771</v>
      </c>
      <c r="H307">
        <v>-5.0483224796277586</v>
      </c>
      <c r="I307" t="str">
        <f t="shared" si="9"/>
        <v>passed</v>
      </c>
    </row>
    <row r="308" spans="1:9" x14ac:dyDescent="0.2">
      <c r="A308">
        <v>29119</v>
      </c>
      <c r="B308" t="s">
        <v>9</v>
      </c>
      <c r="C308">
        <v>7.8571008918744994E-2</v>
      </c>
      <c r="D308">
        <v>9</v>
      </c>
      <c r="E308" t="s">
        <v>5</v>
      </c>
      <c r="F308">
        <v>2.8443087455840939</v>
      </c>
      <c r="G308">
        <v>0.54640217984511508</v>
      </c>
      <c r="H308">
        <v>-5.0617252981116092</v>
      </c>
      <c r="I308" t="str">
        <f t="shared" si="9"/>
        <v>passed</v>
      </c>
    </row>
    <row r="309" spans="1:9" x14ac:dyDescent="0.2">
      <c r="A309">
        <v>29147</v>
      </c>
      <c r="B309" t="s">
        <v>9</v>
      </c>
      <c r="C309">
        <v>4.7113234682756001E-2</v>
      </c>
      <c r="D309">
        <v>9</v>
      </c>
      <c r="E309" t="s">
        <v>5</v>
      </c>
      <c r="F309">
        <v>5.8969715965270053</v>
      </c>
      <c r="G309">
        <v>1.0206825878170169</v>
      </c>
      <c r="H309">
        <v>-5.7313198360281872</v>
      </c>
      <c r="I309" t="str">
        <f t="shared" si="9"/>
        <v>passed</v>
      </c>
    </row>
    <row r="310" spans="1:9" x14ac:dyDescent="0.2">
      <c r="A310">
        <v>29153</v>
      </c>
      <c r="B310" t="s">
        <v>9</v>
      </c>
      <c r="C310">
        <v>2.9334129851159001E-2</v>
      </c>
      <c r="D310">
        <v>9</v>
      </c>
      <c r="E310" t="s">
        <v>5</v>
      </c>
      <c r="F310">
        <v>3.6617920125269472</v>
      </c>
      <c r="G310">
        <v>0.85558135770535182</v>
      </c>
      <c r="H310">
        <v>-4.245601952358979</v>
      </c>
      <c r="I310" t="str">
        <f t="shared" si="9"/>
        <v>passed</v>
      </c>
    </row>
    <row r="311" spans="1:9" x14ac:dyDescent="0.2">
      <c r="A311">
        <v>29166</v>
      </c>
      <c r="B311" t="s">
        <v>9</v>
      </c>
      <c r="C311">
        <v>8.8116926765717002E-2</v>
      </c>
      <c r="D311">
        <v>9</v>
      </c>
      <c r="E311" t="s">
        <v>5</v>
      </c>
      <c r="F311">
        <v>7.2412838146089733</v>
      </c>
      <c r="G311">
        <v>1.110375122215091</v>
      </c>
      <c r="H311">
        <v>-6.4421173932403866</v>
      </c>
      <c r="I311" t="str">
        <f t="shared" si="9"/>
        <v>passed</v>
      </c>
    </row>
    <row r="312" spans="1:9" x14ac:dyDescent="0.2">
      <c r="A312">
        <v>29180</v>
      </c>
      <c r="B312" t="s">
        <v>9</v>
      </c>
      <c r="C312">
        <v>3.4250447199486E-2</v>
      </c>
      <c r="D312">
        <v>9</v>
      </c>
      <c r="E312" t="s">
        <v>5</v>
      </c>
      <c r="F312">
        <v>1.3243005784554389</v>
      </c>
      <c r="G312">
        <v>0.21678386306683961</v>
      </c>
      <c r="H312">
        <v>-5.9508586709620532</v>
      </c>
      <c r="I312" t="str">
        <f t="shared" si="9"/>
        <v>passed</v>
      </c>
    </row>
    <row r="313" spans="1:9" x14ac:dyDescent="0.2">
      <c r="A313">
        <v>29189</v>
      </c>
      <c r="B313" t="s">
        <v>9</v>
      </c>
      <c r="C313">
        <v>3.5908657405195998E-2</v>
      </c>
      <c r="D313">
        <v>9</v>
      </c>
      <c r="E313" t="s">
        <v>5</v>
      </c>
      <c r="F313">
        <v>5.7001698669011889</v>
      </c>
      <c r="G313">
        <v>0.91013043290965168</v>
      </c>
      <c r="H313">
        <v>-6.2235708253239803</v>
      </c>
      <c r="I313" t="str">
        <f t="shared" si="9"/>
        <v>passed</v>
      </c>
    </row>
    <row r="314" spans="1:9" x14ac:dyDescent="0.2">
      <c r="A314">
        <v>29195</v>
      </c>
      <c r="B314" t="s">
        <v>9</v>
      </c>
      <c r="C314">
        <v>0.19872258293322001</v>
      </c>
      <c r="D314">
        <v>9</v>
      </c>
      <c r="E314" t="s">
        <v>5</v>
      </c>
      <c r="F314">
        <v>5.0447673101493162</v>
      </c>
      <c r="G314">
        <v>0.79932079681139057</v>
      </c>
      <c r="H314">
        <v>-6.0627031681743944</v>
      </c>
      <c r="I314" t="str">
        <f t="shared" si="9"/>
        <v>passed</v>
      </c>
    </row>
    <row r="315" spans="1:9" x14ac:dyDescent="0.2">
      <c r="A315">
        <v>29255</v>
      </c>
      <c r="B315" t="s">
        <v>9</v>
      </c>
      <c r="C315">
        <v>9.0125981578353997E-2</v>
      </c>
      <c r="D315">
        <v>9</v>
      </c>
      <c r="E315" t="s">
        <v>5</v>
      </c>
      <c r="F315">
        <v>3.4332879631359501</v>
      </c>
      <c r="G315">
        <v>0.53032741166067932</v>
      </c>
      <c r="H315">
        <v>-6.3039584755552092</v>
      </c>
      <c r="I315" t="str">
        <f t="shared" si="9"/>
        <v>passed</v>
      </c>
    </row>
    <row r="316" spans="1:9" x14ac:dyDescent="0.2">
      <c r="A316">
        <v>29303</v>
      </c>
      <c r="B316" t="s">
        <v>9</v>
      </c>
      <c r="C316">
        <v>0.12043833367589001</v>
      </c>
      <c r="D316">
        <v>9</v>
      </c>
      <c r="E316" t="s">
        <v>5</v>
      </c>
      <c r="F316">
        <v>5.1104324129630507</v>
      </c>
      <c r="G316">
        <v>0.80380834455386563</v>
      </c>
      <c r="H316">
        <v>-6.2079401303761426</v>
      </c>
      <c r="I316" t="str">
        <f t="shared" si="9"/>
        <v>passed</v>
      </c>
    </row>
    <row r="317" spans="1:9" x14ac:dyDescent="0.2">
      <c r="A317">
        <v>29320</v>
      </c>
      <c r="B317" t="s">
        <v>9</v>
      </c>
      <c r="C317">
        <v>0.17700539470831</v>
      </c>
      <c r="D317">
        <v>9</v>
      </c>
      <c r="E317" t="s">
        <v>5</v>
      </c>
      <c r="F317">
        <v>2.5014773516062849</v>
      </c>
      <c r="G317">
        <v>0.37918546954237781</v>
      </c>
      <c r="H317">
        <v>-6.1301714955039852</v>
      </c>
      <c r="I317" t="str">
        <f t="shared" si="9"/>
        <v>passed</v>
      </c>
    </row>
    <row r="318" spans="1:9" x14ac:dyDescent="0.2">
      <c r="A318">
        <v>29332</v>
      </c>
      <c r="B318" t="s">
        <v>9</v>
      </c>
      <c r="C318">
        <v>6.4297279222152004E-2</v>
      </c>
      <c r="D318">
        <v>9</v>
      </c>
      <c r="E318" t="s">
        <v>5</v>
      </c>
      <c r="F318">
        <v>3.199303420535129</v>
      </c>
      <c r="G318">
        <v>0.53314017353406584</v>
      </c>
      <c r="H318">
        <v>-5.8802661981589726</v>
      </c>
      <c r="I318" t="str">
        <f t="shared" si="9"/>
        <v>passed</v>
      </c>
    </row>
    <row r="319" spans="1:9" x14ac:dyDescent="0.2">
      <c r="A319">
        <v>29434</v>
      </c>
      <c r="B319" t="s">
        <v>9</v>
      </c>
      <c r="C319">
        <v>0.16324049513705</v>
      </c>
      <c r="D319">
        <v>9</v>
      </c>
      <c r="E319" t="s">
        <v>5</v>
      </c>
      <c r="F319">
        <v>4.6588688553025834</v>
      </c>
      <c r="G319">
        <v>0.70642010429541591</v>
      </c>
      <c r="H319">
        <v>-6.3639586880804879</v>
      </c>
      <c r="I319" t="str">
        <f t="shared" si="9"/>
        <v>passed</v>
      </c>
    </row>
    <row r="320" spans="1:9" x14ac:dyDescent="0.2">
      <c r="A320">
        <v>29436</v>
      </c>
      <c r="B320" t="s">
        <v>9</v>
      </c>
      <c r="C320">
        <v>3.5892958223525E-2</v>
      </c>
      <c r="D320">
        <v>9</v>
      </c>
      <c r="E320" t="s">
        <v>5</v>
      </c>
      <c r="F320">
        <v>2.5401982123552389</v>
      </c>
      <c r="G320">
        <v>0.41505768002481508</v>
      </c>
      <c r="H320">
        <v>-6.0336318893846004</v>
      </c>
      <c r="I320" t="str">
        <f t="shared" si="9"/>
        <v>passed</v>
      </c>
    </row>
    <row r="321" spans="1:9" x14ac:dyDescent="0.2">
      <c r="A321">
        <v>29463</v>
      </c>
      <c r="B321" t="s">
        <v>9</v>
      </c>
      <c r="C321">
        <v>0.1404664646697</v>
      </c>
      <c r="D321">
        <v>9</v>
      </c>
      <c r="E321" t="s">
        <v>5</v>
      </c>
      <c r="F321">
        <v>9.0706213525523047</v>
      </c>
      <c r="G321">
        <v>1.405697680971937</v>
      </c>
      <c r="H321">
        <v>-6.3528275025025698</v>
      </c>
      <c r="I321" t="str">
        <f t="shared" si="9"/>
        <v>passed</v>
      </c>
    </row>
    <row r="322" spans="1:9" x14ac:dyDescent="0.2">
      <c r="A322">
        <v>29497</v>
      </c>
      <c r="B322" t="s">
        <v>9</v>
      </c>
      <c r="C322">
        <v>8.1513435682802005E-2</v>
      </c>
      <c r="D322">
        <v>9</v>
      </c>
      <c r="E322" t="s">
        <v>5</v>
      </c>
      <c r="F322">
        <v>2.5221423083185179</v>
      </c>
      <c r="G322">
        <v>0.59033232707092498</v>
      </c>
      <c r="H322">
        <v>-4.1343303775103744</v>
      </c>
      <c r="I322" t="str">
        <f t="shared" si="9"/>
        <v>passed</v>
      </c>
    </row>
    <row r="323" spans="1:9" x14ac:dyDescent="0.2">
      <c r="A323">
        <v>29526</v>
      </c>
      <c r="B323" t="s">
        <v>9</v>
      </c>
      <c r="C323">
        <v>6.3739299440950997E-2</v>
      </c>
      <c r="D323">
        <v>9</v>
      </c>
      <c r="E323" t="s">
        <v>5</v>
      </c>
      <c r="F323">
        <v>7.0150517063475926</v>
      </c>
      <c r="G323">
        <v>1.1813988383496721</v>
      </c>
      <c r="H323">
        <v>-5.8839675317584712</v>
      </c>
      <c r="I323" t="str">
        <f t="shared" ref="I323:I386" si="10">IF((H323&lt;-2)*AND(D323&lt;=19),"passed","failed")</f>
        <v>passed</v>
      </c>
    </row>
    <row r="324" spans="1:9" x14ac:dyDescent="0.2">
      <c r="A324">
        <v>29784</v>
      </c>
      <c r="B324" t="s">
        <v>9</v>
      </c>
      <c r="C324">
        <v>0.13525736465456001</v>
      </c>
      <c r="D324">
        <v>9</v>
      </c>
      <c r="E324" t="s">
        <v>5</v>
      </c>
      <c r="F324">
        <v>3.0620872613150381</v>
      </c>
      <c r="G324">
        <v>0.57132165787178402</v>
      </c>
      <c r="H324">
        <v>-5.1229108092333471</v>
      </c>
      <c r="I324" t="str">
        <f t="shared" si="10"/>
        <v>passed</v>
      </c>
    </row>
    <row r="325" spans="1:9" x14ac:dyDescent="0.2">
      <c r="A325">
        <v>29844</v>
      </c>
      <c r="B325" t="s">
        <v>9</v>
      </c>
      <c r="C325">
        <v>0.11907286675569</v>
      </c>
      <c r="D325">
        <v>9</v>
      </c>
      <c r="E325" t="s">
        <v>5</v>
      </c>
      <c r="F325">
        <v>1.607741353127536</v>
      </c>
      <c r="G325">
        <v>0.29554401461155538</v>
      </c>
      <c r="H325">
        <v>-5.0370449502368064</v>
      </c>
      <c r="I325" t="str">
        <f t="shared" si="10"/>
        <v>passed</v>
      </c>
    </row>
    <row r="326" spans="1:9" x14ac:dyDescent="0.2">
      <c r="A326">
        <v>29864</v>
      </c>
      <c r="B326" t="s">
        <v>9</v>
      </c>
      <c r="C326">
        <v>0.10876239962211</v>
      </c>
      <c r="D326">
        <v>9</v>
      </c>
      <c r="E326" t="s">
        <v>5</v>
      </c>
      <c r="F326">
        <v>5.1497240627818099</v>
      </c>
      <c r="G326">
        <v>0.8840143023569309</v>
      </c>
      <c r="H326">
        <v>-5.7023530611661499</v>
      </c>
      <c r="I326" t="str">
        <f t="shared" si="10"/>
        <v>passed</v>
      </c>
    </row>
    <row r="327" spans="1:9" x14ac:dyDescent="0.2">
      <c r="A327">
        <v>29995</v>
      </c>
      <c r="B327" t="s">
        <v>9</v>
      </c>
      <c r="C327">
        <v>0.11483119686253</v>
      </c>
      <c r="D327">
        <v>9</v>
      </c>
      <c r="E327" t="s">
        <v>5</v>
      </c>
      <c r="F327">
        <v>3.6600543241939492</v>
      </c>
      <c r="G327">
        <v>0.64703726017510188</v>
      </c>
      <c r="H327">
        <v>-5.4791637909260302</v>
      </c>
      <c r="I327" t="str">
        <f t="shared" si="10"/>
        <v>passed</v>
      </c>
    </row>
    <row r="328" spans="1:9" x14ac:dyDescent="0.2">
      <c r="A328">
        <v>30642</v>
      </c>
      <c r="B328" t="s">
        <v>9</v>
      </c>
      <c r="C328">
        <v>6.5343183507749994E-2</v>
      </c>
      <c r="D328">
        <v>9</v>
      </c>
      <c r="E328" t="s">
        <v>5</v>
      </c>
      <c r="F328">
        <v>5.1052625410126096</v>
      </c>
      <c r="G328">
        <v>0.88409229746875051</v>
      </c>
      <c r="H328">
        <v>-5.7006710407212928</v>
      </c>
      <c r="I328" t="str">
        <f t="shared" si="10"/>
        <v>passed</v>
      </c>
    </row>
    <row r="329" spans="1:9" x14ac:dyDescent="0.2">
      <c r="A329">
        <v>30662</v>
      </c>
      <c r="B329" t="s">
        <v>9</v>
      </c>
      <c r="C329">
        <v>0.16242993868773001</v>
      </c>
      <c r="D329">
        <v>9</v>
      </c>
      <c r="E329" t="s">
        <v>5</v>
      </c>
      <c r="F329">
        <v>5.7731657796156304</v>
      </c>
      <c r="G329">
        <v>1.2573795389307749</v>
      </c>
      <c r="H329">
        <v>-4.462245222869659</v>
      </c>
      <c r="I329" t="str">
        <f t="shared" si="10"/>
        <v>passed</v>
      </c>
    </row>
    <row r="330" spans="1:9" x14ac:dyDescent="0.2">
      <c r="A330">
        <v>30838</v>
      </c>
      <c r="B330" t="s">
        <v>9</v>
      </c>
      <c r="C330">
        <v>3.8229766624279002E-2</v>
      </c>
      <c r="D330">
        <v>9</v>
      </c>
      <c r="E330" t="s">
        <v>5</v>
      </c>
      <c r="F330">
        <v>2.4157367041211639</v>
      </c>
      <c r="G330">
        <v>0.38026694248241882</v>
      </c>
      <c r="H330">
        <v>-6.2522051535068819</v>
      </c>
      <c r="I330" t="str">
        <f t="shared" si="10"/>
        <v>passed</v>
      </c>
    </row>
    <row r="331" spans="1:9" x14ac:dyDescent="0.2">
      <c r="A331">
        <v>30883</v>
      </c>
      <c r="B331" t="s">
        <v>9</v>
      </c>
      <c r="C331">
        <v>1.6229347959752002E-2</v>
      </c>
      <c r="D331">
        <v>9</v>
      </c>
      <c r="E331" t="s">
        <v>5</v>
      </c>
      <c r="F331">
        <v>1.3474862639970919</v>
      </c>
      <c r="G331">
        <v>0.20288685229880221</v>
      </c>
      <c r="H331">
        <v>-6.5615731179895649</v>
      </c>
      <c r="I331" t="str">
        <f t="shared" si="10"/>
        <v>passed</v>
      </c>
    </row>
    <row r="332" spans="1:9" x14ac:dyDescent="0.2">
      <c r="A332">
        <v>31236</v>
      </c>
      <c r="B332" t="s">
        <v>9</v>
      </c>
      <c r="C332">
        <v>3.7570889284925003E-2</v>
      </c>
      <c r="D332">
        <v>9</v>
      </c>
      <c r="E332" t="s">
        <v>5</v>
      </c>
      <c r="F332">
        <v>4.0685528094951922</v>
      </c>
      <c r="G332">
        <v>0.84255228680050853</v>
      </c>
      <c r="H332">
        <v>-4.784251355506302</v>
      </c>
      <c r="I332" t="str">
        <f t="shared" si="10"/>
        <v>passed</v>
      </c>
    </row>
    <row r="333" spans="1:9" x14ac:dyDescent="0.2">
      <c r="A333">
        <v>31403</v>
      </c>
      <c r="B333" t="s">
        <v>9</v>
      </c>
      <c r="C333">
        <v>6.1192627301813997E-2</v>
      </c>
      <c r="D333">
        <v>9</v>
      </c>
      <c r="E333" t="s">
        <v>5</v>
      </c>
      <c r="F333">
        <v>1.750010396773922</v>
      </c>
      <c r="G333">
        <v>0.3183634028889093</v>
      </c>
      <c r="H333">
        <v>-5.3046856332962662</v>
      </c>
      <c r="I333" t="str">
        <f t="shared" si="10"/>
        <v>passed</v>
      </c>
    </row>
    <row r="334" spans="1:9" x14ac:dyDescent="0.2">
      <c r="A334">
        <v>38815</v>
      </c>
      <c r="B334" t="s">
        <v>9</v>
      </c>
      <c r="C334">
        <v>0.10087892584967</v>
      </c>
      <c r="D334">
        <v>9</v>
      </c>
      <c r="E334" t="s">
        <v>5</v>
      </c>
      <c r="F334">
        <v>3.2230611390735082</v>
      </c>
      <c r="G334">
        <v>0.541023396819034</v>
      </c>
      <c r="H334">
        <v>-5.7708820571916508</v>
      </c>
      <c r="I334" t="str">
        <f t="shared" si="10"/>
        <v>passed</v>
      </c>
    </row>
    <row r="335" spans="1:9" x14ac:dyDescent="0.2">
      <c r="A335">
        <v>39200</v>
      </c>
      <c r="B335" t="s">
        <v>9</v>
      </c>
      <c r="C335">
        <v>6.1489514180756003E-2</v>
      </c>
      <c r="D335">
        <v>9</v>
      </c>
      <c r="E335" t="s">
        <v>5</v>
      </c>
      <c r="F335">
        <v>8.5018307445269965</v>
      </c>
      <c r="G335">
        <v>1.495448802976453</v>
      </c>
      <c r="H335">
        <v>-5.6440188480856603</v>
      </c>
      <c r="I335" t="str">
        <f t="shared" si="10"/>
        <v>passed</v>
      </c>
    </row>
    <row r="336" spans="1:9" x14ac:dyDescent="0.2">
      <c r="A336">
        <v>39208</v>
      </c>
      <c r="B336" t="s">
        <v>9</v>
      </c>
      <c r="C336">
        <v>1.3026566857478E-2</v>
      </c>
      <c r="D336">
        <v>9</v>
      </c>
      <c r="E336" t="s">
        <v>5</v>
      </c>
      <c r="F336">
        <v>3.3369757249705181</v>
      </c>
      <c r="G336">
        <v>0.71491587207116825</v>
      </c>
      <c r="H336">
        <v>-4.649426999687801</v>
      </c>
      <c r="I336" t="str">
        <f t="shared" si="10"/>
        <v>passed</v>
      </c>
    </row>
    <row r="337" spans="1:9" x14ac:dyDescent="0.2">
      <c r="A337">
        <v>39217</v>
      </c>
      <c r="B337" t="s">
        <v>9</v>
      </c>
      <c r="C337">
        <v>0.18318190554130001</v>
      </c>
      <c r="D337">
        <v>9</v>
      </c>
      <c r="E337" t="s">
        <v>5</v>
      </c>
      <c r="F337">
        <v>3.668515091728509</v>
      </c>
      <c r="G337">
        <v>0.72072034939481833</v>
      </c>
      <c r="H337">
        <v>-4.8359022873626527</v>
      </c>
      <c r="I337" t="str">
        <f t="shared" si="10"/>
        <v>passed</v>
      </c>
    </row>
    <row r="338" spans="1:9" x14ac:dyDescent="0.2">
      <c r="A338">
        <v>39492</v>
      </c>
      <c r="B338" t="s">
        <v>9</v>
      </c>
      <c r="C338">
        <v>9.9514502939666002E-2</v>
      </c>
      <c r="D338">
        <v>9</v>
      </c>
      <c r="E338" t="s">
        <v>5</v>
      </c>
      <c r="F338">
        <v>6.430924624375904</v>
      </c>
      <c r="G338">
        <v>1.1180154380855409</v>
      </c>
      <c r="H338">
        <v>-5.6633108368446123</v>
      </c>
      <c r="I338" t="str">
        <f t="shared" si="10"/>
        <v>passed</v>
      </c>
    </row>
    <row r="339" spans="1:9" x14ac:dyDescent="0.2">
      <c r="A339">
        <v>39524</v>
      </c>
      <c r="B339" t="s">
        <v>9</v>
      </c>
      <c r="C339">
        <v>0.10067162329659</v>
      </c>
      <c r="D339">
        <v>9</v>
      </c>
      <c r="E339" t="s">
        <v>5</v>
      </c>
      <c r="F339">
        <v>3.6380330684836628</v>
      </c>
      <c r="G339">
        <v>0.58864725587605582</v>
      </c>
      <c r="H339">
        <v>-6.0093059296141416</v>
      </c>
      <c r="I339" t="str">
        <f t="shared" si="10"/>
        <v>passed</v>
      </c>
    </row>
    <row r="340" spans="1:9" x14ac:dyDescent="0.2">
      <c r="A340">
        <v>45734</v>
      </c>
      <c r="B340" t="s">
        <v>9</v>
      </c>
      <c r="C340">
        <v>3.0687760652029002E-2</v>
      </c>
      <c r="D340">
        <v>9</v>
      </c>
      <c r="E340" t="s">
        <v>5</v>
      </c>
      <c r="F340">
        <v>3.6500139486845522</v>
      </c>
      <c r="G340">
        <v>0.54069705518033362</v>
      </c>
      <c r="H340">
        <v>-6.6938152397101609</v>
      </c>
      <c r="I340" t="str">
        <f t="shared" si="10"/>
        <v>passed</v>
      </c>
    </row>
    <row r="341" spans="1:9" x14ac:dyDescent="0.2">
      <c r="A341">
        <v>45743</v>
      </c>
      <c r="B341" t="s">
        <v>9</v>
      </c>
      <c r="C341">
        <v>4.3654508458150998E-2</v>
      </c>
      <c r="D341">
        <v>9</v>
      </c>
      <c r="E341" t="s">
        <v>5</v>
      </c>
      <c r="F341">
        <v>0.70313874200339799</v>
      </c>
      <c r="G341">
        <v>0.11161102405700769</v>
      </c>
      <c r="H341">
        <v>-5.9087732517210974</v>
      </c>
      <c r="I341" t="str">
        <f t="shared" si="10"/>
        <v>passed</v>
      </c>
    </row>
    <row r="342" spans="1:9" x14ac:dyDescent="0.2">
      <c r="A342">
        <v>45748</v>
      </c>
      <c r="B342" t="s">
        <v>9</v>
      </c>
      <c r="C342">
        <v>3.3813268804195003E-2</v>
      </c>
      <c r="D342">
        <v>9</v>
      </c>
      <c r="E342" t="s">
        <v>5</v>
      </c>
      <c r="F342">
        <v>0.25535470188882159</v>
      </c>
      <c r="G342">
        <v>4.046197431202659E-2</v>
      </c>
      <c r="H342">
        <v>-5.4752996325930168</v>
      </c>
      <c r="I342" t="str">
        <f t="shared" si="10"/>
        <v>passed</v>
      </c>
    </row>
    <row r="343" spans="1:9" x14ac:dyDescent="0.2">
      <c r="A343">
        <v>45763</v>
      </c>
      <c r="B343" t="s">
        <v>9</v>
      </c>
      <c r="C343">
        <v>5.0627972651604999E-2</v>
      </c>
      <c r="D343">
        <v>9</v>
      </c>
      <c r="E343" t="s">
        <v>5</v>
      </c>
      <c r="F343">
        <v>5.5083341856114227</v>
      </c>
      <c r="G343">
        <v>0.98560182075953995</v>
      </c>
      <c r="H343">
        <v>-5.5374351974653564</v>
      </c>
      <c r="I343" t="str">
        <f t="shared" si="10"/>
        <v>passed</v>
      </c>
    </row>
    <row r="344" spans="1:9" x14ac:dyDescent="0.2">
      <c r="A344">
        <v>46603</v>
      </c>
      <c r="B344" t="s">
        <v>9</v>
      </c>
      <c r="C344">
        <v>0.14498267124882999</v>
      </c>
      <c r="D344">
        <v>9</v>
      </c>
      <c r="E344" t="s">
        <v>5</v>
      </c>
      <c r="F344">
        <v>5.663882050322143</v>
      </c>
      <c r="G344">
        <v>0.91200199306186802</v>
      </c>
      <c r="H344">
        <v>-6.0514115331532166</v>
      </c>
      <c r="I344" t="str">
        <f t="shared" si="10"/>
        <v>passed</v>
      </c>
    </row>
    <row r="345" spans="1:9" x14ac:dyDescent="0.2">
      <c r="A345">
        <v>46636</v>
      </c>
      <c r="B345" t="s">
        <v>9</v>
      </c>
      <c r="C345">
        <v>0.10881015127151</v>
      </c>
      <c r="D345">
        <v>9</v>
      </c>
      <c r="E345" t="s">
        <v>5</v>
      </c>
      <c r="F345">
        <v>3.5083023441997701</v>
      </c>
      <c r="G345">
        <v>0.51961223037495341</v>
      </c>
      <c r="H345">
        <v>-6.5423636977812736</v>
      </c>
      <c r="I345" t="str">
        <f t="shared" si="10"/>
        <v>passed</v>
      </c>
    </row>
    <row r="346" spans="1:9" x14ac:dyDescent="0.2">
      <c r="A346">
        <v>46706</v>
      </c>
      <c r="B346" t="s">
        <v>9</v>
      </c>
      <c r="C346">
        <v>0.13095366847094</v>
      </c>
      <c r="D346">
        <v>9</v>
      </c>
      <c r="E346" t="s">
        <v>5</v>
      </c>
      <c r="F346">
        <v>1.6985084194959461</v>
      </c>
      <c r="G346">
        <v>0.29927975063687101</v>
      </c>
      <c r="H346">
        <v>-5.2377574750354201</v>
      </c>
      <c r="I346" t="str">
        <f t="shared" si="10"/>
        <v>passed</v>
      </c>
    </row>
    <row r="347" spans="1:9" x14ac:dyDescent="0.2">
      <c r="A347">
        <v>46740</v>
      </c>
      <c r="B347" t="s">
        <v>9</v>
      </c>
      <c r="C347">
        <v>9.1744686454870994E-2</v>
      </c>
      <c r="D347">
        <v>9</v>
      </c>
      <c r="E347" t="s">
        <v>5</v>
      </c>
      <c r="F347">
        <v>1.3211629809149681</v>
      </c>
      <c r="G347">
        <v>0.19891003996880829</v>
      </c>
      <c r="H347">
        <v>-6.180775463384788</v>
      </c>
      <c r="I347" t="str">
        <f t="shared" si="10"/>
        <v>passed</v>
      </c>
    </row>
    <row r="348" spans="1:9" x14ac:dyDescent="0.2">
      <c r="A348">
        <v>46811</v>
      </c>
      <c r="B348" t="s">
        <v>9</v>
      </c>
      <c r="C348">
        <v>4.8144588469995003E-2</v>
      </c>
      <c r="D348">
        <v>9</v>
      </c>
      <c r="E348" t="s">
        <v>5</v>
      </c>
      <c r="F348">
        <v>0.63279150430722231</v>
      </c>
      <c r="G348">
        <v>9.5805823275567206E-2</v>
      </c>
      <c r="H348">
        <v>-6.1024152379088923</v>
      </c>
      <c r="I348" t="str">
        <f t="shared" si="10"/>
        <v>passed</v>
      </c>
    </row>
    <row r="349" spans="1:9" x14ac:dyDescent="0.2">
      <c r="A349">
        <v>47191</v>
      </c>
      <c r="B349" t="s">
        <v>9</v>
      </c>
      <c r="C349">
        <v>7.2029022417787997E-2</v>
      </c>
      <c r="D349">
        <v>9</v>
      </c>
      <c r="E349" t="s">
        <v>5</v>
      </c>
      <c r="F349">
        <v>1.9222598036802729</v>
      </c>
      <c r="G349">
        <v>0.64873631302519263</v>
      </c>
      <c r="H349">
        <v>-2.8520536682068438</v>
      </c>
      <c r="I349" t="str">
        <f t="shared" si="10"/>
        <v>passed</v>
      </c>
    </row>
    <row r="350" spans="1:9" x14ac:dyDescent="0.2">
      <c r="A350">
        <v>53461</v>
      </c>
      <c r="B350" t="s">
        <v>9</v>
      </c>
      <c r="C350">
        <v>0.13808675540946999</v>
      </c>
      <c r="D350">
        <v>9</v>
      </c>
      <c r="E350" t="s">
        <v>5</v>
      </c>
      <c r="F350">
        <v>2.9833287333117791</v>
      </c>
      <c r="G350">
        <v>0.47347047941298842</v>
      </c>
      <c r="H350">
        <v>-6.0093334254542343</v>
      </c>
      <c r="I350" t="str">
        <f t="shared" si="10"/>
        <v>passed</v>
      </c>
    </row>
    <row r="351" spans="1:9" x14ac:dyDescent="0.2">
      <c r="A351">
        <v>55397</v>
      </c>
      <c r="B351" t="s">
        <v>9</v>
      </c>
      <c r="C351">
        <v>0.13181872605364001</v>
      </c>
      <c r="D351">
        <v>9</v>
      </c>
      <c r="E351" t="s">
        <v>5</v>
      </c>
      <c r="F351">
        <v>4.1817085249042147</v>
      </c>
      <c r="G351">
        <v>0.72409024007037393</v>
      </c>
      <c r="H351">
        <v>-5.5930733142556504</v>
      </c>
      <c r="I351" t="str">
        <f t="shared" si="10"/>
        <v>passed</v>
      </c>
    </row>
    <row r="352" spans="1:9" x14ac:dyDescent="0.2">
      <c r="A352">
        <v>55515</v>
      </c>
      <c r="B352" t="s">
        <v>9</v>
      </c>
      <c r="C352">
        <v>6.6180890344581994E-2</v>
      </c>
      <c r="D352">
        <v>9</v>
      </c>
      <c r="E352" t="s">
        <v>5</v>
      </c>
      <c r="F352">
        <v>3.4700727409024279</v>
      </c>
      <c r="G352">
        <v>0.57916465462321942</v>
      </c>
      <c r="H352">
        <v>-5.8772437568246918</v>
      </c>
      <c r="I352" t="str">
        <f t="shared" si="10"/>
        <v>passed</v>
      </c>
    </row>
    <row r="353" spans="1:9" x14ac:dyDescent="0.2">
      <c r="A353">
        <v>59742</v>
      </c>
      <c r="B353" t="s">
        <v>9</v>
      </c>
      <c r="C353">
        <v>0.11837389571596001</v>
      </c>
      <c r="D353">
        <v>9</v>
      </c>
      <c r="E353" t="s">
        <v>5</v>
      </c>
      <c r="F353">
        <v>1.425500831100319</v>
      </c>
      <c r="G353">
        <v>0.26003502933445127</v>
      </c>
      <c r="H353">
        <v>-5.026734047062396</v>
      </c>
      <c r="I353" t="str">
        <f t="shared" si="10"/>
        <v>passed</v>
      </c>
    </row>
    <row r="354" spans="1:9" x14ac:dyDescent="0.2">
      <c r="A354">
        <v>59752</v>
      </c>
      <c r="B354" t="s">
        <v>9</v>
      </c>
      <c r="C354">
        <v>8.5574863273187002E-2</v>
      </c>
      <c r="D354">
        <v>9</v>
      </c>
      <c r="E354" t="s">
        <v>5</v>
      </c>
      <c r="F354">
        <v>6.3465567544511021</v>
      </c>
      <c r="G354">
        <v>1.14746729553366</v>
      </c>
      <c r="H354">
        <v>-5.4563488785674519</v>
      </c>
      <c r="I354" t="str">
        <f t="shared" si="10"/>
        <v>passed</v>
      </c>
    </row>
    <row r="355" spans="1:9" x14ac:dyDescent="0.2">
      <c r="A355">
        <v>59780</v>
      </c>
      <c r="B355" t="s">
        <v>9</v>
      </c>
      <c r="C355">
        <v>2.4610113072745E-2</v>
      </c>
      <c r="D355">
        <v>9</v>
      </c>
      <c r="E355" t="s">
        <v>5</v>
      </c>
      <c r="F355">
        <v>0.27803614167962393</v>
      </c>
      <c r="G355">
        <v>4.3737522692367123E-2</v>
      </c>
      <c r="H355">
        <v>-5.7942474334767544</v>
      </c>
      <c r="I355" t="str">
        <f t="shared" si="10"/>
        <v>passed</v>
      </c>
    </row>
    <row r="356" spans="1:9" x14ac:dyDescent="0.2">
      <c r="A356">
        <v>59798</v>
      </c>
      <c r="B356" t="s">
        <v>9</v>
      </c>
      <c r="C356">
        <v>4.4893486939823E-2</v>
      </c>
      <c r="D356">
        <v>9</v>
      </c>
      <c r="E356" t="s">
        <v>5</v>
      </c>
      <c r="F356">
        <v>3.7753833738309721</v>
      </c>
      <c r="G356">
        <v>0.77246743526559525</v>
      </c>
      <c r="H356">
        <v>-4.8293167020154133</v>
      </c>
      <c r="I356" t="str">
        <f t="shared" si="10"/>
        <v>passed</v>
      </c>
    </row>
    <row r="357" spans="1:9" x14ac:dyDescent="0.2">
      <c r="A357">
        <v>59808</v>
      </c>
      <c r="B357" t="s">
        <v>9</v>
      </c>
      <c r="C357">
        <v>9.5112574930112007E-2</v>
      </c>
      <c r="D357">
        <v>9</v>
      </c>
      <c r="E357" t="s">
        <v>5</v>
      </c>
      <c r="F357">
        <v>3.4096508300625401</v>
      </c>
      <c r="G357">
        <v>0.57020465569187273</v>
      </c>
      <c r="H357">
        <v>-5.8128923046246372</v>
      </c>
      <c r="I357" t="str">
        <f t="shared" si="10"/>
        <v>passed</v>
      </c>
    </row>
    <row r="358" spans="1:9" x14ac:dyDescent="0.2">
      <c r="A358">
        <v>59813</v>
      </c>
      <c r="B358" t="s">
        <v>9</v>
      </c>
      <c r="C358">
        <v>2.9402914068230999E-2</v>
      </c>
      <c r="D358">
        <v>9</v>
      </c>
      <c r="E358" t="s">
        <v>5</v>
      </c>
      <c r="F358">
        <v>2.8697137919570799</v>
      </c>
      <c r="G358">
        <v>0.45837272666613499</v>
      </c>
      <c r="H358">
        <v>-6.1965093310572241</v>
      </c>
      <c r="I358" t="str">
        <f t="shared" si="10"/>
        <v>passed</v>
      </c>
    </row>
    <row r="359" spans="1:9" x14ac:dyDescent="0.2">
      <c r="A359">
        <v>59820</v>
      </c>
      <c r="B359" t="s">
        <v>9</v>
      </c>
      <c r="C359">
        <v>6.5447515212982005E-2</v>
      </c>
      <c r="D359">
        <v>9</v>
      </c>
      <c r="E359" t="s">
        <v>5</v>
      </c>
      <c r="F359">
        <v>4.0099885559751733</v>
      </c>
      <c r="G359">
        <v>0.61891915293178257</v>
      </c>
      <c r="H359">
        <v>-6.3732735076578884</v>
      </c>
      <c r="I359" t="str">
        <f t="shared" si="10"/>
        <v>passed</v>
      </c>
    </row>
    <row r="360" spans="1:9" x14ac:dyDescent="0.2">
      <c r="A360">
        <v>60314</v>
      </c>
      <c r="B360" t="s">
        <v>9</v>
      </c>
      <c r="C360">
        <v>6.0985825211602E-2</v>
      </c>
      <c r="D360">
        <v>9</v>
      </c>
      <c r="E360" t="s">
        <v>5</v>
      </c>
      <c r="F360">
        <v>2.3661712531989179</v>
      </c>
      <c r="G360">
        <v>0.35880096154485352</v>
      </c>
      <c r="H360">
        <v>-6.4246913332174724</v>
      </c>
      <c r="I360" t="str">
        <f t="shared" si="10"/>
        <v>passed</v>
      </c>
    </row>
    <row r="361" spans="1:9" x14ac:dyDescent="0.2">
      <c r="A361">
        <v>62793</v>
      </c>
      <c r="B361" t="s">
        <v>9</v>
      </c>
      <c r="C361">
        <v>6.6640245975383997E-2</v>
      </c>
      <c r="D361">
        <v>9</v>
      </c>
      <c r="E361" t="s">
        <v>5</v>
      </c>
      <c r="F361">
        <v>4.7932621752743652</v>
      </c>
      <c r="G361">
        <v>0.77349437104845753</v>
      </c>
      <c r="H361">
        <v>-6.1107386248876399</v>
      </c>
      <c r="I361" t="str">
        <f t="shared" si="10"/>
        <v>passed</v>
      </c>
    </row>
    <row r="362" spans="1:9" x14ac:dyDescent="0.2">
      <c r="A362">
        <v>62797</v>
      </c>
      <c r="B362" t="s">
        <v>9</v>
      </c>
      <c r="C362">
        <v>5.4069550872711002E-2</v>
      </c>
      <c r="D362">
        <v>9</v>
      </c>
      <c r="E362" t="s">
        <v>5</v>
      </c>
      <c r="F362">
        <v>1.6919824938803749</v>
      </c>
      <c r="G362">
        <v>0.40053546497044001</v>
      </c>
      <c r="H362">
        <v>-4.0893081543441934</v>
      </c>
      <c r="I362" t="str">
        <f t="shared" si="10"/>
        <v>passed</v>
      </c>
    </row>
    <row r="363" spans="1:9" x14ac:dyDescent="0.2">
      <c r="A363">
        <v>62816</v>
      </c>
      <c r="B363" t="s">
        <v>9</v>
      </c>
      <c r="C363">
        <v>6.2077186713948997E-2</v>
      </c>
      <c r="D363">
        <v>9</v>
      </c>
      <c r="E363" t="s">
        <v>5</v>
      </c>
      <c r="F363">
        <v>2.594038491244985</v>
      </c>
      <c r="G363">
        <v>0.48886884502034128</v>
      </c>
      <c r="H363">
        <v>-5.1792241013552083</v>
      </c>
      <c r="I363" t="str">
        <f t="shared" si="10"/>
        <v>passed</v>
      </c>
    </row>
    <row r="364" spans="1:9" x14ac:dyDescent="0.2">
      <c r="A364">
        <v>63309</v>
      </c>
      <c r="B364" t="s">
        <v>9</v>
      </c>
      <c r="C364">
        <v>3.2937365811418998E-2</v>
      </c>
      <c r="D364">
        <v>9</v>
      </c>
      <c r="E364" t="s">
        <v>5</v>
      </c>
      <c r="F364">
        <v>2.6210858210117078</v>
      </c>
      <c r="G364">
        <v>0.46261670155093881</v>
      </c>
      <c r="H364">
        <v>-5.5945849912539494</v>
      </c>
      <c r="I364" t="str">
        <f t="shared" si="10"/>
        <v>passed</v>
      </c>
    </row>
    <row r="365" spans="1:9" x14ac:dyDescent="0.2">
      <c r="A365">
        <v>28301</v>
      </c>
      <c r="B365" t="s">
        <v>9</v>
      </c>
      <c r="C365">
        <v>6.8738450411620994E-2</v>
      </c>
      <c r="D365">
        <v>10</v>
      </c>
      <c r="E365" t="s">
        <v>5</v>
      </c>
      <c r="F365">
        <v>4.5325519544333144</v>
      </c>
      <c r="G365">
        <v>0.85989082935233307</v>
      </c>
      <c r="H365">
        <v>-5.1911397954828997</v>
      </c>
      <c r="I365" t="str">
        <f t="shared" si="10"/>
        <v>passed</v>
      </c>
    </row>
    <row r="366" spans="1:9" x14ac:dyDescent="0.2">
      <c r="A366">
        <v>28521</v>
      </c>
      <c r="B366" t="s">
        <v>9</v>
      </c>
      <c r="C366">
        <v>7.3563256684558001E-2</v>
      </c>
      <c r="D366">
        <v>10</v>
      </c>
      <c r="E366" t="s">
        <v>5</v>
      </c>
      <c r="F366">
        <v>1.451452557678051</v>
      </c>
      <c r="G366">
        <v>0.23133921481973371</v>
      </c>
      <c r="H366">
        <v>-5.9561423776214726</v>
      </c>
      <c r="I366" t="str">
        <f t="shared" si="10"/>
        <v>passed</v>
      </c>
    </row>
    <row r="367" spans="1:9" x14ac:dyDescent="0.2">
      <c r="A367">
        <v>29154</v>
      </c>
      <c r="B367" t="s">
        <v>9</v>
      </c>
      <c r="C367">
        <v>3.1329346422139998E-2</v>
      </c>
      <c r="D367">
        <v>10</v>
      </c>
      <c r="E367" t="s">
        <v>5</v>
      </c>
      <c r="F367">
        <v>2.1413063767176168</v>
      </c>
      <c r="G367">
        <v>0.35510968203503729</v>
      </c>
      <c r="H367">
        <v>-5.9417614811394897</v>
      </c>
      <c r="I367" t="str">
        <f t="shared" si="10"/>
        <v>passed</v>
      </c>
    </row>
    <row r="368" spans="1:9" x14ac:dyDescent="0.2">
      <c r="A368">
        <v>29213</v>
      </c>
      <c r="B368" t="s">
        <v>9</v>
      </c>
      <c r="C368">
        <v>4.1787259370868003E-2</v>
      </c>
      <c r="D368">
        <v>10</v>
      </c>
      <c r="E368" t="s">
        <v>5</v>
      </c>
      <c r="F368">
        <v>6.2204734853000074</v>
      </c>
      <c r="G368">
        <v>1.085768712306082</v>
      </c>
      <c r="H368">
        <v>-5.6906099392071523</v>
      </c>
      <c r="I368" t="str">
        <f t="shared" si="10"/>
        <v>passed</v>
      </c>
    </row>
    <row r="369" spans="1:9" x14ac:dyDescent="0.2">
      <c r="A369">
        <v>29352</v>
      </c>
      <c r="B369" t="s">
        <v>9</v>
      </c>
      <c r="C369">
        <v>3.6111086665218999E-2</v>
      </c>
      <c r="D369">
        <v>10</v>
      </c>
      <c r="E369" t="s">
        <v>5</v>
      </c>
      <c r="F369">
        <v>8.1341704501188765</v>
      </c>
      <c r="G369">
        <v>1.3787055287143539</v>
      </c>
      <c r="H369">
        <v>-5.8736685933254504</v>
      </c>
      <c r="I369" t="str">
        <f t="shared" si="10"/>
        <v>passed</v>
      </c>
    </row>
    <row r="370" spans="1:9" x14ac:dyDescent="0.2">
      <c r="A370">
        <v>29548</v>
      </c>
      <c r="B370" t="s">
        <v>9</v>
      </c>
      <c r="C370">
        <v>5.2152539214414997E-2</v>
      </c>
      <c r="D370">
        <v>10</v>
      </c>
      <c r="E370" t="s">
        <v>5</v>
      </c>
      <c r="F370">
        <v>7.7369371451932629</v>
      </c>
      <c r="G370">
        <v>1.2798724507130881</v>
      </c>
      <c r="H370">
        <v>-6.0043362928057631</v>
      </c>
      <c r="I370" t="str">
        <f t="shared" si="10"/>
        <v>passed</v>
      </c>
    </row>
    <row r="371" spans="1:9" x14ac:dyDescent="0.2">
      <c r="A371">
        <v>29711</v>
      </c>
      <c r="B371" t="s">
        <v>9</v>
      </c>
      <c r="C371">
        <v>3.1512681715908E-2</v>
      </c>
      <c r="D371">
        <v>10</v>
      </c>
      <c r="E371" t="s">
        <v>5</v>
      </c>
      <c r="F371">
        <v>1.159708916952203</v>
      </c>
      <c r="G371">
        <v>0.21086866860562181</v>
      </c>
      <c r="H371">
        <v>-5.3502316996476624</v>
      </c>
      <c r="I371" t="str">
        <f t="shared" si="10"/>
        <v>passed</v>
      </c>
    </row>
    <row r="372" spans="1:9" x14ac:dyDescent="0.2">
      <c r="A372">
        <v>30159</v>
      </c>
      <c r="B372" t="s">
        <v>9</v>
      </c>
      <c r="C372">
        <v>6.7669143077029995E-2</v>
      </c>
      <c r="D372">
        <v>10</v>
      </c>
      <c r="E372" t="s">
        <v>5</v>
      </c>
      <c r="F372">
        <v>4.4143938387186568</v>
      </c>
      <c r="G372">
        <v>0.65101283784372466</v>
      </c>
      <c r="H372">
        <v>-6.6768647912363539</v>
      </c>
      <c r="I372" t="str">
        <f t="shared" si="10"/>
        <v>passed</v>
      </c>
    </row>
    <row r="373" spans="1:9" x14ac:dyDescent="0.2">
      <c r="A373">
        <v>30259</v>
      </c>
      <c r="B373" t="s">
        <v>9</v>
      </c>
      <c r="C373">
        <v>0.19143832573960001</v>
      </c>
      <c r="D373">
        <v>10</v>
      </c>
      <c r="E373" t="s">
        <v>5</v>
      </c>
      <c r="F373">
        <v>3.4448606961701329</v>
      </c>
      <c r="G373">
        <v>0.52330110723587897</v>
      </c>
      <c r="H373">
        <v>-6.2171134848450667</v>
      </c>
      <c r="I373" t="str">
        <f t="shared" si="10"/>
        <v>passed</v>
      </c>
    </row>
    <row r="374" spans="1:9" x14ac:dyDescent="0.2">
      <c r="A374">
        <v>30653</v>
      </c>
      <c r="B374" t="s">
        <v>9</v>
      </c>
      <c r="C374">
        <v>0.11590482339883</v>
      </c>
      <c r="D374">
        <v>10</v>
      </c>
      <c r="E374" t="s">
        <v>5</v>
      </c>
      <c r="F374">
        <v>8.3078064927992834</v>
      </c>
      <c r="G374">
        <v>1.341609781995124</v>
      </c>
      <c r="H374">
        <v>-6.1060241057710343</v>
      </c>
      <c r="I374" t="str">
        <f t="shared" si="10"/>
        <v>passed</v>
      </c>
    </row>
    <row r="375" spans="1:9" x14ac:dyDescent="0.2">
      <c r="A375">
        <v>30694</v>
      </c>
      <c r="B375" t="s">
        <v>9</v>
      </c>
      <c r="C375">
        <v>7.1062333737525005E-2</v>
      </c>
      <c r="D375">
        <v>10</v>
      </c>
      <c r="E375" t="s">
        <v>5</v>
      </c>
      <c r="F375">
        <v>2.7195875411733779</v>
      </c>
      <c r="G375">
        <v>0.49130137271678481</v>
      </c>
      <c r="H375">
        <v>-5.3908361639417182</v>
      </c>
      <c r="I375" t="str">
        <f t="shared" si="10"/>
        <v>passed</v>
      </c>
    </row>
    <row r="376" spans="1:9" x14ac:dyDescent="0.2">
      <c r="A376">
        <v>45759</v>
      </c>
      <c r="B376" t="s">
        <v>9</v>
      </c>
      <c r="C376">
        <v>0.10285849771218999</v>
      </c>
      <c r="D376">
        <v>10</v>
      </c>
      <c r="E376" t="s">
        <v>5</v>
      </c>
      <c r="F376">
        <v>5.6607990640985539</v>
      </c>
      <c r="G376">
        <v>1.1353592962998309</v>
      </c>
      <c r="H376">
        <v>-4.8953142714379991</v>
      </c>
      <c r="I376" t="str">
        <f t="shared" si="10"/>
        <v>passed</v>
      </c>
    </row>
    <row r="377" spans="1:9" x14ac:dyDescent="0.2">
      <c r="A377">
        <v>46746</v>
      </c>
      <c r="B377" t="s">
        <v>9</v>
      </c>
      <c r="C377">
        <v>7.4811884686079994E-2</v>
      </c>
      <c r="D377">
        <v>10</v>
      </c>
      <c r="E377" t="s">
        <v>5</v>
      </c>
      <c r="F377">
        <v>2.8079173989256399</v>
      </c>
      <c r="G377">
        <v>0.49445779198261441</v>
      </c>
      <c r="H377">
        <v>-5.5274799154862118</v>
      </c>
      <c r="I377" t="str">
        <f t="shared" si="10"/>
        <v>passed</v>
      </c>
    </row>
    <row r="378" spans="1:9" x14ac:dyDescent="0.2">
      <c r="A378">
        <v>46868</v>
      </c>
      <c r="B378" t="s">
        <v>9</v>
      </c>
      <c r="C378">
        <v>0.11007002884106</v>
      </c>
      <c r="D378">
        <v>10</v>
      </c>
      <c r="E378" t="s">
        <v>5</v>
      </c>
      <c r="F378">
        <v>5.0298278744573288</v>
      </c>
      <c r="G378">
        <v>0.72183604773286325</v>
      </c>
      <c r="H378">
        <v>-6.8156167332848048</v>
      </c>
      <c r="I378" t="str">
        <f t="shared" si="10"/>
        <v>passed</v>
      </c>
    </row>
    <row r="379" spans="1:9" x14ac:dyDescent="0.2">
      <c r="A379">
        <v>48989</v>
      </c>
      <c r="B379" t="s">
        <v>9</v>
      </c>
      <c r="C379">
        <v>4.2147935528924999E-2</v>
      </c>
      <c r="D379">
        <v>10</v>
      </c>
      <c r="E379" t="s">
        <v>5</v>
      </c>
      <c r="F379">
        <v>2.650311656182466</v>
      </c>
      <c r="G379">
        <v>0.46523916127649589</v>
      </c>
      <c r="H379">
        <v>-5.6060708937257466</v>
      </c>
      <c r="I379" t="str">
        <f t="shared" si="10"/>
        <v>passed</v>
      </c>
    </row>
    <row r="380" spans="1:9" x14ac:dyDescent="0.2">
      <c r="A380">
        <v>53432</v>
      </c>
      <c r="B380" t="s">
        <v>9</v>
      </c>
      <c r="C380">
        <v>0.17580717735776999</v>
      </c>
      <c r="D380">
        <v>10</v>
      </c>
      <c r="E380" t="s">
        <v>5</v>
      </c>
      <c r="F380">
        <v>5.3672844337482566</v>
      </c>
      <c r="G380">
        <v>0.91767496135461224</v>
      </c>
      <c r="H380">
        <v>-5.6572070449946272</v>
      </c>
      <c r="I380" t="str">
        <f t="shared" si="10"/>
        <v>passed</v>
      </c>
    </row>
    <row r="381" spans="1:9" x14ac:dyDescent="0.2">
      <c r="A381">
        <v>59750</v>
      </c>
      <c r="B381" t="s">
        <v>9</v>
      </c>
      <c r="C381">
        <v>3.958174364988E-2</v>
      </c>
      <c r="D381">
        <v>10</v>
      </c>
      <c r="E381" t="s">
        <v>5</v>
      </c>
      <c r="F381">
        <v>4.5919626163933769</v>
      </c>
      <c r="G381">
        <v>0.77838644979368721</v>
      </c>
      <c r="H381">
        <v>-5.8484842252201528</v>
      </c>
      <c r="I381" t="str">
        <f t="shared" si="10"/>
        <v>passed</v>
      </c>
    </row>
    <row r="382" spans="1:9" x14ac:dyDescent="0.2">
      <c r="A382">
        <v>59791</v>
      </c>
      <c r="B382" t="s">
        <v>9</v>
      </c>
      <c r="C382">
        <v>0.16982034868759999</v>
      </c>
      <c r="D382">
        <v>10</v>
      </c>
      <c r="E382" t="s">
        <v>5</v>
      </c>
      <c r="F382">
        <v>7.7089033294050902</v>
      </c>
      <c r="G382">
        <v>1.2051682959204</v>
      </c>
      <c r="H382">
        <v>-6.2556267089318149</v>
      </c>
      <c r="I382" t="str">
        <f t="shared" si="10"/>
        <v>passed</v>
      </c>
    </row>
    <row r="383" spans="1:9" x14ac:dyDescent="0.2">
      <c r="A383">
        <v>62624</v>
      </c>
      <c r="B383" t="s">
        <v>9</v>
      </c>
      <c r="C383">
        <v>0.20157854814775</v>
      </c>
      <c r="D383">
        <v>10</v>
      </c>
      <c r="E383" t="s">
        <v>5</v>
      </c>
      <c r="F383">
        <v>8.2799594783774655</v>
      </c>
      <c r="G383">
        <v>1.302643209036759</v>
      </c>
      <c r="H383">
        <v>-6.2015299923939118</v>
      </c>
      <c r="I383" t="str">
        <f t="shared" si="10"/>
        <v>passed</v>
      </c>
    </row>
    <row r="384" spans="1:9" x14ac:dyDescent="0.2">
      <c r="A384">
        <v>62886</v>
      </c>
      <c r="B384" t="s">
        <v>9</v>
      </c>
      <c r="C384">
        <v>6.6500928198479997E-2</v>
      </c>
      <c r="D384">
        <v>10</v>
      </c>
      <c r="E384" t="s">
        <v>5</v>
      </c>
      <c r="F384">
        <v>5.0344309304356978</v>
      </c>
      <c r="G384">
        <v>0.92371826602177765</v>
      </c>
      <c r="H384">
        <v>-5.3781874679525856</v>
      </c>
      <c r="I384" t="str">
        <f t="shared" si="10"/>
        <v>passed</v>
      </c>
    </row>
    <row r="385" spans="1:9" x14ac:dyDescent="0.2">
      <c r="A385">
        <v>63156</v>
      </c>
      <c r="B385" t="s">
        <v>9</v>
      </c>
      <c r="C385">
        <v>6.2230133297225002E-2</v>
      </c>
      <c r="D385">
        <v>10</v>
      </c>
      <c r="E385" t="s">
        <v>5</v>
      </c>
      <c r="F385">
        <v>6.4605650228305347</v>
      </c>
      <c r="G385">
        <v>0.95462571076496916</v>
      </c>
      <c r="H385">
        <v>-6.7024539747689573</v>
      </c>
      <c r="I385" t="str">
        <f t="shared" si="10"/>
        <v>passed</v>
      </c>
    </row>
    <row r="386" spans="1:9" x14ac:dyDescent="0.2">
      <c r="A386">
        <v>28563</v>
      </c>
      <c r="B386" t="s">
        <v>9</v>
      </c>
      <c r="C386">
        <v>8.1397578153028005E-2</v>
      </c>
      <c r="D386">
        <v>11</v>
      </c>
      <c r="E386" t="s">
        <v>5</v>
      </c>
      <c r="F386">
        <v>5.7372667717513188</v>
      </c>
      <c r="G386">
        <v>0.92907037560432104</v>
      </c>
      <c r="H386">
        <v>-6.087664984387632</v>
      </c>
      <c r="I386" t="str">
        <f t="shared" si="10"/>
        <v>passed</v>
      </c>
    </row>
    <row r="387" spans="1:9" x14ac:dyDescent="0.2">
      <c r="A387">
        <v>29058</v>
      </c>
      <c r="B387" t="s">
        <v>9</v>
      </c>
      <c r="C387">
        <v>3.1267966575634999E-2</v>
      </c>
      <c r="D387">
        <v>11</v>
      </c>
      <c r="E387" t="s">
        <v>5</v>
      </c>
      <c r="F387">
        <v>4.6718330144719857</v>
      </c>
      <c r="G387">
        <v>0.77245328499519905</v>
      </c>
      <c r="H387">
        <v>-6.0075672380954304</v>
      </c>
      <c r="I387" t="str">
        <f t="shared" ref="I387:I450" si="11">IF((H387&lt;-2)*AND(D387&lt;=19),"passed","failed")</f>
        <v>passed</v>
      </c>
    </row>
    <row r="388" spans="1:9" x14ac:dyDescent="0.2">
      <c r="A388">
        <v>29306</v>
      </c>
      <c r="B388" t="s">
        <v>9</v>
      </c>
      <c r="C388">
        <v>0.17344876290667999</v>
      </c>
      <c r="D388">
        <v>11</v>
      </c>
      <c r="E388" t="s">
        <v>5</v>
      </c>
      <c r="F388">
        <v>5.0471755297189986</v>
      </c>
      <c r="G388">
        <v>0.88924092012429601</v>
      </c>
      <c r="H388">
        <v>-5.4807720343448416</v>
      </c>
      <c r="I388" t="str">
        <f t="shared" si="11"/>
        <v>passed</v>
      </c>
    </row>
    <row r="389" spans="1:9" x14ac:dyDescent="0.2">
      <c r="A389">
        <v>30686</v>
      </c>
      <c r="B389" t="s">
        <v>9</v>
      </c>
      <c r="C389">
        <v>0.18279419542132</v>
      </c>
      <c r="D389">
        <v>11</v>
      </c>
      <c r="E389" t="s">
        <v>5</v>
      </c>
      <c r="F389">
        <v>4.2146701004843488</v>
      </c>
      <c r="G389">
        <v>0.90335963925895701</v>
      </c>
      <c r="H389">
        <v>-4.4632012875519322</v>
      </c>
      <c r="I389" t="str">
        <f t="shared" si="11"/>
        <v>passed</v>
      </c>
    </row>
    <row r="390" spans="1:9" x14ac:dyDescent="0.2">
      <c r="A390">
        <v>31406</v>
      </c>
      <c r="B390" t="s">
        <v>9</v>
      </c>
      <c r="C390">
        <v>0.10316756997720999</v>
      </c>
      <c r="D390">
        <v>11</v>
      </c>
      <c r="E390" t="s">
        <v>5</v>
      </c>
      <c r="F390">
        <v>4.9134573255460916</v>
      </c>
      <c r="G390">
        <v>0.7536744134265142</v>
      </c>
      <c r="H390">
        <v>-6.3824506575715141</v>
      </c>
      <c r="I390" t="str">
        <f t="shared" si="11"/>
        <v>passed</v>
      </c>
    </row>
    <row r="391" spans="1:9" x14ac:dyDescent="0.2">
      <c r="A391">
        <v>39216</v>
      </c>
      <c r="B391" t="s">
        <v>9</v>
      </c>
      <c r="C391">
        <v>7.5609061358539002E-3</v>
      </c>
      <c r="D391">
        <v>11</v>
      </c>
      <c r="E391" t="s">
        <v>5</v>
      </c>
      <c r="F391">
        <v>3.1905591072075938</v>
      </c>
      <c r="G391">
        <v>0.68258637358778418</v>
      </c>
      <c r="H391">
        <v>-4.6631434851847224</v>
      </c>
      <c r="I391" t="str">
        <f t="shared" si="11"/>
        <v>passed</v>
      </c>
    </row>
    <row r="392" spans="1:9" x14ac:dyDescent="0.2">
      <c r="A392">
        <v>45728</v>
      </c>
      <c r="B392" t="s">
        <v>9</v>
      </c>
      <c r="C392">
        <v>0.17910277096353999</v>
      </c>
      <c r="D392">
        <v>11</v>
      </c>
      <c r="E392" t="s">
        <v>5</v>
      </c>
      <c r="F392">
        <v>7.7731231152309279</v>
      </c>
      <c r="G392">
        <v>1.6398695228447531</v>
      </c>
      <c r="H392">
        <v>-4.630868638313193</v>
      </c>
      <c r="I392" t="str">
        <f t="shared" si="11"/>
        <v>passed</v>
      </c>
    </row>
    <row r="393" spans="1:9" x14ac:dyDescent="0.2">
      <c r="A393">
        <v>45731</v>
      </c>
      <c r="B393" t="s">
        <v>9</v>
      </c>
      <c r="C393">
        <v>0.19822806446826</v>
      </c>
      <c r="D393">
        <v>11</v>
      </c>
      <c r="E393" t="s">
        <v>5</v>
      </c>
      <c r="F393">
        <v>1.9142051776215909</v>
      </c>
      <c r="G393">
        <v>0.3060736603889716</v>
      </c>
      <c r="H393">
        <v>-5.6064187652494883</v>
      </c>
      <c r="I393" t="str">
        <f t="shared" si="11"/>
        <v>passed</v>
      </c>
    </row>
    <row r="394" spans="1:9" x14ac:dyDescent="0.2">
      <c r="A394">
        <v>45775</v>
      </c>
      <c r="B394" t="s">
        <v>9</v>
      </c>
      <c r="C394">
        <v>5.3216282814630998E-2</v>
      </c>
      <c r="D394">
        <v>11</v>
      </c>
      <c r="E394" t="s">
        <v>5</v>
      </c>
      <c r="F394">
        <v>3.247178932961353</v>
      </c>
      <c r="G394">
        <v>0.59816304535032694</v>
      </c>
      <c r="H394">
        <v>-5.3396188129209987</v>
      </c>
      <c r="I394" t="str">
        <f t="shared" si="11"/>
        <v>passed</v>
      </c>
    </row>
    <row r="395" spans="1:9" x14ac:dyDescent="0.2">
      <c r="A395">
        <v>46583</v>
      </c>
      <c r="B395" t="s">
        <v>9</v>
      </c>
      <c r="C395">
        <v>0.12069824974535</v>
      </c>
      <c r="D395">
        <v>11</v>
      </c>
      <c r="E395" t="s">
        <v>5</v>
      </c>
      <c r="F395">
        <v>2.4927621570445608</v>
      </c>
      <c r="G395">
        <v>0.63105361364115553</v>
      </c>
      <c r="H395">
        <v>-3.758894420416186</v>
      </c>
      <c r="I395" t="str">
        <f t="shared" si="11"/>
        <v>passed</v>
      </c>
    </row>
    <row r="396" spans="1:9" x14ac:dyDescent="0.2">
      <c r="A396">
        <v>53751</v>
      </c>
      <c r="B396" t="s">
        <v>9</v>
      </c>
      <c r="C396">
        <v>5.8862018478315001E-2</v>
      </c>
      <c r="D396">
        <v>11</v>
      </c>
      <c r="E396" t="s">
        <v>5</v>
      </c>
      <c r="F396">
        <v>5.1284964951784726</v>
      </c>
      <c r="G396">
        <v>0.93454516551536748</v>
      </c>
      <c r="H396">
        <v>-5.4247078298291109</v>
      </c>
      <c r="I396" t="str">
        <f t="shared" si="11"/>
        <v>passed</v>
      </c>
    </row>
    <row r="397" spans="1:9" x14ac:dyDescent="0.2">
      <c r="A397">
        <v>53759</v>
      </c>
      <c r="B397" t="s">
        <v>9</v>
      </c>
      <c r="C397">
        <v>3.4930665344230998E-2</v>
      </c>
      <c r="D397">
        <v>11</v>
      </c>
      <c r="E397" t="s">
        <v>5</v>
      </c>
      <c r="F397">
        <v>3.7625635785183751</v>
      </c>
      <c r="G397">
        <v>0.66177811241627316</v>
      </c>
      <c r="H397">
        <v>-5.6327534006283067</v>
      </c>
      <c r="I397" t="str">
        <f t="shared" si="11"/>
        <v>passed</v>
      </c>
    </row>
    <row r="398" spans="1:9" x14ac:dyDescent="0.2">
      <c r="A398">
        <v>59831</v>
      </c>
      <c r="B398" t="s">
        <v>9</v>
      </c>
      <c r="C398">
        <v>3.2693560054288001E-2</v>
      </c>
      <c r="D398">
        <v>11</v>
      </c>
      <c r="E398" t="s">
        <v>5</v>
      </c>
      <c r="F398">
        <v>2.2565382782525591</v>
      </c>
      <c r="G398">
        <v>0.36347516610257169</v>
      </c>
      <c r="H398">
        <v>-6.1182851693661764</v>
      </c>
      <c r="I398" t="str">
        <f t="shared" si="11"/>
        <v>passed</v>
      </c>
    </row>
    <row r="399" spans="1:9" x14ac:dyDescent="0.2">
      <c r="A399">
        <v>62848</v>
      </c>
      <c r="B399" t="s">
        <v>9</v>
      </c>
      <c r="C399">
        <v>0.1044092377143</v>
      </c>
      <c r="D399">
        <v>11</v>
      </c>
      <c r="E399" t="s">
        <v>5</v>
      </c>
      <c r="F399">
        <v>7.0980913006983002</v>
      </c>
      <c r="G399">
        <v>1.062447965149643</v>
      </c>
      <c r="H399">
        <v>-6.5826113771124426</v>
      </c>
      <c r="I399" t="str">
        <f t="shared" si="11"/>
        <v>passed</v>
      </c>
    </row>
    <row r="400" spans="1:9" x14ac:dyDescent="0.2">
      <c r="A400">
        <v>29123</v>
      </c>
      <c r="B400" t="s">
        <v>9</v>
      </c>
      <c r="C400">
        <v>0.16444093217472</v>
      </c>
      <c r="D400">
        <v>12</v>
      </c>
      <c r="E400" t="s">
        <v>5</v>
      </c>
      <c r="F400">
        <v>3.9136012245301002</v>
      </c>
      <c r="G400">
        <v>0.81296454146747421</v>
      </c>
      <c r="H400">
        <v>-4.6117144120305804</v>
      </c>
      <c r="I400" t="str">
        <f t="shared" si="11"/>
        <v>passed</v>
      </c>
    </row>
    <row r="401" spans="1:9" x14ac:dyDescent="0.2">
      <c r="A401">
        <v>29818</v>
      </c>
      <c r="B401" t="s">
        <v>9</v>
      </c>
      <c r="C401">
        <v>3.8209492703558001E-2</v>
      </c>
      <c r="D401">
        <v>12</v>
      </c>
      <c r="E401" t="s">
        <v>5</v>
      </c>
      <c r="F401">
        <v>0.23960433256816371</v>
      </c>
      <c r="G401">
        <v>3.7404421405673072E-2</v>
      </c>
      <c r="H401">
        <v>-5.3842522433473956</v>
      </c>
      <c r="I401" t="str">
        <f t="shared" si="11"/>
        <v>passed</v>
      </c>
    </row>
    <row r="402" spans="1:9" x14ac:dyDescent="0.2">
      <c r="A402">
        <v>29851</v>
      </c>
      <c r="B402" t="s">
        <v>9</v>
      </c>
      <c r="C402">
        <v>2.8111352074485001E-2</v>
      </c>
      <c r="D402">
        <v>12</v>
      </c>
      <c r="E402" t="s">
        <v>5</v>
      </c>
      <c r="F402">
        <v>0.55118065522790538</v>
      </c>
      <c r="G402">
        <v>9.0144294986702928E-2</v>
      </c>
      <c r="H402">
        <v>-5.8025780026409661</v>
      </c>
      <c r="I402" t="str">
        <f t="shared" si="11"/>
        <v>passed</v>
      </c>
    </row>
    <row r="403" spans="1:9" x14ac:dyDescent="0.2">
      <c r="A403">
        <v>30721</v>
      </c>
      <c r="B403" t="s">
        <v>9</v>
      </c>
      <c r="C403">
        <v>7.9805468116563999E-2</v>
      </c>
      <c r="D403">
        <v>12</v>
      </c>
      <c r="E403" t="s">
        <v>5</v>
      </c>
      <c r="F403">
        <v>1.474799379679973</v>
      </c>
      <c r="G403">
        <v>0.28722295955354937</v>
      </c>
      <c r="H403">
        <v>-4.8568328720369189</v>
      </c>
      <c r="I403" t="str">
        <f t="shared" si="11"/>
        <v>passed</v>
      </c>
    </row>
    <row r="404" spans="1:9" x14ac:dyDescent="0.2">
      <c r="A404">
        <v>45727</v>
      </c>
      <c r="B404" t="s">
        <v>9</v>
      </c>
      <c r="C404">
        <v>8.8233701491828007E-2</v>
      </c>
      <c r="D404">
        <v>12</v>
      </c>
      <c r="E404" t="s">
        <v>5</v>
      </c>
      <c r="F404">
        <v>4.072495461340468</v>
      </c>
      <c r="G404">
        <v>0.7080321563555062</v>
      </c>
      <c r="H404">
        <v>-5.6272327804390327</v>
      </c>
      <c r="I404" t="str">
        <f t="shared" si="11"/>
        <v>passed</v>
      </c>
    </row>
    <row r="405" spans="1:9" x14ac:dyDescent="0.2">
      <c r="A405">
        <v>45819</v>
      </c>
      <c r="B405" t="s">
        <v>9</v>
      </c>
      <c r="C405">
        <v>0.11944930854885</v>
      </c>
      <c r="D405">
        <v>12</v>
      </c>
      <c r="E405" t="s">
        <v>5</v>
      </c>
      <c r="F405">
        <v>3.3526607343301009</v>
      </c>
      <c r="G405">
        <v>0.56068259690682731</v>
      </c>
      <c r="H405">
        <v>-5.7665628354049598</v>
      </c>
      <c r="I405" t="str">
        <f t="shared" si="11"/>
        <v>passed</v>
      </c>
    </row>
    <row r="406" spans="1:9" x14ac:dyDescent="0.2">
      <c r="A406">
        <v>46288</v>
      </c>
      <c r="B406" t="s">
        <v>9</v>
      </c>
      <c r="C406">
        <v>9.1850544758419E-2</v>
      </c>
      <c r="D406">
        <v>12</v>
      </c>
      <c r="E406" t="s">
        <v>5</v>
      </c>
      <c r="F406">
        <v>6.1140396357929383</v>
      </c>
      <c r="G406">
        <v>1.0581086791683101</v>
      </c>
      <c r="H406">
        <v>-5.6914655456451353</v>
      </c>
      <c r="I406" t="str">
        <f t="shared" si="11"/>
        <v>passed</v>
      </c>
    </row>
    <row r="407" spans="1:9" x14ac:dyDescent="0.2">
      <c r="A407">
        <v>46742</v>
      </c>
      <c r="B407" t="s">
        <v>9</v>
      </c>
      <c r="C407">
        <v>8.7861576649772996E-2</v>
      </c>
      <c r="D407">
        <v>12</v>
      </c>
      <c r="E407" t="s">
        <v>5</v>
      </c>
      <c r="F407">
        <v>5.8867694641160346</v>
      </c>
      <c r="G407">
        <v>0.97582732553733365</v>
      </c>
      <c r="H407">
        <v>-5.9425553432551457</v>
      </c>
      <c r="I407" t="str">
        <f t="shared" si="11"/>
        <v>passed</v>
      </c>
    </row>
    <row r="408" spans="1:9" x14ac:dyDescent="0.2">
      <c r="A408">
        <v>53343</v>
      </c>
      <c r="B408" t="s">
        <v>9</v>
      </c>
      <c r="C408">
        <v>0.10026856260255</v>
      </c>
      <c r="D408">
        <v>12</v>
      </c>
      <c r="E408" t="s">
        <v>5</v>
      </c>
      <c r="F408">
        <v>5.2828386975067714</v>
      </c>
      <c r="G408">
        <v>1.1162368619180489</v>
      </c>
      <c r="H408">
        <v>-4.6428946325951994</v>
      </c>
      <c r="I408" t="str">
        <f t="shared" si="11"/>
        <v>passed</v>
      </c>
    </row>
    <row r="409" spans="1:9" x14ac:dyDescent="0.2">
      <c r="A409">
        <v>53351</v>
      </c>
      <c r="B409" t="s">
        <v>9</v>
      </c>
      <c r="C409">
        <v>0.163057782491</v>
      </c>
      <c r="D409">
        <v>12</v>
      </c>
      <c r="E409" t="s">
        <v>5</v>
      </c>
      <c r="F409">
        <v>5.8328203617145133</v>
      </c>
      <c r="G409">
        <v>0.87984462570607347</v>
      </c>
      <c r="H409">
        <v>-6.4440497942162649</v>
      </c>
      <c r="I409" t="str">
        <f t="shared" si="11"/>
        <v>passed</v>
      </c>
    </row>
    <row r="410" spans="1:9" x14ac:dyDescent="0.2">
      <c r="A410">
        <v>53732</v>
      </c>
      <c r="B410" t="s">
        <v>9</v>
      </c>
      <c r="C410">
        <v>2.8041915838252999E-2</v>
      </c>
      <c r="D410">
        <v>12</v>
      </c>
      <c r="E410" t="s">
        <v>5</v>
      </c>
      <c r="F410">
        <v>5.1081458216028528</v>
      </c>
      <c r="G410">
        <v>0.924778873619443</v>
      </c>
      <c r="H410">
        <v>-5.493317430448915</v>
      </c>
      <c r="I410" t="str">
        <f t="shared" si="11"/>
        <v>passed</v>
      </c>
    </row>
    <row r="411" spans="1:9" x14ac:dyDescent="0.2">
      <c r="A411">
        <v>62874</v>
      </c>
      <c r="B411" t="s">
        <v>9</v>
      </c>
      <c r="C411">
        <v>0.11203525709474001</v>
      </c>
      <c r="D411">
        <v>12</v>
      </c>
      <c r="E411" t="s">
        <v>5</v>
      </c>
      <c r="F411">
        <v>2.4806379798758491</v>
      </c>
      <c r="G411">
        <v>0.38573920278021978</v>
      </c>
      <c r="H411">
        <v>-6.1404252036333791</v>
      </c>
      <c r="I411" t="str">
        <f t="shared" si="11"/>
        <v>passed</v>
      </c>
    </row>
    <row r="412" spans="1:9" x14ac:dyDescent="0.2">
      <c r="A412">
        <v>63028</v>
      </c>
      <c r="B412" t="s">
        <v>9</v>
      </c>
      <c r="C412">
        <v>0.11037547362053</v>
      </c>
      <c r="D412">
        <v>12</v>
      </c>
      <c r="E412" t="s">
        <v>5</v>
      </c>
      <c r="F412">
        <v>4.0430102531548169</v>
      </c>
      <c r="G412">
        <v>0.63332146518492405</v>
      </c>
      <c r="H412">
        <v>-6.2095396977994319</v>
      </c>
      <c r="I412" t="str">
        <f t="shared" si="11"/>
        <v>passed</v>
      </c>
    </row>
    <row r="413" spans="1:9" x14ac:dyDescent="0.2">
      <c r="A413">
        <v>29063</v>
      </c>
      <c r="B413" t="s">
        <v>9</v>
      </c>
      <c r="C413">
        <v>4.6227201673578001E-2</v>
      </c>
      <c r="D413">
        <v>13</v>
      </c>
      <c r="E413" t="s">
        <v>5</v>
      </c>
      <c r="F413">
        <v>2.4841652562666412</v>
      </c>
      <c r="G413">
        <v>0.4226665023809828</v>
      </c>
      <c r="H413">
        <v>-5.7679944846813438</v>
      </c>
      <c r="I413" t="str">
        <f t="shared" si="11"/>
        <v>passed</v>
      </c>
    </row>
    <row r="414" spans="1:9" x14ac:dyDescent="0.2">
      <c r="A414">
        <v>29207</v>
      </c>
      <c r="B414" t="s">
        <v>9</v>
      </c>
      <c r="C414">
        <v>3.8270311257256003E-2</v>
      </c>
      <c r="D414">
        <v>13</v>
      </c>
      <c r="E414" t="s">
        <v>5</v>
      </c>
      <c r="F414">
        <v>0.58864649417970227</v>
      </c>
      <c r="G414">
        <v>8.2896428221229945E-2</v>
      </c>
      <c r="H414">
        <v>-6.639323246275799</v>
      </c>
      <c r="I414" t="str">
        <f t="shared" si="11"/>
        <v>passed</v>
      </c>
    </row>
    <row r="415" spans="1:9" x14ac:dyDescent="0.2">
      <c r="A415">
        <v>29289</v>
      </c>
      <c r="B415" t="s">
        <v>9</v>
      </c>
      <c r="C415">
        <v>0.16443221818987999</v>
      </c>
      <c r="D415">
        <v>13</v>
      </c>
      <c r="E415" t="s">
        <v>5</v>
      </c>
      <c r="F415">
        <v>0.90216162243606068</v>
      </c>
      <c r="G415">
        <v>0.16776242295508259</v>
      </c>
      <c r="H415">
        <v>-4.3974651250936336</v>
      </c>
      <c r="I415" t="str">
        <f t="shared" si="11"/>
        <v>passed</v>
      </c>
    </row>
    <row r="416" spans="1:9" x14ac:dyDescent="0.2">
      <c r="A416">
        <v>29457</v>
      </c>
      <c r="B416" t="s">
        <v>9</v>
      </c>
      <c r="C416">
        <v>0.11328440923462001</v>
      </c>
      <c r="D416">
        <v>13</v>
      </c>
      <c r="E416" t="s">
        <v>5</v>
      </c>
      <c r="F416">
        <v>4.1871874042656181</v>
      </c>
      <c r="G416">
        <v>0.70693437549181704</v>
      </c>
      <c r="H416">
        <v>-5.7627739380996612</v>
      </c>
      <c r="I416" t="str">
        <f t="shared" si="11"/>
        <v>passed</v>
      </c>
    </row>
    <row r="417" spans="1:9" x14ac:dyDescent="0.2">
      <c r="A417">
        <v>30679</v>
      </c>
      <c r="B417" t="s">
        <v>9</v>
      </c>
      <c r="C417">
        <v>9.9111030938275002E-2</v>
      </c>
      <c r="D417">
        <v>13</v>
      </c>
      <c r="E417" t="s">
        <v>5</v>
      </c>
      <c r="F417">
        <v>4.0549249069121043</v>
      </c>
      <c r="G417">
        <v>0.64622215287111495</v>
      </c>
      <c r="H417">
        <v>-6.1214457882609787</v>
      </c>
      <c r="I417" t="str">
        <f t="shared" si="11"/>
        <v>passed</v>
      </c>
    </row>
    <row r="418" spans="1:9" x14ac:dyDescent="0.2">
      <c r="A418">
        <v>31076</v>
      </c>
      <c r="B418" t="s">
        <v>9</v>
      </c>
      <c r="C418">
        <v>0.18790888495118999</v>
      </c>
      <c r="D418">
        <v>13</v>
      </c>
      <c r="E418" t="s">
        <v>5</v>
      </c>
      <c r="F418">
        <v>3.8689010153529209</v>
      </c>
      <c r="G418">
        <v>0.63500294627821507</v>
      </c>
      <c r="H418">
        <v>-5.7968111045408701</v>
      </c>
      <c r="I418" t="str">
        <f t="shared" si="11"/>
        <v>passed</v>
      </c>
    </row>
    <row r="419" spans="1:9" x14ac:dyDescent="0.2">
      <c r="A419">
        <v>39236</v>
      </c>
      <c r="B419" t="s">
        <v>9</v>
      </c>
      <c r="C419">
        <v>0.17226846674671001</v>
      </c>
      <c r="D419">
        <v>13</v>
      </c>
      <c r="E419" t="s">
        <v>5</v>
      </c>
      <c r="F419">
        <v>4.868102128119018</v>
      </c>
      <c r="G419">
        <v>0.77097198016301183</v>
      </c>
      <c r="H419">
        <v>-6.0907967892418542</v>
      </c>
      <c r="I419" t="str">
        <f t="shared" si="11"/>
        <v>passed</v>
      </c>
    </row>
    <row r="420" spans="1:9" x14ac:dyDescent="0.2">
      <c r="A420">
        <v>53357</v>
      </c>
      <c r="B420" t="s">
        <v>9</v>
      </c>
      <c r="C420">
        <v>0.1293553880077</v>
      </c>
      <c r="D420">
        <v>13</v>
      </c>
      <c r="E420" t="s">
        <v>5</v>
      </c>
      <c r="F420">
        <v>4.8882883974901556</v>
      </c>
      <c r="G420">
        <v>0.72216317821604969</v>
      </c>
      <c r="H420">
        <v>-6.589830599281429</v>
      </c>
      <c r="I420" t="str">
        <f t="shared" si="11"/>
        <v>passed</v>
      </c>
    </row>
    <row r="421" spans="1:9" x14ac:dyDescent="0.2">
      <c r="A421">
        <v>53725</v>
      </c>
      <c r="B421" t="s">
        <v>9</v>
      </c>
      <c r="C421">
        <v>0.1196420425303</v>
      </c>
      <c r="D421">
        <v>13</v>
      </c>
      <c r="E421" t="s">
        <v>5</v>
      </c>
      <c r="F421">
        <v>4.5033997058935338</v>
      </c>
      <c r="G421">
        <v>0.72805733201741574</v>
      </c>
      <c r="H421">
        <v>-6.0211709580838004</v>
      </c>
      <c r="I421" t="str">
        <f t="shared" si="11"/>
        <v>passed</v>
      </c>
    </row>
    <row r="422" spans="1:9" x14ac:dyDescent="0.2">
      <c r="A422">
        <v>53730</v>
      </c>
      <c r="B422" t="s">
        <v>9</v>
      </c>
      <c r="C422">
        <v>0.19753100856780001</v>
      </c>
      <c r="D422">
        <v>13</v>
      </c>
      <c r="E422" t="s">
        <v>5</v>
      </c>
      <c r="F422">
        <v>2.1611243699021929</v>
      </c>
      <c r="G422">
        <v>0.53473120187559153</v>
      </c>
      <c r="H422">
        <v>-3.6721129315944361</v>
      </c>
      <c r="I422" t="str">
        <f t="shared" si="11"/>
        <v>passed</v>
      </c>
    </row>
    <row r="423" spans="1:9" x14ac:dyDescent="0.2">
      <c r="A423">
        <v>59738</v>
      </c>
      <c r="B423" t="s">
        <v>9</v>
      </c>
      <c r="C423">
        <v>0.12804166963215999</v>
      </c>
      <c r="D423">
        <v>13</v>
      </c>
      <c r="E423" t="s">
        <v>5</v>
      </c>
      <c r="F423">
        <v>0.70038130315647129</v>
      </c>
      <c r="G423">
        <v>0.20301749628822291</v>
      </c>
      <c r="H423">
        <v>-2.8191640818570809</v>
      </c>
      <c r="I423" t="str">
        <f t="shared" si="11"/>
        <v>passed</v>
      </c>
    </row>
    <row r="424" spans="1:9" x14ac:dyDescent="0.2">
      <c r="A424">
        <v>29043</v>
      </c>
      <c r="B424" t="s">
        <v>9</v>
      </c>
      <c r="C424">
        <v>0.15145913967051</v>
      </c>
      <c r="D424">
        <v>14</v>
      </c>
      <c r="E424" t="s">
        <v>5</v>
      </c>
      <c r="F424">
        <v>0.69908203588118767</v>
      </c>
      <c r="G424">
        <v>0.1089962429707383</v>
      </c>
      <c r="H424">
        <v>-5.0242364441652532</v>
      </c>
      <c r="I424" t="str">
        <f t="shared" si="11"/>
        <v>passed</v>
      </c>
    </row>
    <row r="425" spans="1:9" x14ac:dyDescent="0.2">
      <c r="A425">
        <v>29151</v>
      </c>
      <c r="B425" t="s">
        <v>9</v>
      </c>
      <c r="C425">
        <v>1.6617540237197002E-2</v>
      </c>
      <c r="D425">
        <v>14</v>
      </c>
      <c r="E425" t="s">
        <v>5</v>
      </c>
      <c r="F425">
        <v>5.0666912168262783</v>
      </c>
      <c r="G425">
        <v>0.8410638523189371</v>
      </c>
      <c r="H425">
        <v>-6.0043879696711313</v>
      </c>
      <c r="I425" t="str">
        <f t="shared" si="11"/>
        <v>passed</v>
      </c>
    </row>
    <row r="426" spans="1:9" x14ac:dyDescent="0.2">
      <c r="A426">
        <v>29291</v>
      </c>
      <c r="B426" t="s">
        <v>9</v>
      </c>
      <c r="C426">
        <v>7.4290646900423002E-2</v>
      </c>
      <c r="D426">
        <v>14</v>
      </c>
      <c r="E426" t="s">
        <v>5</v>
      </c>
      <c r="F426">
        <v>2.6273035793581658</v>
      </c>
      <c r="G426">
        <v>0.40331460122710078</v>
      </c>
      <c r="H426">
        <v>-6.3300781193889328</v>
      </c>
      <c r="I426" t="str">
        <f t="shared" si="11"/>
        <v>passed</v>
      </c>
    </row>
    <row r="427" spans="1:9" x14ac:dyDescent="0.2">
      <c r="A427">
        <v>29346</v>
      </c>
      <c r="B427" t="s">
        <v>9</v>
      </c>
      <c r="C427">
        <v>5.9976015752694997E-2</v>
      </c>
      <c r="D427">
        <v>14</v>
      </c>
      <c r="E427" t="s">
        <v>5</v>
      </c>
      <c r="F427">
        <v>3.499085466193387</v>
      </c>
      <c r="G427">
        <v>0.60954833722246116</v>
      </c>
      <c r="H427">
        <v>-5.64206190129521</v>
      </c>
      <c r="I427" t="str">
        <f t="shared" si="11"/>
        <v>passed</v>
      </c>
    </row>
    <row r="428" spans="1:9" x14ac:dyDescent="0.2">
      <c r="A428">
        <v>29514</v>
      </c>
      <c r="B428" t="s">
        <v>9</v>
      </c>
      <c r="C428">
        <v>1.2468013207092E-2</v>
      </c>
      <c r="D428">
        <v>14</v>
      </c>
      <c r="E428" t="s">
        <v>5</v>
      </c>
      <c r="F428">
        <v>0.17383423138787071</v>
      </c>
      <c r="G428">
        <v>2.646536850605568E-2</v>
      </c>
      <c r="H428">
        <v>-6.0972594484696394</v>
      </c>
      <c r="I428" t="str">
        <f t="shared" si="11"/>
        <v>passed</v>
      </c>
    </row>
    <row r="429" spans="1:9" x14ac:dyDescent="0.2">
      <c r="A429">
        <v>29578</v>
      </c>
      <c r="B429" t="s">
        <v>9</v>
      </c>
      <c r="C429">
        <v>0.17117066741475001</v>
      </c>
      <c r="D429">
        <v>14</v>
      </c>
      <c r="E429" t="s">
        <v>5</v>
      </c>
      <c r="F429">
        <v>4.2270448390855142</v>
      </c>
      <c r="G429">
        <v>0.61464919972185705</v>
      </c>
      <c r="H429">
        <v>-6.598681286018329</v>
      </c>
      <c r="I429" t="str">
        <f t="shared" si="11"/>
        <v>passed</v>
      </c>
    </row>
    <row r="430" spans="1:9" x14ac:dyDescent="0.2">
      <c r="A430">
        <v>29775</v>
      </c>
      <c r="B430" t="s">
        <v>9</v>
      </c>
      <c r="C430">
        <v>7.8671393472514006E-2</v>
      </c>
      <c r="D430">
        <v>14</v>
      </c>
      <c r="E430" t="s">
        <v>5</v>
      </c>
      <c r="F430">
        <v>2.9455056104088948</v>
      </c>
      <c r="G430">
        <v>0.43347519059652351</v>
      </c>
      <c r="H430">
        <v>-6.6136062204418424</v>
      </c>
      <c r="I430" t="str">
        <f t="shared" si="11"/>
        <v>passed</v>
      </c>
    </row>
    <row r="431" spans="1:9" x14ac:dyDescent="0.2">
      <c r="A431">
        <v>45791</v>
      </c>
      <c r="B431" t="s">
        <v>9</v>
      </c>
      <c r="C431">
        <v>1.9225278991575001E-2</v>
      </c>
      <c r="D431">
        <v>14</v>
      </c>
      <c r="E431" t="s">
        <v>5</v>
      </c>
      <c r="F431">
        <v>1.8851813263396779</v>
      </c>
      <c r="G431">
        <v>0.28428076361256821</v>
      </c>
      <c r="H431">
        <v>-6.563778792613344</v>
      </c>
      <c r="I431" t="str">
        <f t="shared" si="11"/>
        <v>passed</v>
      </c>
    </row>
    <row r="432" spans="1:9" x14ac:dyDescent="0.2">
      <c r="A432">
        <v>46125</v>
      </c>
      <c r="B432" t="s">
        <v>9</v>
      </c>
      <c r="C432">
        <v>0.11438448515147</v>
      </c>
      <c r="D432">
        <v>14</v>
      </c>
      <c r="E432" t="s">
        <v>5</v>
      </c>
      <c r="F432">
        <v>0.84173271145719253</v>
      </c>
      <c r="G432">
        <v>0.15408154968440069</v>
      </c>
      <c r="H432">
        <v>-4.7205406993602894</v>
      </c>
      <c r="I432" t="str">
        <f t="shared" si="11"/>
        <v>passed</v>
      </c>
    </row>
    <row r="433" spans="1:9" x14ac:dyDescent="0.2">
      <c r="A433">
        <v>46473</v>
      </c>
      <c r="B433" t="s">
        <v>9</v>
      </c>
      <c r="C433">
        <v>0.11674343433388</v>
      </c>
      <c r="D433">
        <v>14</v>
      </c>
      <c r="E433" t="s">
        <v>5</v>
      </c>
      <c r="F433">
        <v>5.598570204169663</v>
      </c>
      <c r="G433">
        <v>0.89746968431042662</v>
      </c>
      <c r="H433">
        <v>-6.1080912989810514</v>
      </c>
      <c r="I433" t="str">
        <f t="shared" si="11"/>
        <v>passed</v>
      </c>
    </row>
    <row r="434" spans="1:9" x14ac:dyDescent="0.2">
      <c r="A434">
        <v>28307</v>
      </c>
      <c r="B434" t="s">
        <v>9</v>
      </c>
      <c r="C434">
        <v>3.3773696765245997E-2</v>
      </c>
      <c r="D434">
        <v>15</v>
      </c>
      <c r="E434" t="s">
        <v>5</v>
      </c>
      <c r="F434">
        <v>1.458210992327635</v>
      </c>
      <c r="G434">
        <v>0.34221558183351042</v>
      </c>
      <c r="H434">
        <v>-4.1623975387987624</v>
      </c>
      <c r="I434" t="str">
        <f t="shared" si="11"/>
        <v>passed</v>
      </c>
    </row>
    <row r="435" spans="1:9" x14ac:dyDescent="0.2">
      <c r="A435">
        <v>28777</v>
      </c>
      <c r="B435" t="s">
        <v>9</v>
      </c>
      <c r="C435">
        <v>3.9782523510973E-2</v>
      </c>
      <c r="D435">
        <v>15</v>
      </c>
      <c r="E435" t="s">
        <v>5</v>
      </c>
      <c r="F435">
        <v>2.4957780907131659</v>
      </c>
      <c r="G435">
        <v>0.43187555848315562</v>
      </c>
      <c r="H435">
        <v>-5.6868130621427273</v>
      </c>
      <c r="I435" t="str">
        <f t="shared" si="11"/>
        <v>passed</v>
      </c>
    </row>
    <row r="436" spans="1:9" x14ac:dyDescent="0.2">
      <c r="A436">
        <v>29128</v>
      </c>
      <c r="B436" t="s">
        <v>9</v>
      </c>
      <c r="C436">
        <v>0.1265512799304</v>
      </c>
      <c r="D436">
        <v>15</v>
      </c>
      <c r="E436" t="s">
        <v>5</v>
      </c>
      <c r="F436">
        <v>4.3034755582463298</v>
      </c>
      <c r="G436">
        <v>0.66466576745624062</v>
      </c>
      <c r="H436">
        <v>-6.284247636675417</v>
      </c>
      <c r="I436" t="str">
        <f t="shared" si="11"/>
        <v>passed</v>
      </c>
    </row>
    <row r="437" spans="1:9" x14ac:dyDescent="0.2">
      <c r="A437">
        <v>29172</v>
      </c>
      <c r="B437" t="s">
        <v>9</v>
      </c>
      <c r="C437">
        <v>0.11399378435782</v>
      </c>
      <c r="D437">
        <v>15</v>
      </c>
      <c r="E437" t="s">
        <v>5</v>
      </c>
      <c r="F437">
        <v>4.5632122639851946</v>
      </c>
      <c r="G437">
        <v>0.70353545405358597</v>
      </c>
      <c r="H437">
        <v>-6.3240856647552706</v>
      </c>
      <c r="I437" t="str">
        <f t="shared" si="11"/>
        <v>passed</v>
      </c>
    </row>
    <row r="438" spans="1:9" x14ac:dyDescent="0.2">
      <c r="A438">
        <v>45760</v>
      </c>
      <c r="B438" t="s">
        <v>9</v>
      </c>
      <c r="C438">
        <v>2.3191354936372002E-2</v>
      </c>
      <c r="D438">
        <v>15</v>
      </c>
      <c r="E438" t="s">
        <v>5</v>
      </c>
      <c r="F438">
        <v>2.8468949862575692</v>
      </c>
      <c r="G438">
        <v>0.54776602344498082</v>
      </c>
      <c r="H438">
        <v>-5.1549448313031752</v>
      </c>
      <c r="I438" t="str">
        <f t="shared" si="11"/>
        <v>passed</v>
      </c>
    </row>
    <row r="439" spans="1:9" x14ac:dyDescent="0.2">
      <c r="A439">
        <v>45905</v>
      </c>
      <c r="B439" t="s">
        <v>9</v>
      </c>
      <c r="C439">
        <v>0.13432192269988999</v>
      </c>
      <c r="D439">
        <v>15</v>
      </c>
      <c r="E439" t="s">
        <v>5</v>
      </c>
      <c r="F439">
        <v>1.713345718146257</v>
      </c>
      <c r="G439">
        <v>0.3200327366664204</v>
      </c>
      <c r="H439">
        <v>-4.9339446079612577</v>
      </c>
      <c r="I439" t="str">
        <f t="shared" si="11"/>
        <v>passed</v>
      </c>
    </row>
    <row r="440" spans="1:9" x14ac:dyDescent="0.2">
      <c r="A440">
        <v>53494</v>
      </c>
      <c r="B440" t="s">
        <v>9</v>
      </c>
      <c r="C440">
        <v>7.3922103473101006E-2</v>
      </c>
      <c r="D440">
        <v>15</v>
      </c>
      <c r="E440" t="s">
        <v>5</v>
      </c>
      <c r="F440">
        <v>3.7329207047056929</v>
      </c>
      <c r="G440">
        <v>0.88764800029949198</v>
      </c>
      <c r="H440">
        <v>-4.122127915567936</v>
      </c>
      <c r="I440" t="str">
        <f t="shared" si="11"/>
        <v>passed</v>
      </c>
    </row>
    <row r="441" spans="1:9" x14ac:dyDescent="0.2">
      <c r="A441">
        <v>59749</v>
      </c>
      <c r="B441" t="s">
        <v>9</v>
      </c>
      <c r="C441">
        <v>0.11572657243696</v>
      </c>
      <c r="D441">
        <v>15</v>
      </c>
      <c r="E441" t="s">
        <v>5</v>
      </c>
      <c r="F441">
        <v>0.67422934699014048</v>
      </c>
      <c r="G441">
        <v>0.1049318204395548</v>
      </c>
      <c r="H441">
        <v>-5.3225301173051323</v>
      </c>
      <c r="I441" t="str">
        <f t="shared" si="11"/>
        <v>passed</v>
      </c>
    </row>
    <row r="442" spans="1:9" x14ac:dyDescent="0.2">
      <c r="A442">
        <v>62812</v>
      </c>
      <c r="B442" t="s">
        <v>9</v>
      </c>
      <c r="C442">
        <v>8.6393602700519004E-2</v>
      </c>
      <c r="D442">
        <v>15</v>
      </c>
      <c r="E442" t="s">
        <v>5</v>
      </c>
      <c r="F442">
        <v>3.8776246994808949</v>
      </c>
      <c r="G442">
        <v>0.66567060349505447</v>
      </c>
      <c r="H442">
        <v>-5.6953560467816926</v>
      </c>
      <c r="I442" t="str">
        <f t="shared" si="11"/>
        <v>passed</v>
      </c>
    </row>
    <row r="443" spans="1:9" x14ac:dyDescent="0.2">
      <c r="A443">
        <v>62882</v>
      </c>
      <c r="B443" t="s">
        <v>9</v>
      </c>
      <c r="C443">
        <v>0.16272327023491001</v>
      </c>
      <c r="D443">
        <v>15</v>
      </c>
      <c r="E443" t="s">
        <v>5</v>
      </c>
      <c r="F443">
        <v>3.2130427104203081</v>
      </c>
      <c r="G443">
        <v>0.59692121801101272</v>
      </c>
      <c r="H443">
        <v>-5.1100871407273853</v>
      </c>
      <c r="I443" t="str">
        <f t="shared" si="11"/>
        <v>passed</v>
      </c>
    </row>
    <row r="444" spans="1:9" x14ac:dyDescent="0.2">
      <c r="A444">
        <v>63482</v>
      </c>
      <c r="B444" t="s">
        <v>9</v>
      </c>
      <c r="C444">
        <v>3.3478865406006003E-2</v>
      </c>
      <c r="D444">
        <v>15</v>
      </c>
      <c r="E444" t="s">
        <v>5</v>
      </c>
      <c r="F444">
        <v>2.6695012625139038</v>
      </c>
      <c r="G444">
        <v>0.48688166549136891</v>
      </c>
      <c r="H444">
        <v>-5.4140925484379894</v>
      </c>
      <c r="I444" t="str">
        <f t="shared" si="11"/>
        <v>passed</v>
      </c>
    </row>
    <row r="445" spans="1:9" x14ac:dyDescent="0.2">
      <c r="A445">
        <v>29104</v>
      </c>
      <c r="B445" t="s">
        <v>9</v>
      </c>
      <c r="C445">
        <v>0.10201378172351</v>
      </c>
      <c r="D445">
        <v>16</v>
      </c>
      <c r="E445" t="s">
        <v>5</v>
      </c>
      <c r="F445">
        <v>1.9168229333249169</v>
      </c>
      <c r="G445">
        <v>0.31324082984784218</v>
      </c>
      <c r="H445">
        <v>-5.7936545260812684</v>
      </c>
      <c r="I445" t="str">
        <f t="shared" si="11"/>
        <v>passed</v>
      </c>
    </row>
    <row r="446" spans="1:9" x14ac:dyDescent="0.2">
      <c r="A446">
        <v>30889</v>
      </c>
      <c r="B446" t="s">
        <v>9</v>
      </c>
      <c r="C446">
        <v>4.9916234710050002E-2</v>
      </c>
      <c r="D446">
        <v>16</v>
      </c>
      <c r="E446" t="s">
        <v>5</v>
      </c>
      <c r="F446">
        <v>3.2620132076534372</v>
      </c>
      <c r="G446">
        <v>0.50801865046556893</v>
      </c>
      <c r="H446">
        <v>-6.3227934053202413</v>
      </c>
      <c r="I446" t="str">
        <f t="shared" si="11"/>
        <v>passed</v>
      </c>
    </row>
    <row r="447" spans="1:9" x14ac:dyDescent="0.2">
      <c r="A447">
        <v>30893</v>
      </c>
      <c r="B447" t="s">
        <v>9</v>
      </c>
      <c r="C447">
        <v>8.1478657223113996E-2</v>
      </c>
      <c r="D447">
        <v>16</v>
      </c>
      <c r="E447" t="s">
        <v>5</v>
      </c>
      <c r="F447">
        <v>3.4448235097446052</v>
      </c>
      <c r="G447">
        <v>0.62800346352620229</v>
      </c>
      <c r="H447">
        <v>-5.3556151324970571</v>
      </c>
      <c r="I447" t="str">
        <f t="shared" si="11"/>
        <v>passed</v>
      </c>
    </row>
    <row r="448" spans="1:9" x14ac:dyDescent="0.2">
      <c r="A448">
        <v>30900</v>
      </c>
      <c r="B448" t="s">
        <v>9</v>
      </c>
      <c r="C448">
        <v>0.12300337153033999</v>
      </c>
      <c r="D448">
        <v>16</v>
      </c>
      <c r="E448" t="s">
        <v>5</v>
      </c>
      <c r="F448">
        <v>6.970389034983655</v>
      </c>
      <c r="G448">
        <v>1.204747393374987</v>
      </c>
      <c r="H448">
        <v>-5.6836692082570153</v>
      </c>
      <c r="I448" t="str">
        <f t="shared" si="11"/>
        <v>passed</v>
      </c>
    </row>
    <row r="449" spans="1:9" x14ac:dyDescent="0.2">
      <c r="A449">
        <v>55459</v>
      </c>
      <c r="B449" t="s">
        <v>9</v>
      </c>
      <c r="C449">
        <v>3.5156342959472002E-2</v>
      </c>
      <c r="D449">
        <v>16</v>
      </c>
      <c r="E449" t="s">
        <v>5</v>
      </c>
      <c r="F449">
        <v>2.281340295254159</v>
      </c>
      <c r="G449">
        <v>0.43863221176123451</v>
      </c>
      <c r="H449">
        <v>-5.1208823521546929</v>
      </c>
      <c r="I449" t="str">
        <f t="shared" si="11"/>
        <v>passed</v>
      </c>
    </row>
    <row r="450" spans="1:9" x14ac:dyDescent="0.2">
      <c r="A450">
        <v>62934</v>
      </c>
      <c r="B450" t="s">
        <v>9</v>
      </c>
      <c r="C450">
        <v>0.11969707679103</v>
      </c>
      <c r="D450">
        <v>16</v>
      </c>
      <c r="E450" t="s">
        <v>5</v>
      </c>
      <c r="F450">
        <v>4.8697424102589997</v>
      </c>
      <c r="G450">
        <v>0.80134776407687458</v>
      </c>
      <c r="H450">
        <v>-5.9275704586757749</v>
      </c>
      <c r="I450" t="str">
        <f t="shared" si="11"/>
        <v>passed</v>
      </c>
    </row>
    <row r="451" spans="1:9" x14ac:dyDescent="0.2">
      <c r="A451">
        <v>63742</v>
      </c>
      <c r="B451" t="s">
        <v>9</v>
      </c>
      <c r="C451">
        <v>8.2855434218073995E-2</v>
      </c>
      <c r="D451">
        <v>16</v>
      </c>
      <c r="E451" t="s">
        <v>5</v>
      </c>
      <c r="F451">
        <v>0.65414469007209153</v>
      </c>
      <c r="G451">
        <v>0.1279753604643715</v>
      </c>
      <c r="H451">
        <v>-4.4640566260648704</v>
      </c>
      <c r="I451" t="str">
        <f t="shared" ref="I451:I468" si="12">IF((H451&lt;-2)*AND(D451&lt;=19),"passed","failed")</f>
        <v>passed</v>
      </c>
    </row>
    <row r="452" spans="1:9" x14ac:dyDescent="0.2">
      <c r="A452">
        <v>29157</v>
      </c>
      <c r="B452" t="s">
        <v>9</v>
      </c>
      <c r="C452">
        <v>0.19370255487520999</v>
      </c>
      <c r="D452">
        <v>17</v>
      </c>
      <c r="E452" t="s">
        <v>5</v>
      </c>
      <c r="F452">
        <v>3.8467618086887239</v>
      </c>
      <c r="G452">
        <v>0.60849717872084619</v>
      </c>
      <c r="H452">
        <v>-6.0034119821110776</v>
      </c>
      <c r="I452" t="str">
        <f t="shared" si="12"/>
        <v>passed</v>
      </c>
    </row>
    <row r="453" spans="1:9" x14ac:dyDescent="0.2">
      <c r="A453">
        <v>29408</v>
      </c>
      <c r="B453" t="s">
        <v>9</v>
      </c>
      <c r="C453">
        <v>6.3014021006738002E-2</v>
      </c>
      <c r="D453">
        <v>17</v>
      </c>
      <c r="E453" t="s">
        <v>5</v>
      </c>
      <c r="F453">
        <v>0.38095230664991447</v>
      </c>
      <c r="G453">
        <v>7.4663838592087209E-2</v>
      </c>
      <c r="H453">
        <v>-4.2582633258407272</v>
      </c>
      <c r="I453" t="str">
        <f t="shared" si="12"/>
        <v>passed</v>
      </c>
    </row>
    <row r="454" spans="1:9" x14ac:dyDescent="0.2">
      <c r="A454">
        <v>29426</v>
      </c>
      <c r="B454" t="s">
        <v>9</v>
      </c>
      <c r="C454">
        <v>3.5798436564220999E-2</v>
      </c>
      <c r="D454">
        <v>17</v>
      </c>
      <c r="E454" t="s">
        <v>5</v>
      </c>
      <c r="F454">
        <v>1.0455108887924429</v>
      </c>
      <c r="G454">
        <v>0.21734749373313961</v>
      </c>
      <c r="H454">
        <v>-4.6456135052928316</v>
      </c>
      <c r="I454" t="str">
        <f t="shared" si="12"/>
        <v>passed</v>
      </c>
    </row>
    <row r="455" spans="1:9" x14ac:dyDescent="0.2">
      <c r="A455">
        <v>29704</v>
      </c>
      <c r="B455" t="s">
        <v>9</v>
      </c>
      <c r="C455">
        <v>6.3637805125269994E-2</v>
      </c>
      <c r="D455">
        <v>17</v>
      </c>
      <c r="E455" t="s">
        <v>5</v>
      </c>
      <c r="F455">
        <v>3.369173336921476</v>
      </c>
      <c r="G455">
        <v>0.65883531379449556</v>
      </c>
      <c r="H455">
        <v>-5.0172409744679713</v>
      </c>
      <c r="I455" t="str">
        <f t="shared" si="12"/>
        <v>passed</v>
      </c>
    </row>
    <row r="456" spans="1:9" x14ac:dyDescent="0.2">
      <c r="A456">
        <v>33344</v>
      </c>
      <c r="B456" t="s">
        <v>9</v>
      </c>
      <c r="C456">
        <v>0.14572313986360999</v>
      </c>
      <c r="D456">
        <v>17</v>
      </c>
      <c r="E456" t="s">
        <v>5</v>
      </c>
      <c r="F456">
        <v>2.7153392056105199</v>
      </c>
      <c r="G456">
        <v>0.41346945470682028</v>
      </c>
      <c r="H456">
        <v>-6.2147663787375782</v>
      </c>
      <c r="I456" t="str">
        <f t="shared" si="12"/>
        <v>passed</v>
      </c>
    </row>
    <row r="457" spans="1:9" x14ac:dyDescent="0.2">
      <c r="A457">
        <v>47246</v>
      </c>
      <c r="B457" t="s">
        <v>9</v>
      </c>
      <c r="C457">
        <v>0.17836250991780001</v>
      </c>
      <c r="D457">
        <v>17</v>
      </c>
      <c r="E457" t="s">
        <v>5</v>
      </c>
      <c r="F457">
        <v>1.6541503219045539</v>
      </c>
      <c r="G457">
        <v>0.25387495767632973</v>
      </c>
      <c r="H457">
        <v>-5.813049957720783</v>
      </c>
      <c r="I457" t="str">
        <f t="shared" si="12"/>
        <v>passed</v>
      </c>
    </row>
    <row r="458" spans="1:9" x14ac:dyDescent="0.2">
      <c r="A458">
        <v>59741</v>
      </c>
      <c r="B458" t="s">
        <v>9</v>
      </c>
      <c r="C458">
        <v>0.11381251095585</v>
      </c>
      <c r="D458">
        <v>17</v>
      </c>
      <c r="E458" t="s">
        <v>5</v>
      </c>
      <c r="F458">
        <v>5.5880560595247042</v>
      </c>
      <c r="G458">
        <v>1.2523868422560509</v>
      </c>
      <c r="H458">
        <v>-4.3710484363661504</v>
      </c>
      <c r="I458" t="str">
        <f t="shared" si="12"/>
        <v>passed</v>
      </c>
    </row>
    <row r="459" spans="1:9" x14ac:dyDescent="0.2">
      <c r="A459">
        <v>59778</v>
      </c>
      <c r="B459" t="s">
        <v>9</v>
      </c>
      <c r="C459">
        <v>0.10647549298267001</v>
      </c>
      <c r="D459">
        <v>17</v>
      </c>
      <c r="E459" t="s">
        <v>5</v>
      </c>
      <c r="F459">
        <v>1.87244629457977</v>
      </c>
      <c r="G459">
        <v>0.30422896384534631</v>
      </c>
      <c r="H459">
        <v>-5.8047425178584406</v>
      </c>
      <c r="I459" t="str">
        <f t="shared" si="12"/>
        <v>passed</v>
      </c>
    </row>
    <row r="460" spans="1:9" x14ac:dyDescent="0.2">
      <c r="A460">
        <v>62943</v>
      </c>
      <c r="B460" t="s">
        <v>9</v>
      </c>
      <c r="C460">
        <v>7.9348256439370005E-2</v>
      </c>
      <c r="D460">
        <v>17</v>
      </c>
      <c r="E460" t="s">
        <v>5</v>
      </c>
      <c r="F460">
        <v>4.8172443930967264</v>
      </c>
      <c r="G460">
        <v>0.83555668082483303</v>
      </c>
      <c r="H460">
        <v>-5.6703467824352316</v>
      </c>
      <c r="I460" t="str">
        <f t="shared" si="12"/>
        <v>passed</v>
      </c>
    </row>
    <row r="461" spans="1:9" x14ac:dyDescent="0.2">
      <c r="A461">
        <v>29485</v>
      </c>
      <c r="B461" t="s">
        <v>9</v>
      </c>
      <c r="C461">
        <v>0.19862695382244</v>
      </c>
      <c r="D461">
        <v>18</v>
      </c>
      <c r="E461" t="s">
        <v>5</v>
      </c>
      <c r="F461">
        <v>1.822241798286663</v>
      </c>
      <c r="G461">
        <v>0.2676665991755407</v>
      </c>
      <c r="H461">
        <v>-6.065810412898875</v>
      </c>
      <c r="I461" t="str">
        <f t="shared" si="12"/>
        <v>passed</v>
      </c>
    </row>
    <row r="462" spans="1:9" x14ac:dyDescent="0.2">
      <c r="A462">
        <v>39254</v>
      </c>
      <c r="B462" t="s">
        <v>9</v>
      </c>
      <c r="C462">
        <v>0.20094968887338999</v>
      </c>
      <c r="D462">
        <v>18</v>
      </c>
      <c r="E462" t="s">
        <v>5</v>
      </c>
      <c r="F462">
        <v>8.6585440453457778</v>
      </c>
      <c r="G462">
        <v>1.4161732493788239</v>
      </c>
      <c r="H462">
        <v>-5.9721466707425366</v>
      </c>
      <c r="I462" t="str">
        <f t="shared" si="12"/>
        <v>passed</v>
      </c>
    </row>
    <row r="463" spans="1:9" x14ac:dyDescent="0.2">
      <c r="A463">
        <v>53727</v>
      </c>
      <c r="B463" t="s">
        <v>9</v>
      </c>
      <c r="C463">
        <v>0.20159594346897999</v>
      </c>
      <c r="D463">
        <v>18</v>
      </c>
      <c r="E463" t="s">
        <v>5</v>
      </c>
      <c r="F463">
        <v>0.8420741867261452</v>
      </c>
      <c r="G463">
        <v>0.1240491029860835</v>
      </c>
      <c r="H463">
        <v>-5.1631025766386669</v>
      </c>
      <c r="I463" t="str">
        <f t="shared" si="12"/>
        <v>passed</v>
      </c>
    </row>
    <row r="464" spans="1:9" x14ac:dyDescent="0.2">
      <c r="A464">
        <v>56173</v>
      </c>
      <c r="B464" t="s">
        <v>9</v>
      </c>
      <c r="C464">
        <v>0.11970523325552</v>
      </c>
      <c r="D464">
        <v>18</v>
      </c>
      <c r="E464" t="s">
        <v>5</v>
      </c>
      <c r="F464">
        <v>3.7766344263547329</v>
      </c>
      <c r="G464">
        <v>0.6589193819373691</v>
      </c>
      <c r="H464">
        <v>-5.5498886409245261</v>
      </c>
      <c r="I464" t="str">
        <f t="shared" si="12"/>
        <v>passed</v>
      </c>
    </row>
    <row r="465" spans="1:9" x14ac:dyDescent="0.2">
      <c r="A465">
        <v>29367</v>
      </c>
      <c r="B465" t="s">
        <v>9</v>
      </c>
      <c r="C465">
        <v>2.5899022437076001E-2</v>
      </c>
      <c r="D465">
        <v>19</v>
      </c>
      <c r="E465" t="s">
        <v>5</v>
      </c>
      <c r="F465">
        <v>0.29635270671733699</v>
      </c>
      <c r="G465">
        <v>4.5357065984409403E-2</v>
      </c>
      <c r="H465">
        <v>-5.9627684994709416</v>
      </c>
      <c r="I465" t="str">
        <f t="shared" si="12"/>
        <v>passed</v>
      </c>
    </row>
    <row r="466" spans="1:9" x14ac:dyDescent="0.2">
      <c r="A466">
        <v>40048</v>
      </c>
      <c r="B466" t="s">
        <v>9</v>
      </c>
      <c r="C466">
        <v>3.3454839198264003E-2</v>
      </c>
      <c r="D466">
        <v>19</v>
      </c>
      <c r="E466" t="s">
        <v>5</v>
      </c>
      <c r="F466">
        <v>0.30528075932751048</v>
      </c>
      <c r="G466">
        <v>4.7527400737081692E-2</v>
      </c>
      <c r="H466">
        <v>-5.7193516984648394</v>
      </c>
      <c r="I466" t="str">
        <f t="shared" si="12"/>
        <v>passed</v>
      </c>
    </row>
    <row r="467" spans="1:9" x14ac:dyDescent="0.2">
      <c r="A467">
        <v>46613</v>
      </c>
      <c r="B467" t="s">
        <v>9</v>
      </c>
      <c r="C467">
        <v>0.18824317578555</v>
      </c>
      <c r="D467">
        <v>19</v>
      </c>
      <c r="E467" t="s">
        <v>5</v>
      </c>
      <c r="F467">
        <v>8.0676108766709316</v>
      </c>
      <c r="G467">
        <v>1.2500147670380179</v>
      </c>
      <c r="H467">
        <v>-6.303419694437693</v>
      </c>
      <c r="I467" t="str">
        <f t="shared" si="12"/>
        <v>passed</v>
      </c>
    </row>
    <row r="468" spans="1:9" x14ac:dyDescent="0.2">
      <c r="A468">
        <v>63170</v>
      </c>
      <c r="B468" t="s">
        <v>9</v>
      </c>
      <c r="C468">
        <v>3.2843901778973998E-2</v>
      </c>
      <c r="D468">
        <v>19</v>
      </c>
      <c r="E468" t="s">
        <v>5</v>
      </c>
      <c r="F468">
        <v>4.491553682576308</v>
      </c>
      <c r="G468">
        <v>0.90697536247973765</v>
      </c>
      <c r="H468">
        <v>-4.9160208372219643</v>
      </c>
      <c r="I468" t="str">
        <f t="shared" si="12"/>
        <v>passed</v>
      </c>
    </row>
    <row r="470" spans="1:9" x14ac:dyDescent="0.2">
      <c r="D470" s="4"/>
    </row>
    <row r="471" spans="1:9" x14ac:dyDescent="0.2">
      <c r="D471" s="4"/>
    </row>
  </sheetData>
  <sortState xmlns:xlrd2="http://schemas.microsoft.com/office/spreadsheetml/2017/richdata2" ref="A217:U468">
    <sortCondition ref="E217:E468"/>
    <sortCondition ref="I217:I468"/>
  </sortState>
  <conditionalFormatting sqref="L1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:Q23 S22:T23 S21 S19:T2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:Q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:Q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R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R1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:R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T4 L6:T7 L5:S5 T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T7 L5:S5 L3:T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:T12 L14:T15 L13:S13 T1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T15 L13:S13 L11:T1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9:Q1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9:R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:R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6423-B88D-6343-83B1-7208EF33C6BD}">
  <dimension ref="A1:H23"/>
  <sheetViews>
    <sheetView tabSelected="1" zoomScale="82" workbookViewId="0">
      <selection activeCell="P37" sqref="P37"/>
    </sheetView>
  </sheetViews>
  <sheetFormatPr baseColWidth="10" defaultRowHeight="15" x14ac:dyDescent="0.2"/>
  <sheetData>
    <row r="1" spans="1:8" x14ac:dyDescent="0.2">
      <c r="A1" t="s">
        <v>13</v>
      </c>
    </row>
    <row r="2" spans="1:8" x14ac:dyDescent="0.2">
      <c r="B2">
        <v>-4.5</v>
      </c>
      <c r="C2">
        <v>-4</v>
      </c>
      <c r="D2">
        <v>-3.5</v>
      </c>
      <c r="E2">
        <v>-3</v>
      </c>
      <c r="F2">
        <v>-2.5</v>
      </c>
      <c r="G2">
        <v>-2</v>
      </c>
      <c r="H2">
        <v>-1.5</v>
      </c>
    </row>
    <row r="3" spans="1:8" x14ac:dyDescent="0.2">
      <c r="A3" t="s">
        <v>18</v>
      </c>
      <c r="B3">
        <v>0.6785714285714286</v>
      </c>
      <c r="C3">
        <v>0.73412698412698407</v>
      </c>
      <c r="D3">
        <v>0.74603174603174605</v>
      </c>
      <c r="E3">
        <v>0.74603174603174605</v>
      </c>
      <c r="F3">
        <v>0.75396825396825395</v>
      </c>
      <c r="G3">
        <v>0.75396825396825395</v>
      </c>
      <c r="H3">
        <v>0.75793650793650791</v>
      </c>
    </row>
    <row r="4" spans="1:8" x14ac:dyDescent="0.2">
      <c r="A4" t="s">
        <v>12</v>
      </c>
      <c r="B4">
        <v>0.70238095238095233</v>
      </c>
      <c r="C4">
        <v>0.76190476190476186</v>
      </c>
      <c r="D4">
        <v>0.77380952380952384</v>
      </c>
      <c r="E4">
        <v>0.77380952380952384</v>
      </c>
      <c r="F4">
        <v>0.78174603174603174</v>
      </c>
      <c r="G4">
        <v>0.78174603174603174</v>
      </c>
      <c r="H4">
        <v>0.7857142857142857</v>
      </c>
    </row>
    <row r="5" spans="1:8" x14ac:dyDescent="0.2">
      <c r="A5" t="s">
        <v>10</v>
      </c>
      <c r="B5">
        <v>0.73015873015873012</v>
      </c>
      <c r="C5">
        <v>0.78968253968253965</v>
      </c>
      <c r="D5">
        <v>0.80158730158730163</v>
      </c>
      <c r="E5">
        <v>0.80158730158730163</v>
      </c>
      <c r="F5">
        <v>0.80952380952380953</v>
      </c>
      <c r="G5">
        <v>0.81349206349206349</v>
      </c>
      <c r="H5">
        <v>0.81746031746031744</v>
      </c>
    </row>
    <row r="6" spans="1:8" x14ac:dyDescent="0.2">
      <c r="A6" t="s">
        <v>11</v>
      </c>
      <c r="B6">
        <v>0.73412698412698407</v>
      </c>
      <c r="C6">
        <v>0.80158730158730163</v>
      </c>
      <c r="D6">
        <v>0.81349206349206349</v>
      </c>
      <c r="E6">
        <v>0.81349206349206349</v>
      </c>
      <c r="F6">
        <v>0.82936507936507942</v>
      </c>
      <c r="G6">
        <v>0.83333333333333337</v>
      </c>
      <c r="H6">
        <v>0.83730158730158732</v>
      </c>
    </row>
    <row r="7" spans="1:8" x14ac:dyDescent="0.2">
      <c r="A7" t="s">
        <v>19</v>
      </c>
      <c r="B7">
        <v>0.75</v>
      </c>
      <c r="C7">
        <v>0.8214285714285714</v>
      </c>
      <c r="D7">
        <v>0.83730158730158732</v>
      </c>
      <c r="E7">
        <v>0.83730158730158732</v>
      </c>
      <c r="F7">
        <v>0.85317460317460314</v>
      </c>
      <c r="G7">
        <v>0.8571428571428571</v>
      </c>
      <c r="H7">
        <v>0.86111111111111116</v>
      </c>
    </row>
    <row r="9" spans="1:8" x14ac:dyDescent="0.2">
      <c r="A9" t="s">
        <v>15</v>
      </c>
    </row>
    <row r="10" spans="1:8" x14ac:dyDescent="0.2">
      <c r="B10">
        <v>-4.5</v>
      </c>
      <c r="C10">
        <v>-4</v>
      </c>
      <c r="D10">
        <v>-3.5</v>
      </c>
      <c r="E10">
        <v>-3</v>
      </c>
      <c r="F10">
        <v>-2.5</v>
      </c>
      <c r="G10">
        <v>-2</v>
      </c>
      <c r="H10">
        <v>-1.5</v>
      </c>
    </row>
    <row r="11" spans="1:8" x14ac:dyDescent="0.2">
      <c r="A11" t="s">
        <v>18</v>
      </c>
      <c r="B11">
        <v>0.97674418604651159</v>
      </c>
      <c r="C11">
        <v>0.97674418604651159</v>
      </c>
      <c r="D11">
        <v>0.97674418604651159</v>
      </c>
      <c r="E11">
        <v>0.97209302325581393</v>
      </c>
      <c r="F11">
        <v>0.97209302325581393</v>
      </c>
      <c r="G11">
        <v>0.97209302325581393</v>
      </c>
      <c r="H11">
        <v>0.97209302325581393</v>
      </c>
    </row>
    <row r="12" spans="1:8" x14ac:dyDescent="0.2">
      <c r="A12" t="s">
        <v>12</v>
      </c>
      <c r="B12">
        <v>0.95348837209302328</v>
      </c>
      <c r="C12">
        <v>0.94883720930232562</v>
      </c>
      <c r="D12">
        <v>0.94883720930232562</v>
      </c>
      <c r="E12">
        <v>0.94418604651162785</v>
      </c>
      <c r="F12">
        <v>0.94418604651162785</v>
      </c>
      <c r="G12">
        <v>0.94418604651162785</v>
      </c>
      <c r="H12">
        <v>0.94418604651162785</v>
      </c>
    </row>
    <row r="13" spans="1:8" x14ac:dyDescent="0.2">
      <c r="A13" t="s">
        <v>10</v>
      </c>
      <c r="B13">
        <v>0.93488372093023253</v>
      </c>
      <c r="C13">
        <v>0.92558139534883721</v>
      </c>
      <c r="D13">
        <v>0.92558139534883721</v>
      </c>
      <c r="E13">
        <v>0.92093023255813955</v>
      </c>
      <c r="F13">
        <v>0.92093023255813955</v>
      </c>
      <c r="G13">
        <v>0.92093023255813955</v>
      </c>
      <c r="H13">
        <v>0.92093023255813955</v>
      </c>
    </row>
    <row r="14" spans="1:8" x14ac:dyDescent="0.2">
      <c r="A14" t="s">
        <v>11</v>
      </c>
      <c r="B14">
        <v>0.91627906976744189</v>
      </c>
      <c r="C14">
        <v>0.90697674418604657</v>
      </c>
      <c r="D14">
        <v>0.90697674418604657</v>
      </c>
      <c r="E14">
        <v>0.9023255813953488</v>
      </c>
      <c r="F14">
        <v>0.89767441860465114</v>
      </c>
      <c r="G14">
        <v>0.89767441860465114</v>
      </c>
      <c r="H14">
        <v>0.89767441860465114</v>
      </c>
    </row>
    <row r="15" spans="1:8" x14ac:dyDescent="0.2">
      <c r="A15" t="s">
        <v>19</v>
      </c>
      <c r="B15">
        <v>0.89767441860465114</v>
      </c>
      <c r="C15">
        <v>0.88372093023255816</v>
      </c>
      <c r="D15">
        <v>0.88372093023255816</v>
      </c>
      <c r="E15">
        <v>0.87906976744186049</v>
      </c>
      <c r="F15">
        <v>0.87441860465116283</v>
      </c>
      <c r="G15">
        <v>0.87441860465116283</v>
      </c>
      <c r="H15">
        <v>0.87441860465116283</v>
      </c>
    </row>
    <row r="17" spans="1:8" x14ac:dyDescent="0.2">
      <c r="A17" t="s">
        <v>16</v>
      </c>
    </row>
    <row r="18" spans="1:8" x14ac:dyDescent="0.2">
      <c r="B18">
        <v>-4.5</v>
      </c>
      <c r="C18">
        <v>-4</v>
      </c>
      <c r="D18">
        <v>-3.5</v>
      </c>
      <c r="E18">
        <v>-3</v>
      </c>
      <c r="F18">
        <v>-2.5</v>
      </c>
      <c r="G18">
        <v>-2</v>
      </c>
      <c r="H18">
        <v>-1.5</v>
      </c>
    </row>
    <row r="19" spans="1:8" x14ac:dyDescent="0.2">
      <c r="A19" t="s">
        <v>18</v>
      </c>
      <c r="B19">
        <v>0.82765780730897009</v>
      </c>
      <c r="C19">
        <v>0.85543558508674788</v>
      </c>
      <c r="D19">
        <v>0.86138796603912882</v>
      </c>
      <c r="E19">
        <v>0.85906238464377993</v>
      </c>
      <c r="F19">
        <v>0.86303063861203388</v>
      </c>
      <c r="G19">
        <v>0.86303063861203388</v>
      </c>
      <c r="H19">
        <v>0.86501476559616086</v>
      </c>
    </row>
    <row r="20" spans="1:8" x14ac:dyDescent="0.2">
      <c r="A20" t="s">
        <v>12</v>
      </c>
      <c r="B20">
        <v>0.82793466223698786</v>
      </c>
      <c r="C20">
        <v>0.85537098560354374</v>
      </c>
      <c r="D20">
        <v>0.86132336655592479</v>
      </c>
      <c r="E20">
        <v>0.8589977851605759</v>
      </c>
      <c r="F20">
        <v>0.86296603912882985</v>
      </c>
      <c r="G20">
        <v>0.86296603912882985</v>
      </c>
      <c r="H20">
        <v>0.86495016611295683</v>
      </c>
    </row>
    <row r="21" spans="1:8" x14ac:dyDescent="0.2">
      <c r="A21" t="s">
        <v>10</v>
      </c>
      <c r="B21">
        <v>0.83252122554448138</v>
      </c>
      <c r="C21">
        <v>0.85763196751568849</v>
      </c>
      <c r="D21">
        <v>0.86358434846806942</v>
      </c>
      <c r="E21">
        <v>0.86125876707272053</v>
      </c>
      <c r="F21">
        <v>0.86522702104097449</v>
      </c>
      <c r="G21">
        <v>0.86721114802510146</v>
      </c>
      <c r="H21">
        <v>0.86919527500922844</v>
      </c>
    </row>
    <row r="22" spans="1:8" x14ac:dyDescent="0.2">
      <c r="A22" t="s">
        <v>11</v>
      </c>
      <c r="B22">
        <v>0.82520302694721304</v>
      </c>
      <c r="C22">
        <v>0.8542820228866741</v>
      </c>
      <c r="D22">
        <v>0.86023440383905503</v>
      </c>
      <c r="E22">
        <v>0.85790882244370614</v>
      </c>
      <c r="F22">
        <v>0.86351974898486528</v>
      </c>
      <c r="G22">
        <v>0.86550387596899225</v>
      </c>
      <c r="H22">
        <v>0.86748800295311923</v>
      </c>
    </row>
    <row r="23" spans="1:8" x14ac:dyDescent="0.2">
      <c r="A23" t="s">
        <v>19</v>
      </c>
      <c r="B23">
        <v>0.82383720930232562</v>
      </c>
      <c r="C23">
        <v>0.85257475083056478</v>
      </c>
      <c r="D23">
        <v>0.86051125876707268</v>
      </c>
      <c r="E23">
        <v>0.85818567737172391</v>
      </c>
      <c r="F23">
        <v>0.86379660391288304</v>
      </c>
      <c r="G23">
        <v>0.86578073089701002</v>
      </c>
      <c r="H23">
        <v>0.867764857881137</v>
      </c>
    </row>
  </sheetData>
  <conditionalFormatting sqref="B3:H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H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H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H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</dc:creator>
  <cp:lastModifiedBy>Rémy Lachelin</cp:lastModifiedBy>
  <dcterms:created xsi:type="dcterms:W3CDTF">2021-09-11T17:08:33Z</dcterms:created>
  <dcterms:modified xsi:type="dcterms:W3CDTF">2025-06-26T09:46:43Z</dcterms:modified>
</cp:coreProperties>
</file>