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608"/>
  <workbookPr/>
  <mc:AlternateContent xmlns:mc="http://schemas.openxmlformats.org/markup-compatibility/2006">
    <mc:Choice Requires="x15">
      <x15ac:absPath xmlns:x15ac="http://schemas.microsoft.com/office/spreadsheetml/2010/11/ac" url="/Users/remylachelin/Documents/Tmp/osfstorage-archive/"/>
    </mc:Choice>
  </mc:AlternateContent>
  <xr:revisionPtr revIDLastSave="0" documentId="13_ncr:1_{0192EFAC-B8BF-5C4C-B5AA-75DFFED36EC8}" xr6:coauthVersionLast="47" xr6:coauthVersionMax="47" xr10:uidLastSave="{00000000-0000-0000-0000-000000000000}"/>
  <bookViews>
    <workbookView xWindow="5180" yWindow="1920" windowWidth="29040" windowHeight="15840" xr2:uid="{00000000-000D-0000-FFFF-FFFF00000000}"/>
  </bookViews>
  <sheets>
    <sheet name="bf-ss-2_results-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I2" i="1" l="1"/>
  <c r="AK253" i="1"/>
  <c r="AJ253" i="1" s="1"/>
  <c r="AK252" i="1"/>
  <c r="AJ252" i="1"/>
  <c r="AK251" i="1"/>
  <c r="AJ251" i="1"/>
  <c r="AK250" i="1"/>
  <c r="AJ250" i="1"/>
  <c r="AK249" i="1"/>
  <c r="AJ249" i="1"/>
  <c r="AK248" i="1"/>
  <c r="AJ248" i="1"/>
  <c r="AK247" i="1"/>
  <c r="AJ247" i="1"/>
  <c r="AK246" i="1"/>
  <c r="AJ246" i="1"/>
  <c r="AK245" i="1"/>
  <c r="AJ245" i="1"/>
  <c r="AK244" i="1"/>
  <c r="AJ244" i="1"/>
  <c r="AK243" i="1"/>
  <c r="AJ243" i="1"/>
  <c r="AK242" i="1"/>
  <c r="AJ242" i="1"/>
  <c r="AK241" i="1"/>
  <c r="AJ241" i="1"/>
  <c r="AK240" i="1"/>
  <c r="AJ240" i="1"/>
  <c r="AK239" i="1"/>
  <c r="AJ239" i="1"/>
  <c r="AK238" i="1"/>
  <c r="AJ238" i="1"/>
  <c r="AK237" i="1"/>
  <c r="AJ237" i="1"/>
  <c r="AK236" i="1"/>
  <c r="AJ236" i="1"/>
  <c r="AK235" i="1"/>
  <c r="AJ235" i="1"/>
  <c r="AK234" i="1"/>
  <c r="AJ234" i="1"/>
  <c r="AK233" i="1"/>
  <c r="AJ233" i="1"/>
  <c r="AK232" i="1"/>
  <c r="AJ232" i="1"/>
  <c r="AK231" i="1"/>
  <c r="AJ231" i="1"/>
  <c r="AK230" i="1"/>
  <c r="AJ230" i="1"/>
  <c r="AK229" i="1"/>
  <c r="AJ229" i="1"/>
  <c r="AK228" i="1"/>
  <c r="AJ228" i="1"/>
  <c r="AK227" i="1"/>
  <c r="AJ227" i="1"/>
  <c r="AK226" i="1"/>
  <c r="AJ226" i="1"/>
  <c r="AK225" i="1"/>
  <c r="AJ225" i="1"/>
  <c r="AK224" i="1"/>
  <c r="AJ224" i="1"/>
  <c r="AK223" i="1"/>
  <c r="AJ223" i="1"/>
  <c r="AK222" i="1"/>
  <c r="AJ222" i="1"/>
  <c r="AK221" i="1"/>
  <c r="AJ221" i="1"/>
  <c r="AK220" i="1"/>
  <c r="AJ220" i="1"/>
  <c r="AK219" i="1"/>
  <c r="AJ219" i="1"/>
  <c r="AK218" i="1"/>
  <c r="AJ218" i="1"/>
  <c r="AK217" i="1"/>
  <c r="AJ217" i="1"/>
  <c r="AK216" i="1"/>
  <c r="AJ216" i="1"/>
  <c r="AK215" i="1"/>
  <c r="AJ215" i="1"/>
  <c r="AK214" i="1"/>
  <c r="AJ214" i="1"/>
  <c r="AK213" i="1"/>
  <c r="AJ213" i="1"/>
  <c r="AK212" i="1"/>
  <c r="AJ212" i="1"/>
  <c r="AK211" i="1"/>
  <c r="AJ211" i="1"/>
  <c r="AK210" i="1"/>
  <c r="AJ210" i="1"/>
  <c r="AK209" i="1"/>
  <c r="AJ209" i="1"/>
  <c r="AK208" i="1"/>
  <c r="AJ208" i="1"/>
  <c r="AK207" i="1"/>
  <c r="AJ207" i="1"/>
  <c r="AK206" i="1"/>
  <c r="AJ206" i="1"/>
  <c r="AK205" i="1"/>
  <c r="AJ205" i="1"/>
  <c r="AK204" i="1"/>
  <c r="AJ204" i="1"/>
  <c r="AK203" i="1"/>
  <c r="AJ203" i="1"/>
  <c r="AK202" i="1"/>
  <c r="AJ202" i="1"/>
  <c r="AK201" i="1"/>
  <c r="AJ201" i="1"/>
  <c r="AK200" i="1"/>
  <c r="AJ200" i="1"/>
  <c r="AK199" i="1"/>
  <c r="AJ199" i="1"/>
  <c r="AK198" i="1"/>
  <c r="AJ198" i="1"/>
  <c r="AK197" i="1"/>
  <c r="AJ197" i="1"/>
  <c r="AK196" i="1"/>
  <c r="AJ196" i="1"/>
  <c r="AK195" i="1"/>
  <c r="AJ195" i="1"/>
  <c r="AK194" i="1"/>
  <c r="AJ194" i="1"/>
  <c r="AK193" i="1"/>
  <c r="AJ193" i="1"/>
  <c r="AK192" i="1"/>
  <c r="AJ192" i="1"/>
  <c r="AK191" i="1"/>
  <c r="AJ191" i="1"/>
  <c r="AK190" i="1"/>
  <c r="AJ190" i="1"/>
  <c r="AK189" i="1"/>
  <c r="AJ189" i="1"/>
  <c r="AK188" i="1"/>
  <c r="AJ188" i="1"/>
  <c r="AK187" i="1"/>
  <c r="AJ187" i="1"/>
  <c r="AK186" i="1"/>
  <c r="AJ186" i="1"/>
  <c r="AK185" i="1"/>
  <c r="AJ185" i="1"/>
  <c r="AK184" i="1"/>
  <c r="AJ184" i="1"/>
  <c r="AK183" i="1"/>
  <c r="AJ183" i="1"/>
  <c r="AK182" i="1"/>
  <c r="AJ182" i="1"/>
  <c r="AK181" i="1"/>
  <c r="AJ181" i="1"/>
  <c r="AK180" i="1"/>
  <c r="AJ180" i="1"/>
  <c r="AK179" i="1"/>
  <c r="AJ179" i="1"/>
  <c r="AK178" i="1"/>
  <c r="AJ178" i="1"/>
  <c r="AK177" i="1"/>
  <c r="AJ177" i="1"/>
  <c r="AK176" i="1"/>
  <c r="AJ176" i="1"/>
  <c r="AK175" i="1"/>
  <c r="AJ175" i="1"/>
  <c r="AK174" i="1"/>
  <c r="AJ174" i="1"/>
  <c r="AK173" i="1"/>
  <c r="AJ173" i="1"/>
  <c r="AK172" i="1"/>
  <c r="AJ172" i="1"/>
  <c r="AK171" i="1"/>
  <c r="AJ171" i="1"/>
  <c r="AK170" i="1"/>
  <c r="AJ170" i="1"/>
  <c r="AK169" i="1"/>
  <c r="AJ169" i="1"/>
  <c r="AK168" i="1"/>
  <c r="AJ168" i="1"/>
  <c r="AK167" i="1"/>
  <c r="AJ167" i="1"/>
  <c r="AK166" i="1"/>
  <c r="AJ166" i="1"/>
  <c r="AK165" i="1"/>
  <c r="AJ165" i="1"/>
  <c r="AK164" i="1"/>
  <c r="AJ164" i="1"/>
  <c r="AK163" i="1"/>
  <c r="AJ163" i="1"/>
  <c r="AK162" i="1"/>
  <c r="AJ162" i="1"/>
  <c r="AK161" i="1"/>
  <c r="AJ161" i="1"/>
  <c r="AK160" i="1"/>
  <c r="AJ160" i="1"/>
  <c r="AK159" i="1"/>
  <c r="AJ159" i="1"/>
  <c r="AK158" i="1"/>
  <c r="AJ158" i="1"/>
  <c r="AK157" i="1"/>
  <c r="AJ157" i="1"/>
  <c r="AK156" i="1"/>
  <c r="AJ156" i="1"/>
  <c r="AK155" i="1"/>
  <c r="AJ155" i="1"/>
  <c r="AK154" i="1"/>
  <c r="AJ154" i="1"/>
  <c r="AK153" i="1"/>
  <c r="AJ153" i="1"/>
  <c r="AK152" i="1"/>
  <c r="AJ152" i="1"/>
  <c r="AK151" i="1"/>
  <c r="AJ151" i="1"/>
  <c r="AK150" i="1"/>
  <c r="AJ150" i="1"/>
  <c r="AK149" i="1"/>
  <c r="AJ149" i="1"/>
  <c r="AK148" i="1"/>
  <c r="AJ148" i="1"/>
  <c r="AK147" i="1"/>
  <c r="AJ147" i="1"/>
  <c r="AK146" i="1"/>
  <c r="AJ146" i="1"/>
  <c r="AK145" i="1"/>
  <c r="AJ145" i="1"/>
  <c r="AK144" i="1"/>
  <c r="AJ144" i="1"/>
  <c r="AK143" i="1"/>
  <c r="AJ143" i="1"/>
  <c r="AK142" i="1"/>
  <c r="AJ142" i="1"/>
  <c r="AK141" i="1"/>
  <c r="AJ141" i="1"/>
  <c r="AK140" i="1"/>
  <c r="AJ140" i="1"/>
  <c r="AK139" i="1"/>
  <c r="AJ139" i="1"/>
  <c r="AK138" i="1"/>
  <c r="AJ138" i="1"/>
  <c r="AK137" i="1"/>
  <c r="AJ137" i="1"/>
  <c r="AK136" i="1"/>
  <c r="AJ136" i="1"/>
  <c r="AK135" i="1"/>
  <c r="AJ135" i="1"/>
  <c r="AK134" i="1"/>
  <c r="AJ134" i="1"/>
  <c r="AK133" i="1"/>
  <c r="AJ133" i="1"/>
  <c r="AK132" i="1"/>
  <c r="AJ132" i="1"/>
  <c r="AK131" i="1"/>
  <c r="AJ131" i="1"/>
  <c r="AK130" i="1"/>
  <c r="AJ130" i="1"/>
  <c r="AK129" i="1"/>
  <c r="AJ129" i="1"/>
  <c r="AK128" i="1"/>
  <c r="AJ128" i="1"/>
  <c r="AK127" i="1"/>
  <c r="AJ127" i="1"/>
  <c r="AK126" i="1"/>
  <c r="AJ126" i="1"/>
  <c r="AK125" i="1"/>
  <c r="AJ125" i="1"/>
  <c r="AK124" i="1"/>
  <c r="AJ124" i="1"/>
  <c r="AK123" i="1"/>
  <c r="AJ123" i="1"/>
  <c r="AK122" i="1"/>
  <c r="AJ122" i="1"/>
  <c r="AK121" i="1"/>
  <c r="AJ121" i="1"/>
  <c r="AK120" i="1"/>
  <c r="AJ120" i="1"/>
  <c r="AK119" i="1"/>
  <c r="AJ119" i="1"/>
  <c r="AK118" i="1"/>
  <c r="AJ118" i="1"/>
  <c r="AK117" i="1"/>
  <c r="AJ117" i="1"/>
  <c r="AK116" i="1"/>
  <c r="AJ116" i="1"/>
  <c r="AK115" i="1"/>
  <c r="AJ115" i="1"/>
  <c r="AK114" i="1"/>
  <c r="AJ114" i="1"/>
  <c r="AK113" i="1"/>
  <c r="AJ113" i="1"/>
  <c r="AK112" i="1"/>
  <c r="AJ112" i="1"/>
  <c r="AK111" i="1"/>
  <c r="AJ111" i="1"/>
  <c r="AK110" i="1"/>
  <c r="AJ110" i="1"/>
  <c r="AK109" i="1"/>
  <c r="AJ109" i="1"/>
  <c r="AK108" i="1"/>
  <c r="AJ108" i="1"/>
  <c r="AK107" i="1"/>
  <c r="AJ107" i="1"/>
  <c r="AK106" i="1"/>
  <c r="AJ106" i="1"/>
  <c r="AK105" i="1"/>
  <c r="AJ105" i="1"/>
  <c r="AK104" i="1"/>
  <c r="AJ104" i="1"/>
  <c r="AK103" i="1"/>
  <c r="AJ103" i="1"/>
  <c r="AK102" i="1"/>
  <c r="AJ102" i="1"/>
  <c r="AK101" i="1"/>
  <c r="AJ101" i="1"/>
  <c r="AK100" i="1"/>
  <c r="AJ100" i="1"/>
  <c r="AK99" i="1"/>
  <c r="AJ99" i="1"/>
  <c r="AK98" i="1"/>
  <c r="AJ98" i="1"/>
  <c r="AK97" i="1"/>
  <c r="AJ97" i="1"/>
  <c r="AK96" i="1"/>
  <c r="AJ96" i="1"/>
  <c r="AK95" i="1"/>
  <c r="AJ95" i="1"/>
  <c r="AK94" i="1"/>
  <c r="AJ94" i="1"/>
  <c r="AK93" i="1"/>
  <c r="AJ93" i="1"/>
  <c r="AK92" i="1"/>
  <c r="AJ92" i="1"/>
  <c r="AK91" i="1"/>
  <c r="AJ91" i="1"/>
  <c r="AK90" i="1"/>
  <c r="AJ90" i="1"/>
  <c r="AK89" i="1"/>
  <c r="AJ89" i="1"/>
  <c r="AK88" i="1"/>
  <c r="AJ88" i="1"/>
  <c r="AK87" i="1"/>
  <c r="AJ87" i="1"/>
  <c r="AK86" i="1"/>
  <c r="AJ86" i="1"/>
  <c r="AK85" i="1"/>
  <c r="AJ85" i="1"/>
  <c r="AK84" i="1"/>
  <c r="AJ84" i="1"/>
  <c r="AK83" i="1"/>
  <c r="AJ83" i="1"/>
  <c r="AK82" i="1"/>
  <c r="AJ82" i="1"/>
  <c r="AK81" i="1"/>
  <c r="AJ81" i="1"/>
  <c r="AK80" i="1"/>
  <c r="AJ80" i="1"/>
  <c r="AK79" i="1"/>
  <c r="AJ79" i="1"/>
  <c r="AK78" i="1"/>
  <c r="AJ78" i="1"/>
  <c r="AK77" i="1"/>
  <c r="AJ77" i="1"/>
  <c r="AK76" i="1"/>
  <c r="AJ76" i="1"/>
  <c r="AK75" i="1"/>
  <c r="AJ75" i="1"/>
  <c r="AK74" i="1"/>
  <c r="AJ74" i="1"/>
  <c r="AK73" i="1"/>
  <c r="AJ73" i="1"/>
  <c r="AK72" i="1"/>
  <c r="AJ72" i="1"/>
  <c r="AK71" i="1"/>
  <c r="AJ71" i="1"/>
  <c r="AK70" i="1"/>
  <c r="AJ70" i="1"/>
  <c r="AK69" i="1"/>
  <c r="AJ69" i="1"/>
  <c r="AK68" i="1"/>
  <c r="AJ68" i="1"/>
  <c r="AK67" i="1"/>
  <c r="AJ67" i="1"/>
  <c r="AK66" i="1"/>
  <c r="AJ66" i="1"/>
  <c r="AK65" i="1"/>
  <c r="AJ65" i="1"/>
  <c r="AK64" i="1"/>
  <c r="AJ64" i="1"/>
  <c r="AK63" i="1"/>
  <c r="AJ63" i="1"/>
  <c r="AK62" i="1"/>
  <c r="AJ62" i="1"/>
  <c r="AK61" i="1"/>
  <c r="AJ61" i="1"/>
  <c r="AK60" i="1"/>
  <c r="AJ60" i="1"/>
  <c r="AK59" i="1"/>
  <c r="AJ59" i="1"/>
  <c r="AK58" i="1"/>
  <c r="AJ58" i="1"/>
  <c r="AK57" i="1"/>
  <c r="AJ57" i="1"/>
  <c r="AK56" i="1"/>
  <c r="AJ56" i="1"/>
  <c r="AK55" i="1"/>
  <c r="AJ55" i="1"/>
  <c r="AK54" i="1"/>
  <c r="AJ54" i="1"/>
  <c r="AK53" i="1"/>
  <c r="AJ53" i="1"/>
  <c r="AK52" i="1"/>
  <c r="AJ52" i="1"/>
  <c r="AK51" i="1"/>
  <c r="AJ51" i="1"/>
  <c r="AK50" i="1"/>
  <c r="AJ50" i="1"/>
  <c r="AK49" i="1"/>
  <c r="AJ49" i="1"/>
  <c r="AK48" i="1"/>
  <c r="AJ48" i="1"/>
  <c r="AK47" i="1"/>
  <c r="AJ47" i="1"/>
  <c r="AK46" i="1"/>
  <c r="AJ46" i="1"/>
  <c r="AK45" i="1"/>
  <c r="AJ45" i="1"/>
  <c r="AK44" i="1"/>
  <c r="AJ44" i="1"/>
  <c r="AK43" i="1"/>
  <c r="AJ43" i="1"/>
  <c r="AK42" i="1"/>
  <c r="AJ42" i="1"/>
  <c r="AK41" i="1"/>
  <c r="AJ41" i="1"/>
  <c r="AK40" i="1"/>
  <c r="AJ40" i="1"/>
  <c r="AK39" i="1"/>
  <c r="AJ39" i="1"/>
  <c r="AK38" i="1"/>
  <c r="AJ38" i="1"/>
  <c r="AK37" i="1"/>
  <c r="AJ37" i="1"/>
  <c r="AK36" i="1"/>
  <c r="AJ36" i="1"/>
  <c r="AK35" i="1"/>
  <c r="AJ35" i="1"/>
  <c r="AK34" i="1"/>
  <c r="AJ34" i="1"/>
  <c r="AK33" i="1"/>
  <c r="AJ33" i="1"/>
  <c r="AK32" i="1"/>
  <c r="AJ32" i="1"/>
  <c r="AK31" i="1"/>
  <c r="AJ31" i="1"/>
  <c r="AK30" i="1"/>
  <c r="AJ30" i="1"/>
  <c r="AK29" i="1"/>
  <c r="AJ29" i="1"/>
  <c r="AK28" i="1"/>
  <c r="AJ28" i="1"/>
  <c r="AK27" i="1"/>
  <c r="AJ27" i="1"/>
  <c r="AK26" i="1"/>
  <c r="AJ26" i="1"/>
  <c r="AK25" i="1"/>
  <c r="AJ25" i="1"/>
  <c r="AK24" i="1"/>
  <c r="AJ24" i="1"/>
  <c r="AK23" i="1"/>
  <c r="AJ23" i="1"/>
  <c r="AK22" i="1"/>
  <c r="AJ22" i="1"/>
  <c r="AK21" i="1"/>
  <c r="AJ21" i="1"/>
  <c r="AK20" i="1"/>
  <c r="AJ20" i="1"/>
  <c r="AK19" i="1"/>
  <c r="AJ19" i="1"/>
  <c r="AK18" i="1"/>
  <c r="AJ18" i="1"/>
  <c r="AK17" i="1"/>
  <c r="AJ17" i="1"/>
  <c r="AK16" i="1"/>
  <c r="AJ16" i="1"/>
  <c r="AK15" i="1"/>
  <c r="AJ15" i="1"/>
  <c r="AK14" i="1"/>
  <c r="AJ14" i="1"/>
  <c r="AK13" i="1"/>
  <c r="AJ13" i="1"/>
  <c r="AK12" i="1"/>
  <c r="AJ12" i="1"/>
  <c r="AK11" i="1"/>
  <c r="AJ11" i="1"/>
  <c r="AK10" i="1"/>
  <c r="AJ10" i="1"/>
  <c r="AK9" i="1"/>
  <c r="AJ9" i="1"/>
  <c r="AK8" i="1"/>
  <c r="AJ8" i="1"/>
  <c r="AK7" i="1"/>
  <c r="AJ7" i="1"/>
  <c r="AK6" i="1"/>
  <c r="AJ6" i="1"/>
  <c r="AK5" i="1"/>
  <c r="AJ5" i="1"/>
  <c r="AK4" i="1"/>
  <c r="AJ4" i="1"/>
  <c r="AK3" i="1"/>
  <c r="AJ3" i="1"/>
  <c r="AK2" i="1"/>
  <c r="AI70" i="1"/>
  <c r="AH70" i="1"/>
  <c r="AI72" i="1"/>
  <c r="AH72" i="1"/>
  <c r="AI164" i="1"/>
  <c r="AH164" i="1"/>
  <c r="AI64" i="1"/>
  <c r="AH64" i="1"/>
  <c r="AI60" i="1"/>
  <c r="AH60" i="1"/>
  <c r="AI196" i="1"/>
  <c r="AH196" i="1"/>
  <c r="AI111" i="1"/>
  <c r="AH111" i="1"/>
  <c r="AI21" i="1"/>
  <c r="AH21" i="1"/>
  <c r="AI145" i="1"/>
  <c r="AH145" i="1"/>
  <c r="AI37" i="1"/>
  <c r="AH37" i="1"/>
  <c r="AI135" i="1"/>
  <c r="AH135" i="1"/>
  <c r="AI123" i="1"/>
  <c r="AH123" i="1"/>
  <c r="AI100" i="1"/>
  <c r="AH100" i="1"/>
  <c r="AI103" i="1"/>
  <c r="AH103" i="1"/>
  <c r="AI105" i="1"/>
  <c r="AH105" i="1"/>
  <c r="AI93" i="1"/>
  <c r="AH93" i="1"/>
  <c r="AI127" i="1"/>
  <c r="AH127" i="1"/>
  <c r="AI134" i="1"/>
  <c r="AH134" i="1"/>
  <c r="AI173" i="1"/>
  <c r="AH173" i="1"/>
  <c r="AI58" i="1"/>
  <c r="AH58" i="1"/>
  <c r="AI54" i="1"/>
  <c r="AH54" i="1"/>
  <c r="AI16" i="1"/>
  <c r="AH16" i="1"/>
  <c r="AI119" i="1"/>
  <c r="AH119" i="1"/>
  <c r="AI101" i="1"/>
  <c r="AH101" i="1"/>
  <c r="AI15" i="1"/>
  <c r="AH15" i="1"/>
  <c r="AI161" i="1"/>
  <c r="AH161" i="1"/>
  <c r="AI171" i="1"/>
  <c r="AH171" i="1"/>
  <c r="AI77" i="1"/>
  <c r="AH77" i="1"/>
  <c r="AI99" i="1"/>
  <c r="AH99" i="1"/>
  <c r="AI168" i="1"/>
  <c r="AH168" i="1"/>
  <c r="AI32" i="1"/>
  <c r="AH32" i="1"/>
  <c r="AI87" i="1"/>
  <c r="AH87" i="1"/>
  <c r="AI41" i="1"/>
  <c r="AH41" i="1"/>
  <c r="AI201" i="1"/>
  <c r="AH201" i="1"/>
  <c r="AI29" i="1"/>
  <c r="AH29" i="1"/>
  <c r="AI25" i="1"/>
  <c r="AH25" i="1"/>
  <c r="AI10" i="1"/>
  <c r="AH10" i="1"/>
  <c r="AI128" i="1"/>
  <c r="AH128" i="1"/>
  <c r="AI62" i="1"/>
  <c r="AH62" i="1"/>
  <c r="AI66" i="1"/>
  <c r="AH66" i="1"/>
  <c r="AI38" i="1"/>
  <c r="AH38" i="1"/>
  <c r="AI71" i="1"/>
  <c r="AH71" i="1"/>
  <c r="AI31" i="1"/>
  <c r="AH31" i="1"/>
  <c r="AI46" i="1"/>
  <c r="AH46" i="1"/>
  <c r="AI24" i="1"/>
  <c r="AH24" i="1"/>
  <c r="AI18" i="1"/>
  <c r="AH18" i="1"/>
  <c r="AI13" i="1"/>
  <c r="AH13" i="1"/>
  <c r="AI12" i="1"/>
  <c r="AH12" i="1"/>
  <c r="AI94" i="1"/>
  <c r="AH94" i="1"/>
  <c r="AI187" i="1"/>
  <c r="AH187" i="1"/>
  <c r="AI149" i="1"/>
  <c r="AH149" i="1"/>
  <c r="AI22" i="1"/>
  <c r="AH22" i="1"/>
  <c r="AI34" i="1"/>
  <c r="AH34" i="1"/>
  <c r="AI207" i="1"/>
  <c r="AH207" i="1"/>
  <c r="AI52" i="1"/>
  <c r="AH52" i="1"/>
  <c r="AI116" i="1"/>
  <c r="AH116" i="1"/>
  <c r="AI59" i="1"/>
  <c r="AH59" i="1"/>
  <c r="AI92" i="1"/>
  <c r="AH92" i="1"/>
  <c r="AI120" i="1"/>
  <c r="AH120" i="1"/>
  <c r="AI232" i="1"/>
  <c r="AH232" i="1"/>
  <c r="AI53" i="1"/>
  <c r="AH53" i="1"/>
  <c r="AI223" i="1"/>
  <c r="AH223" i="1"/>
  <c r="AI107" i="1"/>
  <c r="AH107" i="1"/>
  <c r="AI192" i="1"/>
  <c r="AH192" i="1"/>
  <c r="AI9" i="1"/>
  <c r="AH9" i="1"/>
  <c r="AI8" i="1"/>
  <c r="AH8" i="1"/>
  <c r="AI73" i="1"/>
  <c r="AH73" i="1"/>
  <c r="AI27" i="1"/>
  <c r="AH27" i="1"/>
  <c r="AI160" i="1"/>
  <c r="AH160" i="1"/>
  <c r="AI90" i="1"/>
  <c r="AH90" i="1"/>
  <c r="AI96" i="1"/>
  <c r="AH96" i="1"/>
  <c r="AI121" i="1"/>
  <c r="AH121" i="1"/>
  <c r="AI142" i="1"/>
  <c r="AH142" i="1"/>
  <c r="AI39" i="1"/>
  <c r="AH39" i="1"/>
  <c r="AI45" i="1"/>
  <c r="AH45" i="1"/>
  <c r="AI227" i="1"/>
  <c r="AH227" i="1"/>
  <c r="AI132" i="1"/>
  <c r="AH132" i="1"/>
  <c r="AI47" i="1"/>
  <c r="AH47" i="1"/>
  <c r="AI26" i="1"/>
  <c r="AH26" i="1"/>
  <c r="AI3" i="1"/>
  <c r="AH3" i="1"/>
  <c r="AI155" i="1"/>
  <c r="AH155" i="1"/>
  <c r="AI166" i="1"/>
  <c r="AH166" i="1"/>
  <c r="AI14" i="1"/>
  <c r="AH14" i="1"/>
  <c r="AI83" i="1"/>
  <c r="AH83" i="1"/>
  <c r="AI85" i="1"/>
  <c r="AH85" i="1"/>
  <c r="AI40" i="1"/>
  <c r="AH40" i="1"/>
  <c r="AI80" i="1"/>
  <c r="AH80" i="1"/>
  <c r="AI20" i="1"/>
  <c r="AH20" i="1"/>
  <c r="AI79" i="1"/>
  <c r="AH79" i="1"/>
  <c r="AI106" i="1"/>
  <c r="AH106" i="1"/>
  <c r="AI183" i="1"/>
  <c r="AH183" i="1"/>
  <c r="AI181" i="1"/>
  <c r="AH181" i="1"/>
  <c r="AI138" i="1"/>
  <c r="AH138" i="1"/>
  <c r="AI191" i="1"/>
  <c r="AH191" i="1"/>
  <c r="AI17" i="1"/>
  <c r="AH17" i="1"/>
  <c r="AI28" i="1"/>
  <c r="AH28" i="1"/>
  <c r="AI23" i="1"/>
  <c r="AH23" i="1"/>
  <c r="AI43" i="1"/>
  <c r="AH43" i="1"/>
  <c r="AI147" i="1"/>
  <c r="AH147" i="1"/>
  <c r="AI82" i="1"/>
  <c r="AH82" i="1"/>
  <c r="AI48" i="1"/>
  <c r="AH48" i="1"/>
  <c r="AI203" i="1"/>
  <c r="AH203" i="1"/>
  <c r="AI143" i="1"/>
  <c r="AH143" i="1"/>
  <c r="AI226" i="1"/>
  <c r="AH226" i="1"/>
  <c r="AI124" i="1"/>
  <c r="AH124" i="1"/>
  <c r="AI216" i="1"/>
  <c r="AH216" i="1"/>
  <c r="AI69" i="1"/>
  <c r="AH69" i="1"/>
  <c r="AI76" i="1"/>
  <c r="AH76" i="1"/>
  <c r="AI198" i="1"/>
  <c r="AH198" i="1"/>
  <c r="AI84" i="1"/>
  <c r="AH84" i="1"/>
  <c r="AI33" i="1"/>
  <c r="AH33" i="1"/>
  <c r="AI61" i="1"/>
  <c r="AH61" i="1"/>
  <c r="AI157" i="1"/>
  <c r="AH157" i="1"/>
  <c r="AI141" i="1"/>
  <c r="AH141" i="1"/>
  <c r="AI217" i="1"/>
  <c r="AH217" i="1"/>
  <c r="AI30" i="1"/>
  <c r="AH30" i="1"/>
  <c r="AI56" i="1"/>
  <c r="AH56" i="1"/>
  <c r="AI44" i="1"/>
  <c r="AH44" i="1"/>
  <c r="AI42" i="1"/>
  <c r="AH42" i="1"/>
  <c r="AI125" i="1"/>
  <c r="AH125" i="1"/>
  <c r="AI197" i="1"/>
  <c r="AH197" i="1"/>
  <c r="AI136" i="1"/>
  <c r="AH136" i="1"/>
  <c r="AI36" i="1"/>
  <c r="AH36" i="1"/>
  <c r="AI165" i="1"/>
  <c r="AH165" i="1"/>
  <c r="AI5" i="1"/>
  <c r="AH5" i="1"/>
  <c r="AI130" i="1"/>
  <c r="AH130" i="1"/>
  <c r="AI68" i="1"/>
  <c r="AH68" i="1"/>
  <c r="AI129" i="1"/>
  <c r="AH129" i="1"/>
  <c r="AI139" i="1"/>
  <c r="AH139" i="1"/>
  <c r="AI159" i="1"/>
  <c r="AH159" i="1"/>
  <c r="AI81" i="1"/>
  <c r="AH81" i="1"/>
  <c r="AI4" i="1"/>
  <c r="AH4" i="1"/>
  <c r="AI63" i="1"/>
  <c r="AH63" i="1"/>
  <c r="AI144" i="1"/>
  <c r="AH144" i="1"/>
  <c r="AI74" i="1"/>
  <c r="AH74" i="1"/>
  <c r="AI182" i="1"/>
  <c r="AH182" i="1"/>
  <c r="AI50" i="1"/>
  <c r="AH50" i="1"/>
  <c r="AI65" i="1"/>
  <c r="AH65" i="1"/>
  <c r="AI108" i="1"/>
  <c r="AH108" i="1"/>
  <c r="AI6" i="1"/>
  <c r="AH6" i="1"/>
  <c r="AI153" i="1"/>
  <c r="AH153" i="1"/>
  <c r="AI67" i="1"/>
  <c r="AH67" i="1"/>
  <c r="AI55" i="1"/>
  <c r="AH55" i="1"/>
  <c r="AI194" i="1"/>
  <c r="AH194" i="1"/>
  <c r="AI98" i="1"/>
  <c r="AH98" i="1"/>
  <c r="AI126" i="1"/>
  <c r="AH126" i="1"/>
  <c r="AI88" i="1"/>
  <c r="AH88" i="1"/>
  <c r="AI184" i="1"/>
  <c r="AH184" i="1"/>
  <c r="AI35" i="1"/>
  <c r="AH35" i="1"/>
  <c r="AI11" i="1"/>
  <c r="AH11" i="1"/>
  <c r="AI140" i="1"/>
  <c r="AH140" i="1"/>
  <c r="AI158" i="1"/>
  <c r="AH158" i="1"/>
  <c r="AI51" i="1"/>
  <c r="AH51" i="1"/>
  <c r="AI78" i="1"/>
  <c r="AH78" i="1"/>
  <c r="AI49" i="1"/>
  <c r="AH49" i="1"/>
  <c r="AI95" i="1"/>
  <c r="AH95" i="1"/>
  <c r="AI114" i="1"/>
  <c r="AH114" i="1"/>
  <c r="AI112" i="1"/>
  <c r="AH112" i="1"/>
  <c r="AI7" i="1"/>
  <c r="AH7" i="1"/>
  <c r="AI115" i="1"/>
  <c r="AH115" i="1"/>
  <c r="AI113" i="1"/>
  <c r="AH113" i="1"/>
  <c r="AI89" i="1"/>
  <c r="AH89" i="1"/>
  <c r="AI19" i="1"/>
  <c r="AH19" i="1"/>
  <c r="AJ2" i="1"/>
  <c r="AH2" i="1"/>
  <c r="AI57" i="1"/>
  <c r="AH57" i="1"/>
  <c r="AI169" i="1"/>
  <c r="AH169" i="1"/>
  <c r="AI205" i="1"/>
  <c r="AH205" i="1"/>
  <c r="AI131" i="1"/>
  <c r="AH131" i="1"/>
  <c r="AI243" i="1"/>
  <c r="AH243" i="1"/>
  <c r="AI211" i="1"/>
  <c r="AH211" i="1"/>
  <c r="AI190" i="1"/>
  <c r="AH190" i="1"/>
  <c r="AI179" i="1"/>
  <c r="AH179" i="1"/>
  <c r="AI228" i="1"/>
  <c r="AH228" i="1"/>
  <c r="AI193" i="1"/>
  <c r="AH193" i="1"/>
  <c r="AI175" i="1"/>
  <c r="AH175" i="1"/>
  <c r="AI177" i="1"/>
  <c r="AH177" i="1"/>
  <c r="AI233" i="1"/>
  <c r="AH233" i="1"/>
  <c r="AI208" i="1"/>
  <c r="AH208" i="1"/>
  <c r="AI151" i="1"/>
  <c r="AH151" i="1"/>
  <c r="AI75" i="1"/>
  <c r="AH75" i="1"/>
  <c r="AI176" i="1"/>
  <c r="AH176" i="1"/>
  <c r="AI241" i="1"/>
  <c r="AH241" i="1"/>
  <c r="AI219" i="1"/>
  <c r="AH219" i="1"/>
  <c r="AI86" i="1"/>
  <c r="AH86" i="1"/>
  <c r="AI253" i="1"/>
  <c r="AH253" i="1"/>
  <c r="AI137" i="1"/>
  <c r="AH137" i="1"/>
  <c r="AI172" i="1"/>
  <c r="AH172" i="1"/>
  <c r="AI162" i="1"/>
  <c r="AH162" i="1"/>
  <c r="AI200" i="1"/>
  <c r="AH200" i="1"/>
  <c r="AI225" i="1"/>
  <c r="AH225" i="1"/>
  <c r="AI209" i="1"/>
  <c r="AH209" i="1"/>
  <c r="AI202" i="1"/>
  <c r="AH202" i="1"/>
  <c r="AI234" i="1"/>
  <c r="AH234" i="1"/>
  <c r="AI230" i="1"/>
  <c r="AH230" i="1"/>
  <c r="AI146" i="1"/>
  <c r="AH146" i="1"/>
  <c r="AI195" i="1"/>
  <c r="AH195" i="1"/>
  <c r="AI110" i="1"/>
  <c r="AH110" i="1"/>
  <c r="AI215" i="1"/>
  <c r="AH215" i="1"/>
  <c r="AI97" i="1"/>
  <c r="AH97" i="1"/>
  <c r="AI229" i="1"/>
  <c r="AH229" i="1"/>
  <c r="AI213" i="1"/>
  <c r="AH213" i="1"/>
  <c r="AI156" i="1"/>
  <c r="AH156" i="1"/>
  <c r="AI238" i="1"/>
  <c r="AH238" i="1"/>
  <c r="AI174" i="1"/>
  <c r="AH174" i="1"/>
  <c r="AI102" i="1"/>
  <c r="AH102" i="1"/>
  <c r="AI180" i="1"/>
  <c r="AH180" i="1"/>
  <c r="AI252" i="1"/>
  <c r="AH252" i="1"/>
  <c r="AI118" i="1"/>
  <c r="AH118" i="1"/>
  <c r="AI117" i="1"/>
  <c r="AH117" i="1"/>
  <c r="AI244" i="1"/>
  <c r="AH244" i="1"/>
  <c r="AI167" i="1"/>
  <c r="AH167" i="1"/>
  <c r="AI188" i="1"/>
  <c r="AH188" i="1"/>
  <c r="AI247" i="1"/>
  <c r="AH247" i="1"/>
  <c r="AI91" i="1"/>
  <c r="AH91" i="1"/>
  <c r="AI150" i="1"/>
  <c r="AH150" i="1"/>
  <c r="AI109" i="1"/>
  <c r="AH109" i="1"/>
  <c r="AI163" i="1"/>
  <c r="AH163" i="1"/>
  <c r="AI220" i="1"/>
  <c r="AH220" i="1"/>
  <c r="AI133" i="1"/>
  <c r="AH133" i="1"/>
  <c r="AI178" i="1"/>
  <c r="AH178" i="1"/>
  <c r="AI154" i="1"/>
  <c r="AH154" i="1"/>
  <c r="AI236" i="1"/>
  <c r="AH236" i="1"/>
  <c r="AI189" i="1"/>
  <c r="AH189" i="1"/>
  <c r="AI246" i="1"/>
  <c r="AH246" i="1"/>
  <c r="AI224" i="1"/>
  <c r="AH224" i="1"/>
  <c r="AI204" i="1"/>
  <c r="AH204" i="1"/>
  <c r="AI210" i="1"/>
  <c r="AH210" i="1"/>
  <c r="AI237" i="1"/>
  <c r="AH237" i="1"/>
  <c r="AI152" i="1"/>
  <c r="AH152" i="1"/>
  <c r="AI231" i="1"/>
  <c r="AH231" i="1"/>
  <c r="AI251" i="1"/>
  <c r="AH251" i="1"/>
  <c r="AI235" i="1"/>
  <c r="AH235" i="1"/>
  <c r="AI104" i="1"/>
  <c r="AH104" i="1"/>
  <c r="AI122" i="1"/>
  <c r="AH122" i="1"/>
  <c r="AI214" i="1"/>
  <c r="AH214" i="1"/>
  <c r="AI222" i="1"/>
  <c r="AH222" i="1"/>
  <c r="AI206" i="1"/>
  <c r="AH206" i="1"/>
  <c r="AI218" i="1"/>
  <c r="AH218" i="1"/>
  <c r="AI221" i="1"/>
  <c r="AH221" i="1"/>
  <c r="AI248" i="1"/>
  <c r="AH248" i="1"/>
  <c r="AI249" i="1"/>
  <c r="AH249" i="1"/>
  <c r="AI170" i="1"/>
  <c r="AH170" i="1"/>
  <c r="AI240" i="1"/>
  <c r="AH240" i="1"/>
  <c r="AI250" i="1"/>
  <c r="AH250" i="1"/>
  <c r="AI185" i="1"/>
  <c r="AH185" i="1"/>
  <c r="AI199" i="1"/>
  <c r="AH199" i="1"/>
  <c r="AI239" i="1"/>
  <c r="AH239" i="1"/>
  <c r="AI242" i="1"/>
  <c r="AH242" i="1"/>
  <c r="AI212" i="1"/>
  <c r="AH212" i="1"/>
  <c r="AI148" i="1"/>
  <c r="AH148" i="1"/>
  <c r="AI186" i="1"/>
  <c r="AH186" i="1"/>
  <c r="AI245" i="1"/>
  <c r="AH245" i="1"/>
</calcChain>
</file>

<file path=xl/sharedStrings.xml><?xml version="1.0" encoding="utf-8"?>
<sst xmlns="http://schemas.openxmlformats.org/spreadsheetml/2006/main" count="465" uniqueCount="216">
  <si>
    <t>session_id</t>
  </si>
  <si>
    <t>date</t>
  </si>
  <si>
    <t>male</t>
  </si>
  <si>
    <t>female</t>
  </si>
  <si>
    <t>Because my spatial sequences are located relative to my body, it was hard to 'project' them onto the screen.</t>
  </si>
  <si>
    <t>It's hard for me to illustrate in real space the sequence in which months appear because their locations don't make sense.</t>
  </si>
  <si>
    <t>It was difficult to do because computer screen is 2D. Also it depends on perspective, and my week is a two-week circle, so all weekdays are in two different places.</t>
  </si>
  <si>
    <t>I actually found it really hard to do this in 2D as what I &amp;quotsee&amp;quot is in 3D. In everyday life I will place myself in my number / calender sequence on the number / day in question and move through them.</t>
  </si>
  <si>
    <t>I appear to have lost all intuition for days-of-the-week! I know I've had it before, but the monotony of life seems to have thrashed it out of me...</t>
  </si>
  <si>
    <t>Hard to visualise on flat computer screen as I think in terms of depths too, and my own perpesctive changes - it matters where I am in the sequence e.g. in the summer the winter months are above me.</t>
  </si>
  <si>
    <t>I at first missed the point of the experiment - I thought it was a loading page so was just clicking in the middle. I tend to think this way about numbers and letters. And they have colour!</t>
  </si>
  <si>
    <t>I use sequences and I see them fluctuating inside my brain to memorise numbers and other things</t>
  </si>
  <si>
    <t xml:space="preserve">'Inside of my body' means inside of my forehead.  </t>
  </si>
  <si>
    <t>Days of the week and months of the year sit like the white keys of a piano, with the weekend days raised. They run right to left, strange as I am right handed. Numbers &amp; years run like a clock</t>
  </si>
  <si>
    <t>other</t>
  </si>
  <si>
    <t>When I think about just  numbers, they don't form any kind of configuration, but if they refer to someone's age, I see a curved number line, with their current age at a particular place on the curve.</t>
  </si>
  <si>
    <t xml:space="preserve">with the days of the week. I don't necessarily have a 'generic week' (anymore) but i 'zoom in' to see the days of the week in the particular part of my visual calander i am at e.g the month etc </t>
  </si>
  <si>
    <t>My 0-10 numbers are broadly linear, but after that the numbers get far more interesting in the numberline shape. You may want to consider expanding your options beyond 9.</t>
  </si>
  <si>
    <t>I see numbers/years etc. as larger than a single point in space, clicking on a specific point on the screen didn't really work for me.</t>
  </si>
  <si>
    <t>well, it is kind of hard putting something that has no real space in my mind on a computer screen, e.g. the months are in a circle and i kept forgetting how big the circle was. Otherwise it was doable</t>
  </si>
  <si>
    <t>I see days of the week in the space outside of my body. However months and years are in an imagined space that has no real location. Numbers do not have a set placement as numbers</t>
  </si>
  <si>
    <t>Clicking in the computer was slightly harder because usually they appear directly in front of me (rather than on a flat surface like a screen). Easier to draw!</t>
  </si>
  <si>
    <t>bottom of the screen is closest to me, with the top of the screen being furthest.</t>
  </si>
  <si>
    <t>I was confused at what to do at first, but luckily as I clicked on the first number and it disappeared, it was in the right space.</t>
  </si>
  <si>
    <t xml:space="preserve">I can &amp;quotscroll&amp;quot through these months/days with my focus... like a &amp;quotswipe&amp;quot on an app in order to access information/memories. </t>
  </si>
  <si>
    <t>THE GAP IN THE CHARACTISTIC QUESTION TICK BOXES BETWEEN PERSPECTIVES AND BLOCKS LOOKED LIKE A MAN HANGING OFF CLIFF; WITH THE STRONG INTUITION NEEDING TO BE REPLACED WITH &lt;OR &gt;; WITH NO FEELING ON YRS</t>
  </si>
  <si>
    <t>I have always experienced the months of the year and days of the week exactly as shown in the first question, just a slightly different orientation. Also days are coloured.</t>
  </si>
  <si>
    <t xml:space="preserve">It would have been more useful if the days of the week and months could be rotated to appear on their sides as this is the way i view them in space </t>
  </si>
  <si>
    <t>Random combination of numbers, days AND months was frustrating.  Had the task been by each group, you would see a pattern.  Also, my number line follows a pattern beyond 9. That failed.</t>
  </si>
  <si>
    <t xml:space="preserve">This was a fairly accurate way for me to demonstrate what I see. </t>
  </si>
  <si>
    <t>I found it very difficult to put my 3d experience into a 2d computer screen. Much of the spatial sequences I experience are to the left or right of me, rather than in front of me</t>
  </si>
  <si>
    <t>n/a</t>
  </si>
  <si>
    <t>I recently found out that not everybody visualize numbers, days of the week and the year the way I do. That this is real is actually a great comfort to me :)</t>
  </si>
  <si>
    <t>I mostly have an intuition when it comes to writing and building conceptual maps on paper, in different sizes and quite specific locations for each word, almost as if following a reticule of meaning?</t>
  </si>
  <si>
    <t>Months and days of the week do not change -with NUMBERS - i only see what i NEED to see for mental athrimatic, the numbers move around.</t>
  </si>
  <si>
    <t>I tend to experience some of these sequences in all the ways you proposed; also, i see days of the week in &amp;quotfinger-shapes&amp;quot, so it was difficult to put them on a paper.</t>
  </si>
  <si>
    <t xml:space="preserve"> Months are viewed in a longer line for me. I see them crossing my body from my back to my front. Future on my front.  Days of week, a hybrid version</t>
  </si>
  <si>
    <t xml:space="preserve">I picture sequences in 3D, so asking me to put them on a 2D â€˜mapâ€™ makes no sense to me. Some of my answers would appear to overlap eg Friday Saturday Sunday, but they are in different places in 3D. </t>
  </si>
  <si>
    <t xml:space="preserve">it was very clear where the months should go but it was difficult to do the days and numbers on the screen.  my weeks are almost exactly as the illustration above </t>
  </si>
  <si>
    <t>It was difficult to have to do all of them on the same page or same time because I found myself imagining one on top of the other as I did it and it bothered my ocd. Maybe one at a time will be better</t>
  </si>
  <si>
    <t>I found it difficult to convey the patterns in 2D because my perspective changes frequently, so I had to concentrate on keeping the same perspective throughout the task</t>
  </si>
  <si>
    <t>Overlaid my sequences on the computer screen as they appear in front of me, although much larger scale in reality.</t>
  </si>
  <si>
    <t>Day, date, month left to right. Ascending top to bottom</t>
  </si>
  <si>
    <t>It was tough to place these on a screen. I see all numbers, days, months, years etc in big blocks of colors and letters in a spatial location that is hard to describe.</t>
  </si>
  <si>
    <t>This is something that I have experienced all my life and it has never changed - I think it shapes the way i think about things</t>
  </si>
  <si>
    <t>I found it difficult to place the days/numbers etc. in a 2D environment, because I experience them in a 3D environment.  Their location also depends on what day/month it is, so for example if today...</t>
  </si>
  <si>
    <t>Week days spacial positioning is relative to what day it actually is, although there is definition between standard weeks. If I zoom out from a week to month/year it becomes a spiral with layer years</t>
  </si>
  <si>
    <t>my weekdays shunt when it gets to the weekend so that I can start a new week.  Similarly by loop of months in the year shifts depending on when in the year it is. It was hard to show this in 2D</t>
  </si>
  <si>
    <t>it was hard for me to do this test as the blank space doesn't resemble the way i usually categories the days of the week or months or numbers, however i still had a strong intuitive pull to click</t>
  </si>
  <si>
    <t>A little hard to represent in 2D as they tend to be in a 3D type space and dependent on my perspective eg which month of the year it is, I'll be looking from that month so things look a bit different.</t>
  </si>
  <si>
    <t>numbers, days, months, years and decades are on a timeline which switches at a right angle around 1980 (year) assuming because I was born in 1981. I can scroll along this timeline or switch views.</t>
  </si>
  <si>
    <t>There is a spacial sequence for days of the week and months of the year but its positioning in relation to me depends on which day of the week and month of the year we are in.</t>
  </si>
  <si>
    <t xml:space="preserve"> when dealing with numbers 0-9 they are always how it appears on phones, when counting music in 4/4 time, it goes 1234 (4 times) then a tally is put on the side (until reaching ten tallys of 4 4s) and</t>
  </si>
  <si>
    <t>since numbers are infinite I had a hard time figuring out how much to 'zoom' in on them. i decided to only focus on numbers from 0 to 9, but in my head the image goes on into the distance</t>
  </si>
  <si>
    <t>I see months of the year in a rounded square, falling in the same place and are certain colors. Days of the week in perspective-as they are going away from me. also time is in a broken up spiral</t>
  </si>
  <si>
    <t>months:rotational sequence, week:blocked ladder, numbers: zigzag in orientation, letters: horizontal, days: weekend: curve, weekdays;straight line, time; same degree as the clock, since childhood</t>
  </si>
  <si>
    <t>its like a map that has rules. it is very easy to visualize and to hold in my head. the years are like a spiral in infinite space that I can follow.</t>
  </si>
  <si>
    <t>I see the months in a circle when I think about time but it felt better to put them along a horizontal line for this experiment. I also did this test before (in Aug/Sep 16) so I knew what to expect</t>
  </si>
  <si>
    <t>I found it a bit difficult to place days of the week as it depends if it was eg last Friday (behind me to the left) or next Friday (in front of me to the right, but further away as today is Sunday)</t>
  </si>
  <si>
    <t>I see numbers, days of the week, the months of the years and also years exactly as represented in the cartoon b) with some shading (for ex. half light / full light)</t>
  </si>
  <si>
    <t xml:space="preserve">I love that when I need to remember something- I just take a little trip around the circle in my mind, land at the color (of that month) and them zoom in on the day in history of my life. </t>
  </si>
  <si>
    <t>The visualisation of time is fluid. It changes as time moves - my perspective of january is different when it is january (i'm in it) vs when it is July (its across the way)</t>
  </si>
  <si>
    <t>I found it quite straightforward to plot where I see the months of the year and days of the week.  Numbers I visualise in my head as having a space but I found it hard to plot this on the screen</t>
  </si>
  <si>
    <t xml:space="preserve">My big landscape computer screen does not reflect well the way I see/feel numbers. Postitive numbers start on the left hand side of my body, almost below the body and then run up to 100 above my head </t>
  </si>
  <si>
    <t>I realised I got Saturday and Sunday the wrong way around during the experiment. You may notice.</t>
  </si>
  <si>
    <t>I was looking for a pattern a within the over all sequence.  Not placement of each element within the sequence</t>
  </si>
  <si>
    <t>The experiment did not allow me to accurately capture the multi-dimensional and fluid nature of some of my spatial configurations. (i.e. I view  days of the week as if standing on a wheel which moves)</t>
  </si>
  <si>
    <t>The way I arranged things on the screen isn't exactly the same way I visualize them in my mind, as in my mind they're in a three dimensional space which doesn't easily translate to 2D.</t>
  </si>
  <si>
    <t xml:space="preserve">i found it made me a bit anxious having to switch between the different locations for days months &amp; numbers. It was hard to place the days and numbers in 2D as they usually slope away from me </t>
  </si>
  <si>
    <t>It's hard for me to put days/months/numbers/letters in a SEQUENCE, but they live in certain locations relative to a fixed point and to one another - it's just how they are.</t>
  </si>
  <si>
    <t>Finally this is getting mapped!</t>
  </si>
  <si>
    <t xml:space="preserve">I see numbers as a diagonal upwards line, with the slope getting less steep and further away after 20. Months are clockwise in a ring (I'm on today's date). Days of week are also a ring. </t>
  </si>
  <si>
    <t>Weeks &amp; months are circular and numbers,decades &amp; centuries are on a line. In the experiment things started to get mixed up eg. Wednesday pops up and I see 3 on the week circle.</t>
  </si>
  <si>
    <t>I struggled to answer the question about where I visualise the numbers, it's imaginary but it's out in front of me. I visualise time as a clock face extended 24hr but not numbers alone.</t>
  </si>
  <si>
    <t>i automatically arranged from top to bottom. felt like they had to go that way.</t>
  </si>
  <si>
    <t>The spatial sequence of the numbers, months, etc. depend somewhat on where I am currently.  For example, I am plotted on the graph and view the layout from that perspective.</t>
  </si>
  <si>
    <t>My image is too large for the computer screen so I had to reduce it in size to fit which made it confusing at first</t>
  </si>
  <si>
    <t>A few of my answers were in the wrong location do to accidental clicks. numbers and years are always in an ascending spiraling counter clockwise pattern</t>
  </si>
  <si>
    <t>Months for me go from far away from my body to the left to behind my hip on the right; numbers, years and days of the week run left to right like a number line; height evokes a personal time and place</t>
  </si>
  <si>
    <t>The spatial sequences I experiment are changing constantly (if I think of a particular moment of the week it will like &amp;quotzoom&amp;quot into it. The sequences can be blurry or very clear, but always transparent</t>
  </si>
  <si>
    <t>The suggested shapes for sequences did not match my shapes. But, it was hard to click the spot relative to the other numbers because the 2d white screen doesn't accommodate depth. T</t>
  </si>
  <si>
    <t>Since the numbers only went from 1-10, i wasn't able to show how they appear in a line up until the number 20, when it takes a turn 90 degrees. stays in a line until 100, then 90 degrees left</t>
  </si>
  <si>
    <t>I tried to use the numbers as time but my answer for each time depends on the day as what I &amp;quotsee&amp;quot is based on my schedule so in the end I just clicked beside the numbers.</t>
  </si>
  <si>
    <t xml:space="preserve">I often imagine things being closer or further away from me in my imagined space &amp; I can shift perspective and look at the same sequence from different angles. </t>
  </si>
  <si>
    <t xml:space="preserve"> I am standing on the current month tile and the others change size slightly depending on what month it is and how far away it is. I can look around and see the other months. </t>
  </si>
  <si>
    <t xml:space="preserve">Months, days, etc. all take up a large amount of area that didn't exactly align with a computer screen, so I found it hard to transfer what I see into a small clicked location on the screen </t>
  </si>
  <si>
    <t>I had no idea what was happening with the blank screen and a lone number. Some instructions would have been useful. I reloaded the page several times before just starting to randomly click.</t>
  </si>
  <si>
    <t>i didn't see an instruction page. was i supposed to move the words? all it allowed me to do was click and show the next word...</t>
  </si>
  <si>
    <t>There's more than just that. Time, hours, money, math. Any number that comes in any form (ie minutes v. seconds, 10s v. 100s) ALL have different positions, colors and shapes. There are DOZENS of forms</t>
  </si>
  <si>
    <t>Once I read the number, day of the week or month of the year it jumped in place in my sequence</t>
  </si>
  <si>
    <t xml:space="preserve">not a test for me </t>
  </si>
  <si>
    <t>Mouse was not very accurate.  Does not usually see sequesnces this way but said he did have instinct as to where some units were supposed to be.</t>
  </si>
  <si>
    <t>I found it hard to translate what I saw into 2D - I see spirals and gradients in 3D with an element of depth - some sequences tend to disappear into the distance</t>
  </si>
  <si>
    <t>I found it difficult to exactly place say 6 when I wasn't sure exactly where I'd said 5 or 7 were. Obviously they would be sequential in my mind!</t>
  </si>
  <si>
    <t>I found it hard to place zero as I only use that/see that  when using negative numbers  It was important that each figure/word sat in the right place in relation to all of the others</t>
  </si>
  <si>
    <t>the numbers I actively decided to make as a numberline along the bottom of the screen. The days of the week seemed to have an obvious cycle within my mind as a 2d plain that wraps around so sunday...</t>
  </si>
  <si>
    <t>During the test I saw the data (days and numbers and months) as if on the computer screen. I am able to think of them as objects in a dark space in 3d in my mind but didn't do this for the test.</t>
  </si>
  <si>
    <t>I wasn't sure how many numbers were coming (0-1000 etc) so at first I wasn't sure how long the line was. In my head 1-20 go up then from 20-100 they go along, but the months confused me</t>
  </si>
  <si>
    <t>days of the week and numbers also have colours and personalities</t>
  </si>
  <si>
    <t>I projected my shapes onto the screen, which is a little artificial because I don't see them at a particular distance. It took a couple of minutes to adjust to this.</t>
  </si>
  <si>
    <t xml:space="preserve">It was difficult for me to place the numbers because I didn't know beforehand how many of them would be part of the test, and thought it would be days of the months (i.e. 30 or 31 numbers) </t>
  </si>
  <si>
    <t xml:space="preserve">I found it hard to plot on a 2D surface as experience in 3D. Visualise numbers on a scale with 0 starting at my hip and projecting outwards towards 100, so single digit numbers are close together. </t>
  </si>
  <si>
    <t xml:space="preserve">I know I have spacial forms! I tried to translate them the best I could, because mine use a lot of zooming the &amp;quotcamera&amp;quot and moving around it was hard. </t>
  </si>
  <si>
    <t>months of the year have a definite location. numbers and days don't have any location, but sometimes I put numbers in clock formation</t>
  </si>
  <si>
    <t>This also applies to time of day for me. Numbers are always in a straight line (different directions depending on quantity). Time/hour of day is circular. The week is a D-shape. A year is oval-ish.</t>
  </si>
  <si>
    <t xml:space="preserve">Numbers, days, months, are always related to each other, not isolated. When I think of &amp;quotnumber 5, it's in relation with numbers around it. As with days and months. The months are in oval shape. </t>
  </si>
  <si>
    <t xml:space="preserve">never really thought about numbers or the alphabet as having a specific location but when I thought about IF they did then I realized that they do a little however I don't think about it as much as t </t>
  </si>
  <si>
    <t>It took a while to work out what the test was going to be and so if I were to retake, I would be better able to place my answers according to what I see in my head</t>
  </si>
  <si>
    <t>The direction of the &amp;quotblock&amp;quot and perspective of the sequence matters. Also, concepts are viewed based on what I'm looking at. Ex. seeing the year from Apr vs Oct</t>
  </si>
  <si>
    <t xml:space="preserve">Months lie on a tilted ellipse, in a 2-year pattern.Numbers to 10 lie on a right tilted line. 20-29, 30-39 etc lie on a 3D comb pattern on left tilted lines. Days linear  I can sketch if you need it. </t>
  </si>
  <si>
    <t>I experience these things as colours and in a particular place, but they are not connected to each other in any way that i can perceive</t>
  </si>
  <si>
    <t>I see this all in my mind's eye. When I visualise the months I always stand behind October but am able to zoom into months when I want to. I see the days of the week Monday to Friday and w/e seperate</t>
  </si>
  <si>
    <t>In Q1, I identify with both a and b however, I see the MONTHS counterclockwise. January does start in approximately the same position. 100 is behind me to my right.</t>
  </si>
  <si>
    <t>I found it hard to translate my spatial configurations to a completely blank white computerscreen. And seeing them 1 at a time meant they weren't anchored to anything, just floating in a white sea.</t>
  </si>
  <si>
    <t>Where do you tend to routinely experience these sequences? I see the spatial layout around me, but it is also visible in my head - so it is a very strong feeling inside that I visualise externally too</t>
  </si>
  <si>
    <t>1) Difficult to put items in 2D as they're in 3D.  2) I'd give other answers to questions (particularly months) @ different times of the year, as I move around the sequences.  3) Sunday has 2 places</t>
  </si>
  <si>
    <t>Along with seeing colors/shapes in front of me when dealing with numbers, letters, etc. they also have a certain &amp;quotfeel&amp;quot to them. The closest sensation I can describe is that of static electricity.</t>
  </si>
  <si>
    <t>It didn't occur to me that people don't always think of numbers, days, months etc 'appearing' in some sort of visual sequence.</t>
  </si>
  <si>
    <t xml:space="preserve">Since I couldn't see where I had put any of the numbers, months, days after I placed them they probably do not represent my line of thinking and arrangement. </t>
  </si>
  <si>
    <t>I orientated it as if the number/day/month was the top of my head with my eyes 'facing' the browser bar. Numbers are always behind me, days of the week are front left and months are front right.</t>
  </si>
  <si>
    <t>months of the year are like a clock moving round</t>
  </si>
  <si>
    <t>Was slightly harder to positing the numbers on a 2d space as they twist and turn in a 3d manner.</t>
  </si>
  <si>
    <t>unsure about 3D or 2D  as my numbers go beyond the flat plane, so probably 3D, but unsure/</t>
  </si>
  <si>
    <t>No conscious strategy. Placement just &amp;quotfelt&amp;quot  appropriate or correct.</t>
  </si>
  <si>
    <t>Months are a donut in horizonal position, January touching my chest. The days of the week are a sinusoide, Sunday at the lowest point. The numbers have perspective from my left shoulder, 0 the closest</t>
  </si>
  <si>
    <t>i see days of the week and months of the year in a particular shape but although its the same same, it's orientation changes depending on where i am in the week/year. I see it all in 3D in front of me</t>
  </si>
  <si>
    <t>I see blocks of time extending in a fixed 3D pathway off and behind my left shoulder, years and decades have different levels, and the pathway changes direction. So tricky to place on a 2D screen.</t>
  </si>
  <si>
    <t>Piano seems to be mapped isomorphically to myself. Western major/minor scales (7) = days of the week. Western octave (12) = months of the year. Some weeks are happy/sad. Some years have certain keys.</t>
  </si>
  <si>
    <t>Numbers retain a vague spacial presence. For ages/years, it is more clear and precise and follows a ladder type pattern.</t>
  </si>
  <si>
    <t>The screen is static and for example for the months I see them in a roll, so the point  is fixed and they move, which cannot be represented on a 2D surface.</t>
  </si>
  <si>
    <t>Numbers 1-12 are located close to Months 1-12 . Sunday is first from the left.</t>
  </si>
  <si>
    <t>I visualise numbers clearly up until 1mil making it difficult to express on a computer screen (imagined location, alphabet as well). Days/months take place outside my body and alters depending on time</t>
  </si>
  <si>
    <t>I realised afterwards that I wasn't allowing myself to &amp;quotsee&amp;quot my numbers because there was an actual screen in front of me. I see numbers going from neg. to infinity in a vertical row that I scan up</t>
  </si>
  <si>
    <t>It was difficult to put the numbers in the right place as the numbers 0-10 travel away from me in 3D space so in 2D, they're almost on top of one another</t>
  </si>
  <si>
    <t>For the numbers the scale between 1 and 20 it has a certain shape and then it shift to a wider one, I was expecting bigger numbers so my clicking for numbers is biased.</t>
  </si>
  <si>
    <t>I see the months as a circle and can zoom in on areas to see the days of the week along that section of the circle.</t>
  </si>
  <si>
    <t xml:space="preserve">I don't use strategy, I don't think about these things. I see the numbers or days of the week or months in certain colors and arrangements in my mind. I always see them, I always have seen them. </t>
  </si>
  <si>
    <t>I struggled only to decide on which side to place days of the week because I see it as a 2 week day cycle. Sun-Sat on top and the second week which I call up week Sun-Sat but reversed.</t>
  </si>
  <si>
    <t>I see the days of the week as an irregular cycle that circles around my head like a 3D halo. The weekdays are in front of me and it is though i'd have to turn my head around to see saturday and sunday</t>
  </si>
  <si>
    <t>I struggled to put the days of the week and months into a 2D form because I see them in a perspective view. So january (as we are near the end of it) for example is mostly behind me</t>
  </si>
  <si>
    <t>because I was doing a mixture of numbers days and months, I somehow amalgamated my inner spatial systems into a linear format simultaneously, but ordinarily, they can also be in a 'wheel' shape etc..</t>
  </si>
  <si>
    <t xml:space="preserve">Spacing the numbers and days of the week was difficult because the way I see them is in shades of dark and light, so some are closer together than others. </t>
  </si>
  <si>
    <t xml:space="preserve">The numbers do not reflect how I really see numbers. I see low number 1-20 as below my body in space. I picture all these sequences in a 3d environment around my body. Some items are in light / dark. </t>
  </si>
  <si>
    <t>I was confused by the exercice, It took me a moment to allow myself to visual numbers/letters/month on the blank page</t>
  </si>
  <si>
    <t>Visualisation in blocks. or a semi circle for the months of the year  - shaded in differetn colours</t>
  </si>
  <si>
    <t>It made sense to put everything in a linear order to me, from the lowest to highest, or from the first to the last in terms of days/months, starting from the left and going to the right.</t>
  </si>
  <si>
    <t>I see months in 3D and they are colourful, while days are in 2d and black and white. Numbers can be either 2 or 3D, usually black.</t>
  </si>
  <si>
    <t>Apologyze that i sometimes the numbers-days-months would go very fast and then when tried to put them, there were put in either the previous category or i skipped them</t>
  </si>
  <si>
    <t>I am able to move around my diagrams/sequences and visualise them from different angles. For example, event happening in June, I can 'stand' on Jan and look down to June.</t>
  </si>
  <si>
    <t>I re-took the test.  First time I did not realize I was in Google Chrome.  Sorry about that!  Did my best to plot everthing.</t>
  </si>
  <si>
    <t xml:space="preserve">I often count the letters and symbols in sentences that I read and hear; preferring them to add up to multiples of 5's. I also often see  numbers more like the dots on a domino, than a single symbol. </t>
  </si>
  <si>
    <t xml:space="preserve">I think the hardest part was just deciding where to project the 3 types of sequences into the space so they didn't overlap and hadn't enough space to reasonably re-place them when asked again. </t>
  </si>
  <si>
    <t>Days of the week: I started this from today Tuesday, and didn't express the pattern well. If I'm not thinking about today, my week goes straight Mon- Fri, at right angles Sat-Sun, then straight again.</t>
  </si>
  <si>
    <t>For numbers, the way my spatial map is organized is relative to other numbers, so one number on it's own doesn't hold an exact space, unless placed next to other numbers in the sequence. I can draw it</t>
  </si>
  <si>
    <t>I think I forgot where I'd previously put some categories and misplaced them (eg put them in a different place that I wanted)</t>
  </si>
  <si>
    <t>It was interesting to rank them without being able to see. I would have liked to have seen what I had actually put afterwards! I imagined I was writing them on a page, 'Imaginary overlap' troubled me!</t>
  </si>
  <si>
    <t>Because I didn't know how high the numbers would go (I might have missed it in the instructions), I wasn't sure how far apart to space their positions on the screen. I think they were a bit crowded.</t>
  </si>
  <si>
    <t>I didnâ€™t realize I see months in colors but not all months. The test was har since my plane of days doesnâ€™t lay on top of months. It would be better to do them separate. The positions would be more ac</t>
  </si>
  <si>
    <t xml:space="preserve">Hard to plot things in 2D, as I move with my numbers depending on where they are, but I am aware that I have moved. 0 is 'home' or closest to me. I also change perspective with months as they loop. </t>
  </si>
  <si>
    <t>For &amp;quotwhat kind of characteristics etc.&amp;quot, my sense of spatial months isn't visual. I don't have a very visual mind, so I don't &amp;quotsee&amp;quot the circle of months, I feel them. For weeks and days I used a line.</t>
  </si>
  <si>
    <t xml:space="preserve">All the numbers were below 10 so they landed in a similar area, but I see them in order with 0 on the bottom and then upwards and slightly to the right as the numbers go up. </t>
  </si>
  <si>
    <t>Days of the week are up in the air. Numbers are on my right. Months are below in the air.</t>
  </si>
  <si>
    <t xml:space="preserve">I feel numbers/months/days around my body, so I imagined myself in the center of the screen and then tried to place the numbers/months/days around me. </t>
  </si>
  <si>
    <t>I see time, numbers, images in a 3D pattern that exists in a space around me. Months and weeks are elipses, years zig zag. I always see it this way, and I exist within the timeline or number sequence.</t>
  </si>
  <si>
    <t>Days of the Week and Months are easy on a 2D surface since they are ovals, but numbers are more difficult to demostrate because they follow a wandering path</t>
  </si>
  <si>
    <t>I didn't realise that I was unclear about how I visualised months - but this showed me I was!</t>
  </si>
  <si>
    <t>While here I visualized days of the week in a straight line, typically they go in a circular sort of pattern. It's just my instinct in relating them on a screen put them in a line.</t>
  </si>
  <si>
    <t>For me months are more like elevation so the white 2D space was a bit more complicated, but I tried to put them In reference to distance from the center point.</t>
  </si>
  <si>
    <t>The days of the week was tricky in 2D as I see these as a 3D spiral where I'm travelling through the week before changing direction at the end of the week and returning on myself, week by week.</t>
  </si>
  <si>
    <t>Numbers are in a long line to from 0-100 right to left. days of the week are in a list monday at the top, sunday at bottom. Months are 4 x rows of 3 - I think this could be from diary formats.</t>
  </si>
  <si>
    <t>I think about months of the year as small blocks on a 3D-oval sequence. Some are larger, some are very thin.I can see them with a changing perspective(i.e. my perspective changes based on the month)</t>
  </si>
  <si>
    <t>For me, the months and years take on a shape that is in a two year sequence and shaped like an American football and &amp;quotflips&amp;quot at the end of the year.</t>
  </si>
  <si>
    <t>I was confused as to where to put the numbers in the clicking portion. I didn't know the range of numbers I would be presented with nor the context, I have a few different ways I see numbers</t>
  </si>
  <si>
    <t>When I was putting in my specific answers, I noticed that the answers sometimes changed based on the last couple of questions' answers.</t>
  </si>
  <si>
    <t>I see the numbers, letters, hours and years in a line, I see weeks and month of a year in a circle, I can loop/line it, I did loop the number for puting them on a screen</t>
  </si>
  <si>
    <t>This experiment was hard for me, because I see those words and numbers inside my mind, not in a screen in front of me. Also, when I see the sequences they move forwards or backwards.</t>
  </si>
  <si>
    <t>I started off not quite sure what to do with this, or more, how the feature would work. Drag and drop might have been easier for the first one onward</t>
  </si>
  <si>
    <t>days, months and years are to see in a connected spiral without cut between the years where my memories are saved like on a video tape. if i want to remember something, i zoom in and &amp;quotwatch&amp;quot the clip</t>
  </si>
  <si>
    <t>When the months of the year are near me (as the month that we are currently in is next to me in the space) they are flat and the further away the month the higher the block they are on.</t>
  </si>
  <si>
    <t>I picture the days of the week and the months in relation to what day and month it is, they are central and the past days wander off to the left and the future days months  wander off to the right and</t>
  </si>
  <si>
    <t>consistency</t>
  </si>
  <si>
    <t>SD_simulation</t>
  </si>
  <si>
    <t>z-score</t>
  </si>
  <si>
    <t>consistency_score</t>
  </si>
  <si>
    <t>age</t>
  </si>
  <si>
    <t>gender</t>
  </si>
  <si>
    <t>x_sd</t>
  </si>
  <si>
    <t>y_sd</t>
  </si>
  <si>
    <t>Q3 Where do you tend to routinely experience these sequences? (1= in the space outside my body; 2= on an imagined space that has no real location; 3= inside my body; 4= this doesn't apply to me!)</t>
  </si>
  <si>
    <t>Q1 . Some people routinely think about sequences as arranged in a particular spatial configuration (as in the examples below), do you think this might apply to you? (1=strongly agree, 5= strongly disagree)</t>
  </si>
  <si>
    <t>mean_simulation_Z</t>
  </si>
  <si>
    <t>Q2_numbers (1=present, 0=absent)</t>
  </si>
  <si>
    <t>Q2_days  (1=present, 0=absent)</t>
  </si>
  <si>
    <t>Q2_months  (1=present, 0=absent)</t>
  </si>
  <si>
    <t>Q2_years (1=present, 0=absent)</t>
  </si>
  <si>
    <t>Q2_letters (1=present, 0=absent)</t>
  </si>
  <si>
    <t>Q2_temperature (1=present, 0=absent)</t>
  </si>
  <si>
    <t>Q2_height (1=present, 0=absent)</t>
  </si>
  <si>
    <t>Q2_weight (1=present, 0=absent)</t>
  </si>
  <si>
    <t>Q4_colours (1=present, 0=absent)</t>
  </si>
  <si>
    <t>Q4_shading (1=present, 0=absent)</t>
  </si>
  <si>
    <t>Q4_2D (1=present, 0=absent)</t>
  </si>
  <si>
    <t>Q4_3D (1=present, 0=absent)</t>
  </si>
  <si>
    <t>Q4_perspective (1=present, 0=absent)</t>
  </si>
  <si>
    <t>Q4-blocks-or-tiles (1=present, 0=absent)</t>
  </si>
  <si>
    <t>Q4_font (1=present, 0=absent)</t>
  </si>
  <si>
    <t>Q5 Before doing this experiment, I always thought about NUMBERS as existing in a particular spatial sequence (1= strongly agree; 5= strongly disagree)</t>
  </si>
  <si>
    <t>Q6 Before doing this experiment, I always thought about DAYS OF THE WEEK as existing in a particular spatial sequence (1= strongly agree; 5= strongly disagree)</t>
  </si>
  <si>
    <t>Q7 Before doing this experiment, I always thought about MONTHS OF THE YEAR as existing in a particular spatial sequence (1= strongly agree; 5= strongly disagree)</t>
  </si>
  <si>
    <t>Q8 I use this way of thinking about spatial sequences in my everyday life (1= strongly agree; 2= strongly disagree)</t>
  </si>
  <si>
    <t xml:space="preserve">Q9 When doing the experiment, I didn't have any strong intuition as to where to put the NUMBERS (1= strongly agree; 5= strongly disagree) </t>
  </si>
  <si>
    <t xml:space="preserve">Q10 When doing the experiment, I didn't have any strong intuition as to where to put the DAYS OF THE WEEK (1= strongly agree; 5= strongly disagree) </t>
  </si>
  <si>
    <t xml:space="preserve">Q11 When doing the experiment, I didn't have any strong intuition as to where to put the MONTHS OF THE YEAR (1= strongly agree; 5= strongly disagree) </t>
  </si>
  <si>
    <t xml:space="preserve">Q12 This experiment didn't really make much sense to me (1= strongly agree, 5= strongly disagree) </t>
  </si>
  <si>
    <t>Q13 Feel free to enter any comments here. E.g. what strategy did you use? Do you want to clarify any of the above answers?</t>
  </si>
  <si>
    <t>questionnaire score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</si>
</sst>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
      <patternFill patternType="solid">
        <fgColor rgb="FF92D05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7">
    <xf numFmtId="0" fontId="0" fillId="0" borderId="0" xfId="0"/>
    <xf numFmtId="22" fontId="0" fillId="0" borderId="0" xfId="0" applyNumberFormat="1"/>
    <xf numFmtId="11" fontId="0" fillId="0" borderId="0" xfId="0" applyNumberFormat="1"/>
    <xf numFmtId="0" fontId="0" fillId="33" borderId="0" xfId="0" applyFill="1"/>
    <xf numFmtId="0" fontId="16" fillId="33" borderId="0" xfId="0" applyFont="1" applyFill="1" applyAlignment="1">
      <alignment horizontal="center"/>
    </xf>
    <xf numFmtId="0" fontId="0" fillId="34" borderId="0" xfId="0" applyFill="1"/>
    <xf numFmtId="0" fontId="0" fillId="0" borderId="0" xfId="0" applyFill="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N805"/>
  <sheetViews>
    <sheetView tabSelected="1" topLeftCell="AA233" workbookViewId="0">
      <selection activeCell="AG252" sqref="AG252"/>
    </sheetView>
  </sheetViews>
  <sheetFormatPr baseColWidth="10" defaultColWidth="8.83203125" defaultRowHeight="15" x14ac:dyDescent="0.2"/>
  <cols>
    <col min="2" max="2" width="9.1640625" customWidth="1"/>
    <col min="5" max="5" width="13.33203125" customWidth="1"/>
    <col min="33" max="33" width="44" customWidth="1"/>
    <col min="34" max="34" width="8.83203125" style="6"/>
    <col min="35" max="37" width="8.83203125" style="3"/>
    <col min="38" max="39" width="9.1640625" style="3"/>
    <col min="40" max="40" width="8.83203125" style="3"/>
  </cols>
  <sheetData>
    <row r="1" spans="1:40" x14ac:dyDescent="0.2">
      <c r="A1" t="s">
        <v>0</v>
      </c>
      <c r="B1" t="s">
        <v>1</v>
      </c>
      <c r="C1" t="s">
        <v>185</v>
      </c>
      <c r="D1" t="s">
        <v>184</v>
      </c>
      <c r="E1" t="s">
        <v>183</v>
      </c>
      <c r="F1" t="s">
        <v>186</v>
      </c>
      <c r="G1" t="s">
        <v>187</v>
      </c>
      <c r="H1" t="s">
        <v>189</v>
      </c>
      <c r="I1" t="s">
        <v>191</v>
      </c>
      <c r="J1" t="s">
        <v>192</v>
      </c>
      <c r="K1" t="s">
        <v>193</v>
      </c>
      <c r="L1" t="s">
        <v>194</v>
      </c>
      <c r="M1" t="s">
        <v>195</v>
      </c>
      <c r="N1" t="s">
        <v>196</v>
      </c>
      <c r="O1" t="s">
        <v>197</v>
      </c>
      <c r="P1" t="s">
        <v>198</v>
      </c>
      <c r="Q1" t="s">
        <v>188</v>
      </c>
      <c r="R1" t="s">
        <v>199</v>
      </c>
      <c r="S1" t="s">
        <v>200</v>
      </c>
      <c r="T1" t="s">
        <v>201</v>
      </c>
      <c r="U1" t="s">
        <v>202</v>
      </c>
      <c r="V1" t="s">
        <v>203</v>
      </c>
      <c r="W1" t="s">
        <v>204</v>
      </c>
      <c r="X1" t="s">
        <v>205</v>
      </c>
      <c r="Y1" t="s">
        <v>206</v>
      </c>
      <c r="Z1" t="s">
        <v>207</v>
      </c>
      <c r="AA1" t="s">
        <v>208</v>
      </c>
      <c r="AB1" t="s">
        <v>209</v>
      </c>
      <c r="AC1" t="s">
        <v>210</v>
      </c>
      <c r="AD1" t="s">
        <v>211</v>
      </c>
      <c r="AE1" t="s">
        <v>212</v>
      </c>
      <c r="AF1" t="s">
        <v>213</v>
      </c>
      <c r="AG1" t="s">
        <v>214</v>
      </c>
      <c r="AH1" s="6" t="s">
        <v>180</v>
      </c>
      <c r="AI1" s="3" t="s">
        <v>215</v>
      </c>
      <c r="AL1" s="4" t="s">
        <v>190</v>
      </c>
      <c r="AM1" s="4" t="s">
        <v>181</v>
      </c>
      <c r="AN1" s="4" t="s">
        <v>182</v>
      </c>
    </row>
    <row r="2" spans="1:40" x14ac:dyDescent="0.2">
      <c r="A2">
        <v>28740</v>
      </c>
      <c r="B2" s="1">
        <v>43387.676689814813</v>
      </c>
      <c r="C2" t="s">
        <v>3</v>
      </c>
      <c r="D2">
        <v>21</v>
      </c>
      <c r="E2">
        <v>4.7638103925216002E-2</v>
      </c>
      <c r="F2">
        <v>0.27471440915915002</v>
      </c>
      <c r="G2">
        <v>0.20139040513661</v>
      </c>
      <c r="H2">
        <v>1</v>
      </c>
      <c r="I2">
        <v>1</v>
      </c>
      <c r="J2">
        <v>1</v>
      </c>
      <c r="K2">
        <v>1</v>
      </c>
      <c r="L2">
        <v>1</v>
      </c>
      <c r="M2">
        <v>1</v>
      </c>
      <c r="N2">
        <v>1</v>
      </c>
      <c r="O2">
        <v>0</v>
      </c>
      <c r="P2">
        <v>1</v>
      </c>
      <c r="Q2">
        <v>2</v>
      </c>
      <c r="R2">
        <v>1</v>
      </c>
      <c r="S2">
        <v>0</v>
      </c>
      <c r="T2">
        <v>1</v>
      </c>
      <c r="U2">
        <v>0</v>
      </c>
      <c r="V2">
        <v>1</v>
      </c>
      <c r="W2">
        <v>0</v>
      </c>
      <c r="X2">
        <v>0</v>
      </c>
      <c r="Y2">
        <v>1</v>
      </c>
      <c r="Z2">
        <v>1</v>
      </c>
      <c r="AA2">
        <v>1</v>
      </c>
      <c r="AB2">
        <v>1</v>
      </c>
      <c r="AC2">
        <v>5</v>
      </c>
      <c r="AD2">
        <v>5</v>
      </c>
      <c r="AE2">
        <v>5</v>
      </c>
      <c r="AF2">
        <v>5</v>
      </c>
      <c r="AH2" s="6">
        <f t="shared" ref="AH2:AH65" si="0">E2</f>
        <v>4.7638103925216002E-2</v>
      </c>
      <c r="AI2" s="3">
        <f>H2+Y2+Z2+AA2+AB2+(6-AC2)+(6-AD2)+(6-AE2)+(6-AF2)</f>
        <v>9</v>
      </c>
      <c r="AJ2" s="3" t="str">
        <f t="shared" ref="AJ2" si="1">IF(AK2=1,"passed","failed")</f>
        <v>passed</v>
      </c>
      <c r="AK2" s="3">
        <f>IF(AI2&lt;20,1,0)</f>
        <v>1</v>
      </c>
      <c r="AL2" s="3">
        <v>4.3167766392078422</v>
      </c>
      <c r="AM2" s="3">
        <v>0.71112062804464926</v>
      </c>
      <c r="AN2" s="3">
        <v>-6.0033957206688973</v>
      </c>
    </row>
    <row r="3" spans="1:40" x14ac:dyDescent="0.2">
      <c r="A3">
        <v>28746</v>
      </c>
      <c r="B3" s="1">
        <v>43387.742303240739</v>
      </c>
      <c r="C3" t="s">
        <v>3</v>
      </c>
      <c r="D3">
        <v>47</v>
      </c>
      <c r="E3">
        <v>6.7366690253875997E-2</v>
      </c>
      <c r="F3">
        <v>0.29815534806888999</v>
      </c>
      <c r="G3">
        <v>7.9030593751156994E-2</v>
      </c>
      <c r="H3">
        <v>1</v>
      </c>
      <c r="I3">
        <v>1</v>
      </c>
      <c r="J3">
        <v>1</v>
      </c>
      <c r="K3">
        <v>1</v>
      </c>
      <c r="L3">
        <v>1</v>
      </c>
      <c r="M3">
        <v>1</v>
      </c>
      <c r="N3">
        <v>1</v>
      </c>
      <c r="O3">
        <v>1</v>
      </c>
      <c r="P3">
        <v>1</v>
      </c>
      <c r="Q3">
        <v>2</v>
      </c>
      <c r="R3">
        <v>1</v>
      </c>
      <c r="S3">
        <v>0</v>
      </c>
      <c r="T3">
        <v>0</v>
      </c>
      <c r="U3">
        <v>1</v>
      </c>
      <c r="V3">
        <v>1</v>
      </c>
      <c r="W3">
        <v>0</v>
      </c>
      <c r="X3">
        <v>0</v>
      </c>
      <c r="Y3">
        <v>1</v>
      </c>
      <c r="Z3">
        <v>1</v>
      </c>
      <c r="AA3">
        <v>1</v>
      </c>
      <c r="AB3">
        <v>1</v>
      </c>
      <c r="AC3">
        <v>5</v>
      </c>
      <c r="AD3">
        <v>5</v>
      </c>
      <c r="AE3">
        <v>5</v>
      </c>
      <c r="AF3">
        <v>5</v>
      </c>
      <c r="AG3" t="s">
        <v>7</v>
      </c>
      <c r="AH3" s="6">
        <f t="shared" si="0"/>
        <v>6.7366690253875997E-2</v>
      </c>
      <c r="AI3" s="3">
        <f t="shared" ref="AI2:AI65" si="2">H3+Y3+Z3+AA3+AB3+(6-AC3)+(6-AD3)+(6-AE3)+(6-AF3)</f>
        <v>9</v>
      </c>
      <c r="AJ3" s="3" t="str">
        <f t="shared" ref="AJ3:AJ66" si="3">IF(AK3=1,"passed","failed")</f>
        <v>passed</v>
      </c>
      <c r="AK3" s="3">
        <f t="shared" ref="AK3:AK66" si="4">IF(AI3&lt;20,1,0)</f>
        <v>1</v>
      </c>
      <c r="AL3" s="3">
        <v>1.714861151304796</v>
      </c>
      <c r="AM3" s="3">
        <v>0.29402663922234051</v>
      </c>
      <c r="AN3" s="3">
        <v>-5.6032149515714371</v>
      </c>
    </row>
    <row r="4" spans="1:40" x14ac:dyDescent="0.2">
      <c r="A4">
        <v>28779</v>
      </c>
      <c r="B4" s="1">
        <v>43388.413842592592</v>
      </c>
      <c r="C4" t="s">
        <v>3</v>
      </c>
      <c r="D4">
        <v>43</v>
      </c>
      <c r="E4">
        <v>0.10235184415291999</v>
      </c>
      <c r="F4">
        <v>0.26051513345964</v>
      </c>
      <c r="G4">
        <v>0.20100680583302</v>
      </c>
      <c r="H4">
        <v>1</v>
      </c>
      <c r="I4">
        <v>1</v>
      </c>
      <c r="J4">
        <v>1</v>
      </c>
      <c r="K4">
        <v>1</v>
      </c>
      <c r="L4">
        <v>1</v>
      </c>
      <c r="M4">
        <v>1</v>
      </c>
      <c r="N4">
        <v>1</v>
      </c>
      <c r="O4">
        <v>1</v>
      </c>
      <c r="P4">
        <v>1</v>
      </c>
      <c r="Q4">
        <v>3</v>
      </c>
      <c r="R4">
        <v>1</v>
      </c>
      <c r="S4">
        <v>1</v>
      </c>
      <c r="T4">
        <v>1</v>
      </c>
      <c r="U4">
        <v>0</v>
      </c>
      <c r="V4">
        <v>0</v>
      </c>
      <c r="W4">
        <v>1</v>
      </c>
      <c r="X4">
        <v>0</v>
      </c>
      <c r="Y4">
        <v>1</v>
      </c>
      <c r="Z4">
        <v>1</v>
      </c>
      <c r="AA4">
        <v>1</v>
      </c>
      <c r="AB4">
        <v>1</v>
      </c>
      <c r="AC4">
        <v>5</v>
      </c>
      <c r="AD4">
        <v>5</v>
      </c>
      <c r="AE4">
        <v>5</v>
      </c>
      <c r="AF4">
        <v>5</v>
      </c>
      <c r="AH4" s="6">
        <f t="shared" si="0"/>
        <v>0.10235184415291999</v>
      </c>
      <c r="AI4" s="3">
        <f t="shared" si="2"/>
        <v>9</v>
      </c>
      <c r="AJ4" s="3" t="str">
        <f t="shared" si="3"/>
        <v>passed</v>
      </c>
      <c r="AK4" s="3">
        <f t="shared" si="4"/>
        <v>1</v>
      </c>
      <c r="AL4" s="3">
        <v>4.0942125388834532</v>
      </c>
      <c r="AM4" s="3">
        <v>0.82337559767857649</v>
      </c>
      <c r="AN4" s="3">
        <v>-4.8481649273857244</v>
      </c>
    </row>
    <row r="5" spans="1:40" x14ac:dyDescent="0.2">
      <c r="A5">
        <v>29048</v>
      </c>
      <c r="B5" s="1">
        <v>43390.73715277778</v>
      </c>
      <c r="C5" t="s">
        <v>3</v>
      </c>
      <c r="D5">
        <v>40</v>
      </c>
      <c r="E5">
        <v>9.2320285892932993E-2</v>
      </c>
      <c r="F5">
        <v>0.30880472399559</v>
      </c>
      <c r="G5">
        <v>4.1257608737542001E-2</v>
      </c>
      <c r="H5">
        <v>1</v>
      </c>
      <c r="I5">
        <v>1</v>
      </c>
      <c r="J5">
        <v>1</v>
      </c>
      <c r="K5">
        <v>1</v>
      </c>
      <c r="L5">
        <v>1</v>
      </c>
      <c r="M5">
        <v>1</v>
      </c>
      <c r="N5">
        <v>1</v>
      </c>
      <c r="O5">
        <v>1</v>
      </c>
      <c r="P5">
        <v>1</v>
      </c>
      <c r="Q5">
        <v>3</v>
      </c>
      <c r="R5">
        <v>1</v>
      </c>
      <c r="S5">
        <v>0</v>
      </c>
      <c r="T5">
        <v>1</v>
      </c>
      <c r="U5">
        <v>0</v>
      </c>
      <c r="V5">
        <v>0</v>
      </c>
      <c r="W5">
        <v>0</v>
      </c>
      <c r="X5">
        <v>0</v>
      </c>
      <c r="Y5">
        <v>1</v>
      </c>
      <c r="Z5">
        <v>1</v>
      </c>
      <c r="AA5">
        <v>1</v>
      </c>
      <c r="AB5">
        <v>1</v>
      </c>
      <c r="AC5">
        <v>5</v>
      </c>
      <c r="AD5">
        <v>5</v>
      </c>
      <c r="AE5">
        <v>5</v>
      </c>
      <c r="AF5">
        <v>5</v>
      </c>
      <c r="AG5" t="s">
        <v>12</v>
      </c>
      <c r="AH5" s="6">
        <f t="shared" si="0"/>
        <v>9.2320285892932993E-2</v>
      </c>
      <c r="AI5" s="3">
        <f t="shared" si="2"/>
        <v>9</v>
      </c>
      <c r="AJ5" s="3" t="str">
        <f t="shared" si="3"/>
        <v>passed</v>
      </c>
      <c r="AK5" s="3">
        <f t="shared" si="4"/>
        <v>1</v>
      </c>
      <c r="AL5" s="3">
        <v>1.1372396997392511</v>
      </c>
      <c r="AM5" s="3">
        <v>0.1774783854629641</v>
      </c>
      <c r="AN5" s="3">
        <v>-5.8875868806253564</v>
      </c>
    </row>
    <row r="6" spans="1:40" x14ac:dyDescent="0.2">
      <c r="A6">
        <v>29053</v>
      </c>
      <c r="B6" s="1">
        <v>43390.753819444442</v>
      </c>
      <c r="C6" t="s">
        <v>3</v>
      </c>
      <c r="D6">
        <v>37</v>
      </c>
      <c r="E6">
        <v>9.6073710264455006E-2</v>
      </c>
      <c r="F6">
        <v>0.26589268940922001</v>
      </c>
      <c r="G6">
        <v>0.10875094629510999</v>
      </c>
      <c r="H6">
        <v>1</v>
      </c>
      <c r="I6">
        <v>1</v>
      </c>
      <c r="J6">
        <v>1</v>
      </c>
      <c r="K6">
        <v>1</v>
      </c>
      <c r="L6">
        <v>1</v>
      </c>
      <c r="M6">
        <v>1</v>
      </c>
      <c r="N6">
        <v>1</v>
      </c>
      <c r="O6">
        <v>1</v>
      </c>
      <c r="P6">
        <v>1</v>
      </c>
      <c r="Q6">
        <v>2</v>
      </c>
      <c r="R6">
        <v>0</v>
      </c>
      <c r="S6">
        <v>0</v>
      </c>
      <c r="T6">
        <v>0</v>
      </c>
      <c r="U6">
        <v>1</v>
      </c>
      <c r="V6">
        <v>1</v>
      </c>
      <c r="W6">
        <v>1</v>
      </c>
      <c r="X6">
        <v>1</v>
      </c>
      <c r="Y6">
        <v>1</v>
      </c>
      <c r="Z6">
        <v>1</v>
      </c>
      <c r="AA6">
        <v>1</v>
      </c>
      <c r="AB6">
        <v>1</v>
      </c>
      <c r="AC6">
        <v>5</v>
      </c>
      <c r="AD6">
        <v>5</v>
      </c>
      <c r="AE6">
        <v>5</v>
      </c>
      <c r="AF6">
        <v>5</v>
      </c>
      <c r="AG6" t="s">
        <v>13</v>
      </c>
      <c r="AH6" s="6">
        <f t="shared" si="0"/>
        <v>9.6073710264455006E-2</v>
      </c>
      <c r="AI6" s="3">
        <f t="shared" si="2"/>
        <v>9</v>
      </c>
      <c r="AJ6" s="3" t="str">
        <f t="shared" si="3"/>
        <v>passed</v>
      </c>
      <c r="AK6" s="3">
        <f t="shared" si="4"/>
        <v>1</v>
      </c>
      <c r="AL6" s="3">
        <v>2.2313983960790762</v>
      </c>
      <c r="AM6" s="3">
        <v>0.42297707692636771</v>
      </c>
      <c r="AN6" s="3">
        <v>-5.0483224796277586</v>
      </c>
    </row>
    <row r="7" spans="1:40" x14ac:dyDescent="0.2">
      <c r="A7">
        <v>29119</v>
      </c>
      <c r="B7" s="1">
        <v>43391.509953703702</v>
      </c>
      <c r="C7" t="s">
        <v>3</v>
      </c>
      <c r="D7">
        <v>39</v>
      </c>
      <c r="E7">
        <v>7.8571008918744994E-2</v>
      </c>
      <c r="F7">
        <v>0.17089906134774999</v>
      </c>
      <c r="G7">
        <v>0.20004442242216999</v>
      </c>
      <c r="H7">
        <v>1</v>
      </c>
      <c r="I7">
        <v>1</v>
      </c>
      <c r="J7">
        <v>1</v>
      </c>
      <c r="K7">
        <v>0</v>
      </c>
      <c r="L7">
        <v>1</v>
      </c>
      <c r="M7">
        <v>1</v>
      </c>
      <c r="N7">
        <v>0</v>
      </c>
      <c r="O7">
        <v>1</v>
      </c>
      <c r="P7">
        <v>1</v>
      </c>
      <c r="Q7">
        <v>2</v>
      </c>
      <c r="R7">
        <v>0</v>
      </c>
      <c r="S7">
        <v>0</v>
      </c>
      <c r="T7">
        <v>0</v>
      </c>
      <c r="U7">
        <v>1</v>
      </c>
      <c r="V7">
        <v>0</v>
      </c>
      <c r="W7">
        <v>0</v>
      </c>
      <c r="X7">
        <v>0</v>
      </c>
      <c r="Y7">
        <v>1</v>
      </c>
      <c r="Z7">
        <v>1</v>
      </c>
      <c r="AA7">
        <v>1</v>
      </c>
      <c r="AB7">
        <v>1</v>
      </c>
      <c r="AC7">
        <v>5</v>
      </c>
      <c r="AD7">
        <v>5</v>
      </c>
      <c r="AE7">
        <v>5</v>
      </c>
      <c r="AF7">
        <v>5</v>
      </c>
      <c r="AH7" s="6">
        <f t="shared" si="0"/>
        <v>7.8571008918744994E-2</v>
      </c>
      <c r="AI7" s="3">
        <f t="shared" si="2"/>
        <v>9</v>
      </c>
      <c r="AJ7" s="3" t="str">
        <f t="shared" si="3"/>
        <v>passed</v>
      </c>
      <c r="AK7" s="3">
        <f t="shared" si="4"/>
        <v>1</v>
      </c>
      <c r="AL7" s="3">
        <v>2.8443087455840939</v>
      </c>
      <c r="AM7" s="3">
        <v>0.54640217984511508</v>
      </c>
      <c r="AN7" s="3">
        <v>-5.0617252981116092</v>
      </c>
    </row>
    <row r="8" spans="1:40" x14ac:dyDescent="0.2">
      <c r="A8">
        <v>29147</v>
      </c>
      <c r="B8" s="1">
        <v>43391.634236111109</v>
      </c>
      <c r="C8" t="s">
        <v>3</v>
      </c>
      <c r="D8">
        <v>22</v>
      </c>
      <c r="E8">
        <v>4.7113234682756001E-2</v>
      </c>
      <c r="F8">
        <v>0.28689367112515002</v>
      </c>
      <c r="G8">
        <v>0.27401831197916998</v>
      </c>
      <c r="H8">
        <v>1</v>
      </c>
      <c r="I8">
        <v>1</v>
      </c>
      <c r="J8">
        <v>1</v>
      </c>
      <c r="K8">
        <v>1</v>
      </c>
      <c r="L8">
        <v>1</v>
      </c>
      <c r="M8">
        <v>1</v>
      </c>
      <c r="N8">
        <v>1</v>
      </c>
      <c r="O8">
        <v>1</v>
      </c>
      <c r="P8">
        <v>1</v>
      </c>
      <c r="Q8">
        <v>2</v>
      </c>
      <c r="R8">
        <v>1</v>
      </c>
      <c r="S8">
        <v>1</v>
      </c>
      <c r="T8">
        <v>0</v>
      </c>
      <c r="U8">
        <v>1</v>
      </c>
      <c r="V8">
        <v>1</v>
      </c>
      <c r="W8">
        <v>1</v>
      </c>
      <c r="X8">
        <v>1</v>
      </c>
      <c r="Y8">
        <v>1</v>
      </c>
      <c r="Z8">
        <v>1</v>
      </c>
      <c r="AA8">
        <v>1</v>
      </c>
      <c r="AB8">
        <v>1</v>
      </c>
      <c r="AC8">
        <v>5</v>
      </c>
      <c r="AD8">
        <v>5</v>
      </c>
      <c r="AE8">
        <v>5</v>
      </c>
      <c r="AF8">
        <v>5</v>
      </c>
      <c r="AH8" s="6">
        <f t="shared" si="0"/>
        <v>4.7113234682756001E-2</v>
      </c>
      <c r="AI8" s="3">
        <f t="shared" si="2"/>
        <v>9</v>
      </c>
      <c r="AJ8" s="3" t="str">
        <f t="shared" si="3"/>
        <v>passed</v>
      </c>
      <c r="AK8" s="3">
        <f t="shared" si="4"/>
        <v>1</v>
      </c>
      <c r="AL8" s="3">
        <v>5.8969715965270053</v>
      </c>
      <c r="AM8" s="3">
        <v>1.0206825878170169</v>
      </c>
      <c r="AN8" s="3">
        <v>-5.7313198360281872</v>
      </c>
    </row>
    <row r="9" spans="1:40" x14ac:dyDescent="0.2">
      <c r="A9">
        <v>29153</v>
      </c>
      <c r="B9" s="1">
        <v>43391.638078703705</v>
      </c>
      <c r="C9" t="s">
        <v>3</v>
      </c>
      <c r="D9">
        <v>29</v>
      </c>
      <c r="E9">
        <v>2.9334129851159001E-2</v>
      </c>
      <c r="F9">
        <v>0.32439472871111003</v>
      </c>
      <c r="G9">
        <v>0.18536011964216001</v>
      </c>
      <c r="H9">
        <v>1</v>
      </c>
      <c r="I9">
        <v>1</v>
      </c>
      <c r="J9">
        <v>1</v>
      </c>
      <c r="K9">
        <v>1</v>
      </c>
      <c r="L9">
        <v>1</v>
      </c>
      <c r="M9">
        <v>1</v>
      </c>
      <c r="N9">
        <v>0</v>
      </c>
      <c r="O9">
        <v>1</v>
      </c>
      <c r="P9">
        <v>1</v>
      </c>
      <c r="Q9">
        <v>3</v>
      </c>
      <c r="R9">
        <v>1</v>
      </c>
      <c r="S9">
        <v>1</v>
      </c>
      <c r="T9">
        <v>1</v>
      </c>
      <c r="U9">
        <v>0</v>
      </c>
      <c r="V9">
        <v>0</v>
      </c>
      <c r="W9">
        <v>1</v>
      </c>
      <c r="X9">
        <v>0</v>
      </c>
      <c r="Y9">
        <v>1</v>
      </c>
      <c r="Z9">
        <v>1</v>
      </c>
      <c r="AA9">
        <v>1</v>
      </c>
      <c r="AB9">
        <v>1</v>
      </c>
      <c r="AC9">
        <v>5</v>
      </c>
      <c r="AD9">
        <v>5</v>
      </c>
      <c r="AE9">
        <v>5</v>
      </c>
      <c r="AF9">
        <v>5</v>
      </c>
      <c r="AH9" s="6">
        <f t="shared" si="0"/>
        <v>2.9334129851159001E-2</v>
      </c>
      <c r="AI9" s="3">
        <f t="shared" si="2"/>
        <v>9</v>
      </c>
      <c r="AJ9" s="3" t="str">
        <f t="shared" si="3"/>
        <v>passed</v>
      </c>
      <c r="AK9" s="3">
        <f t="shared" si="4"/>
        <v>1</v>
      </c>
      <c r="AL9" s="3">
        <v>3.6617920125269472</v>
      </c>
      <c r="AM9" s="3">
        <v>0.85558135770535182</v>
      </c>
      <c r="AN9" s="3">
        <v>-4.245601952358979</v>
      </c>
    </row>
    <row r="10" spans="1:40" x14ac:dyDescent="0.2">
      <c r="A10">
        <v>29166</v>
      </c>
      <c r="B10" s="1">
        <v>43391.661006944443</v>
      </c>
      <c r="C10" t="s">
        <v>3</v>
      </c>
      <c r="D10">
        <v>35</v>
      </c>
      <c r="E10">
        <v>8.8116926765717002E-2</v>
      </c>
      <c r="F10">
        <v>0.27736201169667002</v>
      </c>
      <c r="G10">
        <v>0.30430385295460999</v>
      </c>
      <c r="H10">
        <v>1</v>
      </c>
      <c r="I10">
        <v>1</v>
      </c>
      <c r="J10">
        <v>1</v>
      </c>
      <c r="K10">
        <v>1</v>
      </c>
      <c r="L10">
        <v>1</v>
      </c>
      <c r="M10">
        <v>1</v>
      </c>
      <c r="N10">
        <v>1</v>
      </c>
      <c r="O10">
        <v>0</v>
      </c>
      <c r="P10">
        <v>0</v>
      </c>
      <c r="Q10">
        <v>1</v>
      </c>
      <c r="R10">
        <v>1</v>
      </c>
      <c r="S10">
        <v>0</v>
      </c>
      <c r="T10">
        <v>0</v>
      </c>
      <c r="U10">
        <v>1</v>
      </c>
      <c r="V10">
        <v>0</v>
      </c>
      <c r="W10">
        <v>1</v>
      </c>
      <c r="X10">
        <v>0</v>
      </c>
      <c r="Y10">
        <v>1</v>
      </c>
      <c r="Z10">
        <v>1</v>
      </c>
      <c r="AA10">
        <v>1</v>
      </c>
      <c r="AB10">
        <v>1</v>
      </c>
      <c r="AC10">
        <v>5</v>
      </c>
      <c r="AD10">
        <v>5</v>
      </c>
      <c r="AE10">
        <v>5</v>
      </c>
      <c r="AF10">
        <v>5</v>
      </c>
      <c r="AG10" t="s">
        <v>21</v>
      </c>
      <c r="AH10" s="6">
        <f t="shared" si="0"/>
        <v>8.8116926765717002E-2</v>
      </c>
      <c r="AI10" s="3">
        <f t="shared" si="2"/>
        <v>9</v>
      </c>
      <c r="AJ10" s="3" t="str">
        <f t="shared" si="3"/>
        <v>passed</v>
      </c>
      <c r="AK10" s="3">
        <f t="shared" si="4"/>
        <v>1</v>
      </c>
      <c r="AL10" s="3">
        <v>7.2412838146089733</v>
      </c>
      <c r="AM10" s="3">
        <v>1.110375122215091</v>
      </c>
      <c r="AN10" s="3">
        <v>-6.4421173932403866</v>
      </c>
    </row>
    <row r="11" spans="1:40" x14ac:dyDescent="0.2">
      <c r="A11">
        <v>29180</v>
      </c>
      <c r="B11" s="1">
        <v>43391.682870370372</v>
      </c>
      <c r="C11" t="s">
        <v>3</v>
      </c>
      <c r="D11">
        <v>25</v>
      </c>
      <c r="E11">
        <v>3.4250447199486E-2</v>
      </c>
      <c r="F11">
        <v>0.10977211154886</v>
      </c>
      <c r="G11">
        <v>0.15415944370119999</v>
      </c>
      <c r="H11">
        <v>1</v>
      </c>
      <c r="I11">
        <v>1</v>
      </c>
      <c r="J11">
        <v>1</v>
      </c>
      <c r="K11">
        <v>1</v>
      </c>
      <c r="L11">
        <v>1</v>
      </c>
      <c r="M11">
        <v>1</v>
      </c>
      <c r="N11">
        <v>1</v>
      </c>
      <c r="O11">
        <v>1</v>
      </c>
      <c r="P11">
        <v>1</v>
      </c>
      <c r="Q11">
        <v>2</v>
      </c>
      <c r="R11">
        <v>0</v>
      </c>
      <c r="S11">
        <v>0</v>
      </c>
      <c r="T11">
        <v>1</v>
      </c>
      <c r="U11">
        <v>1</v>
      </c>
      <c r="V11">
        <v>1</v>
      </c>
      <c r="W11">
        <v>0</v>
      </c>
      <c r="X11">
        <v>0</v>
      </c>
      <c r="Y11">
        <v>1</v>
      </c>
      <c r="Z11">
        <v>1</v>
      </c>
      <c r="AA11">
        <v>1</v>
      </c>
      <c r="AB11">
        <v>1</v>
      </c>
      <c r="AC11">
        <v>5</v>
      </c>
      <c r="AD11">
        <v>5</v>
      </c>
      <c r="AE11">
        <v>5</v>
      </c>
      <c r="AF11">
        <v>5</v>
      </c>
      <c r="AH11" s="6">
        <f t="shared" si="0"/>
        <v>3.4250447199486E-2</v>
      </c>
      <c r="AI11" s="3">
        <f t="shared" si="2"/>
        <v>9</v>
      </c>
      <c r="AJ11" s="3" t="str">
        <f t="shared" si="3"/>
        <v>passed</v>
      </c>
      <c r="AK11" s="3">
        <f t="shared" si="4"/>
        <v>1</v>
      </c>
      <c r="AL11" s="3">
        <v>1.3243005784554389</v>
      </c>
      <c r="AM11" s="3">
        <v>0.21678386306683961</v>
      </c>
      <c r="AN11" s="3">
        <v>-5.9508586709620532</v>
      </c>
    </row>
    <row r="12" spans="1:40" x14ac:dyDescent="0.2">
      <c r="A12">
        <v>29189</v>
      </c>
      <c r="B12" s="1">
        <v>43391.726064814815</v>
      </c>
      <c r="C12" t="s">
        <v>3</v>
      </c>
      <c r="D12">
        <v>63</v>
      </c>
      <c r="E12">
        <v>3.5908657405195998E-2</v>
      </c>
      <c r="F12">
        <v>0.31408255548755998</v>
      </c>
      <c r="G12">
        <v>0.21572565006881</v>
      </c>
      <c r="H12">
        <v>1</v>
      </c>
      <c r="I12">
        <v>1</v>
      </c>
      <c r="J12">
        <v>1</v>
      </c>
      <c r="K12">
        <v>1</v>
      </c>
      <c r="L12">
        <v>1</v>
      </c>
      <c r="M12">
        <v>1</v>
      </c>
      <c r="N12">
        <v>0</v>
      </c>
      <c r="O12">
        <v>1</v>
      </c>
      <c r="P12">
        <v>1</v>
      </c>
      <c r="Q12">
        <v>1</v>
      </c>
      <c r="R12">
        <v>1</v>
      </c>
      <c r="S12">
        <v>0</v>
      </c>
      <c r="T12">
        <v>0</v>
      </c>
      <c r="U12">
        <v>1</v>
      </c>
      <c r="V12">
        <v>1</v>
      </c>
      <c r="W12">
        <v>0</v>
      </c>
      <c r="X12">
        <v>0</v>
      </c>
      <c r="Y12">
        <v>1</v>
      </c>
      <c r="Z12">
        <v>1</v>
      </c>
      <c r="AA12">
        <v>1</v>
      </c>
      <c r="AB12">
        <v>1</v>
      </c>
      <c r="AC12">
        <v>5</v>
      </c>
      <c r="AD12">
        <v>5</v>
      </c>
      <c r="AE12">
        <v>5</v>
      </c>
      <c r="AF12">
        <v>5</v>
      </c>
      <c r="AG12" t="s">
        <v>23</v>
      </c>
      <c r="AH12" s="6">
        <f t="shared" si="0"/>
        <v>3.5908657405195998E-2</v>
      </c>
      <c r="AI12" s="3">
        <f t="shared" si="2"/>
        <v>9</v>
      </c>
      <c r="AJ12" s="3" t="str">
        <f t="shared" si="3"/>
        <v>passed</v>
      </c>
      <c r="AK12" s="3">
        <f t="shared" si="4"/>
        <v>1</v>
      </c>
      <c r="AL12" s="3">
        <v>5.7001698669011889</v>
      </c>
      <c r="AM12" s="3">
        <v>0.91013043290965168</v>
      </c>
      <c r="AN12" s="3">
        <v>-6.2235708253239803</v>
      </c>
    </row>
    <row r="13" spans="1:40" x14ac:dyDescent="0.2">
      <c r="A13">
        <v>29195</v>
      </c>
      <c r="B13" s="1">
        <v>43391.762870370374</v>
      </c>
      <c r="C13" t="s">
        <v>3</v>
      </c>
      <c r="D13">
        <v>32</v>
      </c>
      <c r="E13">
        <v>0.19872258293322001</v>
      </c>
      <c r="F13">
        <v>0.26079262315781998</v>
      </c>
      <c r="G13">
        <v>0.21849302577674001</v>
      </c>
      <c r="H13">
        <v>1</v>
      </c>
      <c r="I13">
        <v>1</v>
      </c>
      <c r="J13">
        <v>1</v>
      </c>
      <c r="K13">
        <v>1</v>
      </c>
      <c r="L13">
        <v>1</v>
      </c>
      <c r="M13">
        <v>1</v>
      </c>
      <c r="N13">
        <v>1</v>
      </c>
      <c r="O13">
        <v>1</v>
      </c>
      <c r="P13">
        <v>1</v>
      </c>
      <c r="Q13">
        <v>1</v>
      </c>
      <c r="R13">
        <v>0</v>
      </c>
      <c r="S13">
        <v>1</v>
      </c>
      <c r="T13">
        <v>0</v>
      </c>
      <c r="U13">
        <v>1</v>
      </c>
      <c r="V13">
        <v>1</v>
      </c>
      <c r="W13">
        <v>1</v>
      </c>
      <c r="X13">
        <v>0</v>
      </c>
      <c r="Y13">
        <v>1</v>
      </c>
      <c r="Z13">
        <v>1</v>
      </c>
      <c r="AA13">
        <v>1</v>
      </c>
      <c r="AB13">
        <v>1</v>
      </c>
      <c r="AC13">
        <v>5</v>
      </c>
      <c r="AD13">
        <v>5</v>
      </c>
      <c r="AE13">
        <v>5</v>
      </c>
      <c r="AF13">
        <v>5</v>
      </c>
      <c r="AG13" t="s">
        <v>24</v>
      </c>
      <c r="AH13" s="6">
        <f t="shared" si="0"/>
        <v>0.19872258293322001</v>
      </c>
      <c r="AI13" s="3">
        <f t="shared" si="2"/>
        <v>9</v>
      </c>
      <c r="AJ13" s="3" t="str">
        <f t="shared" si="3"/>
        <v>passed</v>
      </c>
      <c r="AK13" s="3">
        <f t="shared" si="4"/>
        <v>1</v>
      </c>
      <c r="AL13" s="3">
        <v>5.0447673101493162</v>
      </c>
      <c r="AM13" s="3">
        <v>0.79932079681139057</v>
      </c>
      <c r="AN13" s="3">
        <v>-6.0627031681743944</v>
      </c>
    </row>
    <row r="14" spans="1:40" x14ac:dyDescent="0.2">
      <c r="A14">
        <v>29255</v>
      </c>
      <c r="B14" s="1">
        <v>43392.477187500001</v>
      </c>
      <c r="C14" t="s">
        <v>3</v>
      </c>
      <c r="D14">
        <v>37</v>
      </c>
      <c r="E14">
        <v>9.0125981578353997E-2</v>
      </c>
      <c r="F14">
        <v>0.15323104795636999</v>
      </c>
      <c r="G14">
        <v>0.25622946867105001</v>
      </c>
      <c r="H14">
        <v>1</v>
      </c>
      <c r="I14">
        <v>1</v>
      </c>
      <c r="J14">
        <v>1</v>
      </c>
      <c r="K14">
        <v>1</v>
      </c>
      <c r="L14">
        <v>1</v>
      </c>
      <c r="M14">
        <v>1</v>
      </c>
      <c r="N14">
        <v>0</v>
      </c>
      <c r="O14">
        <v>0</v>
      </c>
      <c r="P14">
        <v>0</v>
      </c>
      <c r="Q14">
        <v>1</v>
      </c>
      <c r="R14">
        <v>1</v>
      </c>
      <c r="S14">
        <v>0</v>
      </c>
      <c r="T14">
        <v>1</v>
      </c>
      <c r="U14">
        <v>0</v>
      </c>
      <c r="V14">
        <v>0</v>
      </c>
      <c r="W14">
        <v>0</v>
      </c>
      <c r="X14">
        <v>0</v>
      </c>
      <c r="Y14">
        <v>1</v>
      </c>
      <c r="Z14">
        <v>1</v>
      </c>
      <c r="AA14">
        <v>1</v>
      </c>
      <c r="AB14">
        <v>1</v>
      </c>
      <c r="AC14">
        <v>5</v>
      </c>
      <c r="AD14">
        <v>5</v>
      </c>
      <c r="AE14">
        <v>5</v>
      </c>
      <c r="AF14">
        <v>5</v>
      </c>
      <c r="AG14" t="s">
        <v>26</v>
      </c>
      <c r="AH14" s="6">
        <f t="shared" si="0"/>
        <v>9.0125981578353997E-2</v>
      </c>
      <c r="AI14" s="3">
        <f t="shared" si="2"/>
        <v>9</v>
      </c>
      <c r="AJ14" s="3" t="str">
        <f t="shared" si="3"/>
        <v>passed</v>
      </c>
      <c r="AK14" s="3">
        <f t="shared" si="4"/>
        <v>1</v>
      </c>
      <c r="AL14" s="3">
        <v>3.4332879631359501</v>
      </c>
      <c r="AM14" s="3">
        <v>0.53032741166067932</v>
      </c>
      <c r="AN14" s="3">
        <v>-6.3039584755552092</v>
      </c>
    </row>
    <row r="15" spans="1:40" x14ac:dyDescent="0.2">
      <c r="A15">
        <v>29303</v>
      </c>
      <c r="B15" s="1">
        <v>43392.69972222222</v>
      </c>
      <c r="C15" t="s">
        <v>3</v>
      </c>
      <c r="D15">
        <v>27</v>
      </c>
      <c r="E15">
        <v>0.12043833367589001</v>
      </c>
      <c r="F15">
        <v>0.19351762429776001</v>
      </c>
      <c r="G15">
        <v>0.29682423262571</v>
      </c>
      <c r="H15">
        <v>1</v>
      </c>
      <c r="I15">
        <v>1</v>
      </c>
      <c r="J15">
        <v>1</v>
      </c>
      <c r="K15">
        <v>1</v>
      </c>
      <c r="L15">
        <v>1</v>
      </c>
      <c r="M15">
        <v>1</v>
      </c>
      <c r="N15">
        <v>1</v>
      </c>
      <c r="O15">
        <v>0</v>
      </c>
      <c r="P15">
        <v>1</v>
      </c>
      <c r="Q15">
        <v>2</v>
      </c>
      <c r="R15">
        <v>0</v>
      </c>
      <c r="S15">
        <v>1</v>
      </c>
      <c r="T15">
        <v>1</v>
      </c>
      <c r="U15">
        <v>0</v>
      </c>
      <c r="V15">
        <v>1</v>
      </c>
      <c r="W15">
        <v>1</v>
      </c>
      <c r="X15">
        <v>0</v>
      </c>
      <c r="Y15">
        <v>1</v>
      </c>
      <c r="Z15">
        <v>1</v>
      </c>
      <c r="AA15">
        <v>1</v>
      </c>
      <c r="AB15">
        <v>1</v>
      </c>
      <c r="AC15">
        <v>5</v>
      </c>
      <c r="AD15">
        <v>5</v>
      </c>
      <c r="AE15">
        <v>5</v>
      </c>
      <c r="AF15">
        <v>5</v>
      </c>
      <c r="AG15" t="s">
        <v>29</v>
      </c>
      <c r="AH15" s="6">
        <f t="shared" si="0"/>
        <v>0.12043833367589001</v>
      </c>
      <c r="AI15" s="3">
        <f t="shared" si="2"/>
        <v>9</v>
      </c>
      <c r="AJ15" s="3" t="str">
        <f t="shared" si="3"/>
        <v>passed</v>
      </c>
      <c r="AK15" s="3">
        <f t="shared" si="4"/>
        <v>1</v>
      </c>
      <c r="AL15" s="3">
        <v>5.1104324129630507</v>
      </c>
      <c r="AM15" s="3">
        <v>0.80380834455386563</v>
      </c>
      <c r="AN15" s="3">
        <v>-6.2079401303761426</v>
      </c>
    </row>
    <row r="16" spans="1:40" x14ac:dyDescent="0.2">
      <c r="A16">
        <v>29320</v>
      </c>
      <c r="B16" s="1">
        <v>43392.776516203703</v>
      </c>
      <c r="C16" t="s">
        <v>2</v>
      </c>
      <c r="D16">
        <v>32</v>
      </c>
      <c r="E16">
        <v>0.17700539470831</v>
      </c>
      <c r="F16">
        <v>0.12992882731187</v>
      </c>
      <c r="G16">
        <v>0.21022144434175999</v>
      </c>
      <c r="H16">
        <v>1</v>
      </c>
      <c r="I16">
        <v>1</v>
      </c>
      <c r="J16">
        <v>1</v>
      </c>
      <c r="K16">
        <v>1</v>
      </c>
      <c r="L16">
        <v>0</v>
      </c>
      <c r="M16">
        <v>0</v>
      </c>
      <c r="N16">
        <v>0</v>
      </c>
      <c r="O16">
        <v>1</v>
      </c>
      <c r="P16">
        <v>1</v>
      </c>
      <c r="Q16">
        <v>2</v>
      </c>
      <c r="R16">
        <v>0</v>
      </c>
      <c r="S16">
        <v>0</v>
      </c>
      <c r="T16">
        <v>1</v>
      </c>
      <c r="U16">
        <v>0</v>
      </c>
      <c r="V16">
        <v>0</v>
      </c>
      <c r="W16">
        <v>0</v>
      </c>
      <c r="X16">
        <v>0</v>
      </c>
      <c r="Y16">
        <v>1</v>
      </c>
      <c r="Z16">
        <v>1</v>
      </c>
      <c r="AA16">
        <v>1</v>
      </c>
      <c r="AB16">
        <v>1</v>
      </c>
      <c r="AC16">
        <v>5</v>
      </c>
      <c r="AD16">
        <v>5</v>
      </c>
      <c r="AE16">
        <v>5</v>
      </c>
      <c r="AF16">
        <v>5</v>
      </c>
      <c r="AG16" t="s">
        <v>32</v>
      </c>
      <c r="AH16" s="6">
        <f t="shared" si="0"/>
        <v>0.17700539470831</v>
      </c>
      <c r="AI16" s="3">
        <f t="shared" si="2"/>
        <v>9</v>
      </c>
      <c r="AJ16" s="3" t="str">
        <f t="shared" si="3"/>
        <v>passed</v>
      </c>
      <c r="AK16" s="3">
        <f t="shared" si="4"/>
        <v>1</v>
      </c>
      <c r="AL16" s="3">
        <v>2.5014773516062849</v>
      </c>
      <c r="AM16" s="3">
        <v>0.37918546954237781</v>
      </c>
      <c r="AN16" s="3">
        <v>-6.1301714955039852</v>
      </c>
    </row>
    <row r="17" spans="1:40" x14ac:dyDescent="0.2">
      <c r="A17">
        <v>29332</v>
      </c>
      <c r="B17" s="1">
        <v>43393.0156712963</v>
      </c>
      <c r="C17" t="s">
        <v>3</v>
      </c>
      <c r="D17">
        <v>34</v>
      </c>
      <c r="E17">
        <v>6.4297279222152004E-2</v>
      </c>
      <c r="F17">
        <v>0.19631308716167001</v>
      </c>
      <c r="G17">
        <v>0.19080272890548999</v>
      </c>
      <c r="H17">
        <v>1</v>
      </c>
      <c r="I17">
        <v>1</v>
      </c>
      <c r="J17">
        <v>1</v>
      </c>
      <c r="K17">
        <v>1</v>
      </c>
      <c r="L17">
        <v>1</v>
      </c>
      <c r="M17">
        <v>1</v>
      </c>
      <c r="N17">
        <v>1</v>
      </c>
      <c r="O17">
        <v>1</v>
      </c>
      <c r="P17">
        <v>1</v>
      </c>
      <c r="Q17">
        <v>2</v>
      </c>
      <c r="R17">
        <v>0</v>
      </c>
      <c r="S17">
        <v>0</v>
      </c>
      <c r="T17">
        <v>1</v>
      </c>
      <c r="U17">
        <v>0</v>
      </c>
      <c r="V17">
        <v>1</v>
      </c>
      <c r="W17">
        <v>1</v>
      </c>
      <c r="X17">
        <v>0</v>
      </c>
      <c r="Y17">
        <v>1</v>
      </c>
      <c r="Z17">
        <v>1</v>
      </c>
      <c r="AA17">
        <v>1</v>
      </c>
      <c r="AB17">
        <v>1</v>
      </c>
      <c r="AC17">
        <v>5</v>
      </c>
      <c r="AD17">
        <v>5</v>
      </c>
      <c r="AE17">
        <v>5</v>
      </c>
      <c r="AF17">
        <v>5</v>
      </c>
      <c r="AH17" s="6">
        <f t="shared" si="0"/>
        <v>6.4297279222152004E-2</v>
      </c>
      <c r="AI17" s="3">
        <f t="shared" si="2"/>
        <v>9</v>
      </c>
      <c r="AJ17" s="3" t="str">
        <f t="shared" si="3"/>
        <v>passed</v>
      </c>
      <c r="AK17" s="3">
        <f t="shared" si="4"/>
        <v>1</v>
      </c>
      <c r="AL17" s="3">
        <v>3.199303420535129</v>
      </c>
      <c r="AM17" s="3">
        <v>0.53314017353406584</v>
      </c>
      <c r="AN17" s="3">
        <v>-5.8802661981589726</v>
      </c>
    </row>
    <row r="18" spans="1:40" x14ac:dyDescent="0.2">
      <c r="A18">
        <v>29434</v>
      </c>
      <c r="B18" s="1">
        <v>43394.985069444447</v>
      </c>
      <c r="C18" t="s">
        <v>3</v>
      </c>
      <c r="D18">
        <v>22</v>
      </c>
      <c r="E18">
        <v>0.16324049513705</v>
      </c>
      <c r="F18">
        <v>0.23248091759933001</v>
      </c>
      <c r="G18">
        <v>0.22203960566214001</v>
      </c>
      <c r="H18">
        <v>1</v>
      </c>
      <c r="I18">
        <v>1</v>
      </c>
      <c r="J18">
        <v>1</v>
      </c>
      <c r="K18">
        <v>1</v>
      </c>
      <c r="L18">
        <v>1</v>
      </c>
      <c r="M18">
        <v>1</v>
      </c>
      <c r="N18">
        <v>1</v>
      </c>
      <c r="O18">
        <v>1</v>
      </c>
      <c r="P18">
        <v>1</v>
      </c>
      <c r="Q18">
        <v>2</v>
      </c>
      <c r="R18">
        <v>0</v>
      </c>
      <c r="S18">
        <v>1</v>
      </c>
      <c r="T18">
        <v>0</v>
      </c>
      <c r="U18">
        <v>1</v>
      </c>
      <c r="V18">
        <v>1</v>
      </c>
      <c r="W18">
        <v>0</v>
      </c>
      <c r="X18">
        <v>0</v>
      </c>
      <c r="Y18">
        <v>1</v>
      </c>
      <c r="Z18">
        <v>1</v>
      </c>
      <c r="AA18">
        <v>1</v>
      </c>
      <c r="AB18">
        <v>1</v>
      </c>
      <c r="AC18">
        <v>5</v>
      </c>
      <c r="AD18">
        <v>5</v>
      </c>
      <c r="AE18">
        <v>5</v>
      </c>
      <c r="AF18">
        <v>5</v>
      </c>
      <c r="AG18" s="6" t="s">
        <v>39</v>
      </c>
      <c r="AH18" s="6">
        <f t="shared" si="0"/>
        <v>0.16324049513705</v>
      </c>
      <c r="AI18" s="3">
        <f t="shared" si="2"/>
        <v>9</v>
      </c>
      <c r="AJ18" s="3" t="str">
        <f t="shared" si="3"/>
        <v>passed</v>
      </c>
      <c r="AK18" s="3">
        <f t="shared" si="4"/>
        <v>1</v>
      </c>
      <c r="AL18" s="3">
        <v>4.6588688553025834</v>
      </c>
      <c r="AM18" s="3">
        <v>0.70642010429541591</v>
      </c>
      <c r="AN18" s="3">
        <v>-6.3639586880804879</v>
      </c>
    </row>
    <row r="19" spans="1:40" x14ac:dyDescent="0.2">
      <c r="A19">
        <v>29436</v>
      </c>
      <c r="B19" s="1">
        <v>43395.08693287037</v>
      </c>
      <c r="C19" t="s">
        <v>3</v>
      </c>
      <c r="D19">
        <v>30</v>
      </c>
      <c r="E19">
        <v>3.5892958223525E-2</v>
      </c>
      <c r="F19">
        <v>0.20684703404853999</v>
      </c>
      <c r="G19">
        <v>0.13651115346263001</v>
      </c>
      <c r="H19">
        <v>1</v>
      </c>
      <c r="I19">
        <v>1</v>
      </c>
      <c r="J19">
        <v>1</v>
      </c>
      <c r="K19">
        <v>1</v>
      </c>
      <c r="L19">
        <v>1</v>
      </c>
      <c r="M19">
        <v>1</v>
      </c>
      <c r="N19">
        <v>1</v>
      </c>
      <c r="O19">
        <v>1</v>
      </c>
      <c r="P19">
        <v>1</v>
      </c>
      <c r="Q19">
        <v>2</v>
      </c>
      <c r="R19">
        <v>0</v>
      </c>
      <c r="S19">
        <v>0</v>
      </c>
      <c r="T19">
        <v>0</v>
      </c>
      <c r="U19">
        <v>1</v>
      </c>
      <c r="V19">
        <v>1</v>
      </c>
      <c r="W19">
        <v>0</v>
      </c>
      <c r="X19">
        <v>0</v>
      </c>
      <c r="Y19">
        <v>1</v>
      </c>
      <c r="Z19">
        <v>1</v>
      </c>
      <c r="AA19">
        <v>1</v>
      </c>
      <c r="AB19">
        <v>1</v>
      </c>
      <c r="AC19">
        <v>5</v>
      </c>
      <c r="AD19">
        <v>5</v>
      </c>
      <c r="AE19">
        <v>5</v>
      </c>
      <c r="AF19">
        <v>5</v>
      </c>
      <c r="AG19" s="5" t="s">
        <v>40</v>
      </c>
      <c r="AH19" s="6">
        <f t="shared" si="0"/>
        <v>3.5892958223525E-2</v>
      </c>
      <c r="AI19" s="3">
        <f t="shared" si="2"/>
        <v>9</v>
      </c>
      <c r="AJ19" s="3" t="str">
        <f t="shared" si="3"/>
        <v>passed</v>
      </c>
      <c r="AK19" s="3">
        <f t="shared" si="4"/>
        <v>1</v>
      </c>
      <c r="AL19" s="3">
        <v>2.5401982123552389</v>
      </c>
      <c r="AM19" s="3">
        <v>0.41505768002481508</v>
      </c>
      <c r="AN19" s="3">
        <v>-6.0336318893846004</v>
      </c>
    </row>
    <row r="20" spans="1:40" x14ac:dyDescent="0.2">
      <c r="A20">
        <v>29463</v>
      </c>
      <c r="B20" s="1">
        <v>43395.595150462963</v>
      </c>
      <c r="C20" t="s">
        <v>2</v>
      </c>
      <c r="D20">
        <v>31</v>
      </c>
      <c r="E20">
        <v>0.1404664646697</v>
      </c>
      <c r="F20">
        <v>0.34897703992444001</v>
      </c>
      <c r="G20">
        <v>0.28417096526331997</v>
      </c>
      <c r="H20">
        <v>1</v>
      </c>
      <c r="I20">
        <v>1</v>
      </c>
      <c r="J20">
        <v>1</v>
      </c>
      <c r="K20">
        <v>1</v>
      </c>
      <c r="L20">
        <v>1</v>
      </c>
      <c r="M20">
        <v>1</v>
      </c>
      <c r="N20">
        <v>1</v>
      </c>
      <c r="O20">
        <v>1</v>
      </c>
      <c r="P20">
        <v>1</v>
      </c>
      <c r="Q20">
        <v>1</v>
      </c>
      <c r="R20">
        <v>1</v>
      </c>
      <c r="S20">
        <v>0</v>
      </c>
      <c r="T20">
        <v>1</v>
      </c>
      <c r="U20">
        <v>1</v>
      </c>
      <c r="V20">
        <v>1</v>
      </c>
      <c r="W20">
        <v>1</v>
      </c>
      <c r="X20">
        <v>1</v>
      </c>
      <c r="Y20">
        <v>1</v>
      </c>
      <c r="Z20">
        <v>1</v>
      </c>
      <c r="AA20">
        <v>1</v>
      </c>
      <c r="AB20">
        <v>1</v>
      </c>
      <c r="AC20">
        <v>5</v>
      </c>
      <c r="AD20">
        <v>5</v>
      </c>
      <c r="AE20">
        <v>5</v>
      </c>
      <c r="AF20">
        <v>5</v>
      </c>
      <c r="AG20" s="5" t="s">
        <v>41</v>
      </c>
      <c r="AH20" s="6">
        <f t="shared" si="0"/>
        <v>0.1404664646697</v>
      </c>
      <c r="AI20" s="3">
        <f t="shared" si="2"/>
        <v>9</v>
      </c>
      <c r="AJ20" s="3" t="str">
        <f t="shared" si="3"/>
        <v>passed</v>
      </c>
      <c r="AK20" s="3">
        <f t="shared" si="4"/>
        <v>1</v>
      </c>
      <c r="AL20" s="3">
        <v>9.0706213525523047</v>
      </c>
      <c r="AM20" s="3">
        <v>1.405697680971937</v>
      </c>
      <c r="AN20" s="3">
        <v>-6.3528275025025698</v>
      </c>
    </row>
    <row r="21" spans="1:40" x14ac:dyDescent="0.2">
      <c r="A21">
        <v>29489</v>
      </c>
      <c r="B21" s="1">
        <v>43395.826539351852</v>
      </c>
      <c r="C21" t="s">
        <v>3</v>
      </c>
      <c r="D21">
        <v>36</v>
      </c>
      <c r="E21">
        <v>0.43458472376356999</v>
      </c>
      <c r="F21">
        <v>0.33050747645718997</v>
      </c>
      <c r="G21">
        <v>0.19040266794238001</v>
      </c>
      <c r="H21">
        <v>1</v>
      </c>
      <c r="I21">
        <v>1</v>
      </c>
      <c r="J21">
        <v>1</v>
      </c>
      <c r="K21">
        <v>1</v>
      </c>
      <c r="L21">
        <v>1</v>
      </c>
      <c r="M21">
        <v>1</v>
      </c>
      <c r="N21">
        <v>1</v>
      </c>
      <c r="O21">
        <v>1</v>
      </c>
      <c r="P21">
        <v>1</v>
      </c>
      <c r="Q21">
        <v>2</v>
      </c>
      <c r="R21">
        <v>1</v>
      </c>
      <c r="S21">
        <v>1</v>
      </c>
      <c r="T21">
        <v>1</v>
      </c>
      <c r="U21">
        <v>0</v>
      </c>
      <c r="V21">
        <v>0</v>
      </c>
      <c r="W21">
        <v>0</v>
      </c>
      <c r="X21">
        <v>0</v>
      </c>
      <c r="Y21">
        <v>1</v>
      </c>
      <c r="Z21">
        <v>1</v>
      </c>
      <c r="AA21">
        <v>1</v>
      </c>
      <c r="AB21">
        <v>1</v>
      </c>
      <c r="AC21">
        <v>5</v>
      </c>
      <c r="AD21">
        <v>5</v>
      </c>
      <c r="AE21">
        <v>5</v>
      </c>
      <c r="AF21">
        <v>5</v>
      </c>
      <c r="AG21" t="s">
        <v>42</v>
      </c>
      <c r="AH21" s="6">
        <f t="shared" si="0"/>
        <v>0.43458472376356999</v>
      </c>
      <c r="AI21" s="3">
        <f t="shared" si="2"/>
        <v>9</v>
      </c>
      <c r="AJ21" s="3" t="str">
        <f t="shared" si="3"/>
        <v>passed</v>
      </c>
      <c r="AK21" s="3">
        <f t="shared" si="4"/>
        <v>1</v>
      </c>
      <c r="AL21" s="3">
        <v>5.7683450859208953</v>
      </c>
      <c r="AM21" s="3">
        <v>0.854964897948012</v>
      </c>
      <c r="AN21" s="3">
        <v>-6.2385723378337561</v>
      </c>
    </row>
    <row r="22" spans="1:40" x14ac:dyDescent="0.2">
      <c r="A22">
        <v>29497</v>
      </c>
      <c r="B22" s="1">
        <v>43395.933113425926</v>
      </c>
      <c r="C22" t="s">
        <v>3</v>
      </c>
      <c r="D22">
        <v>42</v>
      </c>
      <c r="E22">
        <v>8.1513435682802005E-2</v>
      </c>
      <c r="F22">
        <v>0.18859134592962001</v>
      </c>
      <c r="G22">
        <v>0.20228775860956999</v>
      </c>
      <c r="H22">
        <v>1</v>
      </c>
      <c r="I22">
        <v>1</v>
      </c>
      <c r="J22">
        <v>1</v>
      </c>
      <c r="K22">
        <v>1</v>
      </c>
      <c r="L22">
        <v>1</v>
      </c>
      <c r="M22">
        <v>1</v>
      </c>
      <c r="N22">
        <v>1</v>
      </c>
      <c r="O22">
        <v>1</v>
      </c>
      <c r="P22">
        <v>1</v>
      </c>
      <c r="Q22">
        <v>2</v>
      </c>
      <c r="R22">
        <v>1</v>
      </c>
      <c r="S22">
        <v>1</v>
      </c>
      <c r="T22">
        <v>1</v>
      </c>
      <c r="U22">
        <v>1</v>
      </c>
      <c r="V22">
        <v>1</v>
      </c>
      <c r="W22">
        <v>1</v>
      </c>
      <c r="X22">
        <v>1</v>
      </c>
      <c r="Y22">
        <v>1</v>
      </c>
      <c r="Z22">
        <v>1</v>
      </c>
      <c r="AA22">
        <v>1</v>
      </c>
      <c r="AB22">
        <v>1</v>
      </c>
      <c r="AC22">
        <v>5</v>
      </c>
      <c r="AD22">
        <v>5</v>
      </c>
      <c r="AE22">
        <v>5</v>
      </c>
      <c r="AF22">
        <v>5</v>
      </c>
      <c r="AG22" s="5" t="s">
        <v>43</v>
      </c>
      <c r="AH22" s="6">
        <f t="shared" si="0"/>
        <v>8.1513435682802005E-2</v>
      </c>
      <c r="AI22" s="3">
        <f t="shared" si="2"/>
        <v>9</v>
      </c>
      <c r="AJ22" s="3" t="str">
        <f t="shared" si="3"/>
        <v>passed</v>
      </c>
      <c r="AK22" s="3">
        <f t="shared" si="4"/>
        <v>1</v>
      </c>
      <c r="AL22" s="3">
        <v>2.5221423083185179</v>
      </c>
      <c r="AM22" s="3">
        <v>0.59033232707092498</v>
      </c>
      <c r="AN22" s="3">
        <v>-4.1343303775103744</v>
      </c>
    </row>
    <row r="23" spans="1:40" x14ac:dyDescent="0.2">
      <c r="A23">
        <v>29526</v>
      </c>
      <c r="B23" s="1">
        <v>43396.564629629633</v>
      </c>
      <c r="C23" t="s">
        <v>3</v>
      </c>
      <c r="D23">
        <v>44</v>
      </c>
      <c r="E23">
        <v>6.3739299440950997E-2</v>
      </c>
      <c r="F23">
        <v>0.30388876817844002</v>
      </c>
      <c r="G23">
        <v>0.36118853079278002</v>
      </c>
      <c r="H23">
        <v>1</v>
      </c>
      <c r="I23">
        <v>1</v>
      </c>
      <c r="J23">
        <v>1</v>
      </c>
      <c r="K23">
        <v>1</v>
      </c>
      <c r="L23">
        <v>1</v>
      </c>
      <c r="M23">
        <v>1</v>
      </c>
      <c r="N23">
        <v>1</v>
      </c>
      <c r="O23">
        <v>0</v>
      </c>
      <c r="P23">
        <v>0</v>
      </c>
      <c r="Q23">
        <v>1</v>
      </c>
      <c r="R23">
        <v>1</v>
      </c>
      <c r="S23">
        <v>1</v>
      </c>
      <c r="T23">
        <v>0</v>
      </c>
      <c r="U23">
        <v>1</v>
      </c>
      <c r="V23">
        <v>0</v>
      </c>
      <c r="W23">
        <v>1</v>
      </c>
      <c r="X23">
        <v>0</v>
      </c>
      <c r="Y23">
        <v>1</v>
      </c>
      <c r="Z23">
        <v>1</v>
      </c>
      <c r="AA23">
        <v>1</v>
      </c>
      <c r="AB23">
        <v>1</v>
      </c>
      <c r="AC23">
        <v>5</v>
      </c>
      <c r="AD23">
        <v>5</v>
      </c>
      <c r="AE23">
        <v>5</v>
      </c>
      <c r="AF23">
        <v>5</v>
      </c>
      <c r="AH23" s="6">
        <f t="shared" si="0"/>
        <v>6.3739299440950997E-2</v>
      </c>
      <c r="AI23" s="3">
        <f t="shared" si="2"/>
        <v>9</v>
      </c>
      <c r="AJ23" s="3" t="str">
        <f t="shared" si="3"/>
        <v>passed</v>
      </c>
      <c r="AK23" s="3">
        <f t="shared" si="4"/>
        <v>1</v>
      </c>
      <c r="AL23" s="3">
        <v>7.0150517063475926</v>
      </c>
      <c r="AM23" s="3">
        <v>1.1813988383496721</v>
      </c>
      <c r="AN23" s="3">
        <v>-5.8839675317584712</v>
      </c>
    </row>
    <row r="24" spans="1:40" x14ac:dyDescent="0.2">
      <c r="A24">
        <v>29530</v>
      </c>
      <c r="B24" s="1">
        <v>43396.575868055559</v>
      </c>
      <c r="C24" t="s">
        <v>3</v>
      </c>
      <c r="D24">
        <v>43</v>
      </c>
      <c r="E24">
        <v>0.43360487225670002</v>
      </c>
      <c r="F24">
        <v>0.19200473302009</v>
      </c>
      <c r="G24">
        <v>0.24254617760208999</v>
      </c>
      <c r="H24">
        <v>1</v>
      </c>
      <c r="I24">
        <v>1</v>
      </c>
      <c r="J24">
        <v>1</v>
      </c>
      <c r="K24">
        <v>1</v>
      </c>
      <c r="L24">
        <v>1</v>
      </c>
      <c r="M24">
        <v>1</v>
      </c>
      <c r="N24">
        <v>1</v>
      </c>
      <c r="O24">
        <v>0</v>
      </c>
      <c r="P24">
        <v>0</v>
      </c>
      <c r="Q24">
        <v>1</v>
      </c>
      <c r="R24">
        <v>0</v>
      </c>
      <c r="S24">
        <v>0</v>
      </c>
      <c r="T24">
        <v>1</v>
      </c>
      <c r="U24">
        <v>1</v>
      </c>
      <c r="V24">
        <v>1</v>
      </c>
      <c r="W24">
        <v>1</v>
      </c>
      <c r="X24">
        <v>0</v>
      </c>
      <c r="Y24">
        <v>1</v>
      </c>
      <c r="Z24">
        <v>1</v>
      </c>
      <c r="AA24">
        <v>1</v>
      </c>
      <c r="AB24">
        <v>1</v>
      </c>
      <c r="AC24">
        <v>5</v>
      </c>
      <c r="AD24">
        <v>5</v>
      </c>
      <c r="AE24">
        <v>5</v>
      </c>
      <c r="AF24">
        <v>5</v>
      </c>
      <c r="AG24" t="s">
        <v>44</v>
      </c>
      <c r="AH24" s="6">
        <f t="shared" si="0"/>
        <v>0.43360487225670002</v>
      </c>
      <c r="AI24" s="3">
        <f t="shared" si="2"/>
        <v>9</v>
      </c>
      <c r="AJ24" s="3" t="str">
        <f t="shared" si="3"/>
        <v>passed</v>
      </c>
      <c r="AK24" s="3">
        <f t="shared" si="4"/>
        <v>1</v>
      </c>
      <c r="AL24" s="3">
        <v>3.307542590117341</v>
      </c>
      <c r="AM24" s="3">
        <v>0.64212129327107803</v>
      </c>
      <c r="AN24" s="3">
        <v>-4.4756929072080691</v>
      </c>
    </row>
    <row r="25" spans="1:40" x14ac:dyDescent="0.2">
      <c r="A25">
        <v>29784</v>
      </c>
      <c r="B25" s="1">
        <v>43398.719606481478</v>
      </c>
      <c r="C25" t="s">
        <v>3</v>
      </c>
      <c r="D25">
        <v>29</v>
      </c>
      <c r="E25">
        <v>0.13525736465456001</v>
      </c>
      <c r="F25">
        <v>0.16959176021017999</v>
      </c>
      <c r="G25">
        <v>0.23337834563248</v>
      </c>
      <c r="H25">
        <v>1</v>
      </c>
      <c r="I25">
        <v>1</v>
      </c>
      <c r="J25">
        <v>1</v>
      </c>
      <c r="K25">
        <v>1</v>
      </c>
      <c r="L25">
        <v>1</v>
      </c>
      <c r="M25">
        <v>1</v>
      </c>
      <c r="N25">
        <v>1</v>
      </c>
      <c r="O25">
        <v>1</v>
      </c>
      <c r="P25">
        <v>1</v>
      </c>
      <c r="Q25">
        <v>1</v>
      </c>
      <c r="R25">
        <v>1</v>
      </c>
      <c r="S25">
        <v>0</v>
      </c>
      <c r="T25">
        <v>0</v>
      </c>
      <c r="U25">
        <v>1</v>
      </c>
      <c r="V25">
        <v>1</v>
      </c>
      <c r="W25">
        <v>1</v>
      </c>
      <c r="X25">
        <v>0</v>
      </c>
      <c r="Y25">
        <v>1</v>
      </c>
      <c r="Z25">
        <v>1</v>
      </c>
      <c r="AA25">
        <v>1</v>
      </c>
      <c r="AB25">
        <v>1</v>
      </c>
      <c r="AC25">
        <v>5</v>
      </c>
      <c r="AD25">
        <v>5</v>
      </c>
      <c r="AE25">
        <v>5</v>
      </c>
      <c r="AF25">
        <v>5</v>
      </c>
      <c r="AG25" t="s">
        <v>55</v>
      </c>
      <c r="AH25" s="6">
        <f t="shared" si="0"/>
        <v>0.13525736465456001</v>
      </c>
      <c r="AI25" s="3">
        <f t="shared" si="2"/>
        <v>9</v>
      </c>
      <c r="AJ25" s="3" t="str">
        <f t="shared" si="3"/>
        <v>passed</v>
      </c>
      <c r="AK25" s="3">
        <f t="shared" si="4"/>
        <v>1</v>
      </c>
      <c r="AL25" s="3">
        <v>3.0620872613150381</v>
      </c>
      <c r="AM25" s="3">
        <v>0.57132165787178402</v>
      </c>
      <c r="AN25" s="3">
        <v>-5.1229108092333471</v>
      </c>
    </row>
    <row r="26" spans="1:40" x14ac:dyDescent="0.2">
      <c r="A26">
        <v>29844</v>
      </c>
      <c r="B26" s="1">
        <v>43400.021087962959</v>
      </c>
      <c r="C26" t="s">
        <v>3</v>
      </c>
      <c r="D26">
        <v>51</v>
      </c>
      <c r="E26">
        <v>0.11907286675569</v>
      </c>
      <c r="F26">
        <v>0.17023834121645001</v>
      </c>
      <c r="G26">
        <v>0.11601138817041</v>
      </c>
      <c r="H26">
        <v>1</v>
      </c>
      <c r="I26">
        <v>1</v>
      </c>
      <c r="J26">
        <v>1</v>
      </c>
      <c r="K26">
        <v>1</v>
      </c>
      <c r="L26">
        <v>1</v>
      </c>
      <c r="M26">
        <v>1</v>
      </c>
      <c r="N26">
        <v>1</v>
      </c>
      <c r="O26">
        <v>1</v>
      </c>
      <c r="P26">
        <v>1</v>
      </c>
      <c r="Q26">
        <v>1</v>
      </c>
      <c r="R26">
        <v>0</v>
      </c>
      <c r="S26">
        <v>1</v>
      </c>
      <c r="T26">
        <v>0</v>
      </c>
      <c r="U26">
        <v>1</v>
      </c>
      <c r="V26">
        <v>1</v>
      </c>
      <c r="W26">
        <v>1</v>
      </c>
      <c r="X26">
        <v>0</v>
      </c>
      <c r="Y26">
        <v>1</v>
      </c>
      <c r="Z26">
        <v>1</v>
      </c>
      <c r="AA26">
        <v>1</v>
      </c>
      <c r="AB26">
        <v>1</v>
      </c>
      <c r="AC26">
        <v>5</v>
      </c>
      <c r="AD26">
        <v>5</v>
      </c>
      <c r="AE26">
        <v>5</v>
      </c>
      <c r="AF26">
        <v>5</v>
      </c>
      <c r="AG26" t="s">
        <v>56</v>
      </c>
      <c r="AH26" s="6">
        <f t="shared" si="0"/>
        <v>0.11907286675569</v>
      </c>
      <c r="AI26" s="3">
        <f t="shared" si="2"/>
        <v>9</v>
      </c>
      <c r="AJ26" s="3" t="str">
        <f t="shared" si="3"/>
        <v>passed</v>
      </c>
      <c r="AK26" s="3">
        <f t="shared" si="4"/>
        <v>1</v>
      </c>
      <c r="AL26" s="3">
        <v>1.607741353127536</v>
      </c>
      <c r="AM26" s="3">
        <v>0.29554401461155538</v>
      </c>
      <c r="AN26" s="3">
        <v>-5.0370449502368064</v>
      </c>
    </row>
    <row r="27" spans="1:40" x14ac:dyDescent="0.2">
      <c r="A27">
        <v>29864</v>
      </c>
      <c r="B27" s="1">
        <v>43401.513842592591</v>
      </c>
      <c r="C27" t="s">
        <v>3</v>
      </c>
      <c r="D27">
        <v>44</v>
      </c>
      <c r="E27">
        <v>0.10876239962211</v>
      </c>
      <c r="F27">
        <v>0.25611458491289002</v>
      </c>
      <c r="G27">
        <v>0.27266518551447999</v>
      </c>
      <c r="H27">
        <v>1</v>
      </c>
      <c r="I27">
        <v>1</v>
      </c>
      <c r="J27">
        <v>1</v>
      </c>
      <c r="K27">
        <v>1</v>
      </c>
      <c r="L27">
        <v>1</v>
      </c>
      <c r="M27">
        <v>0</v>
      </c>
      <c r="N27">
        <v>0</v>
      </c>
      <c r="O27">
        <v>0</v>
      </c>
      <c r="P27">
        <v>0</v>
      </c>
      <c r="Q27">
        <v>1</v>
      </c>
      <c r="R27">
        <v>1</v>
      </c>
      <c r="S27">
        <v>1</v>
      </c>
      <c r="T27">
        <v>0</v>
      </c>
      <c r="U27">
        <v>1</v>
      </c>
      <c r="V27">
        <v>0</v>
      </c>
      <c r="W27">
        <v>0</v>
      </c>
      <c r="X27">
        <v>0</v>
      </c>
      <c r="Y27">
        <v>1</v>
      </c>
      <c r="Z27">
        <v>1</v>
      </c>
      <c r="AA27">
        <v>1</v>
      </c>
      <c r="AB27">
        <v>1</v>
      </c>
      <c r="AC27">
        <v>5</v>
      </c>
      <c r="AD27">
        <v>5</v>
      </c>
      <c r="AE27">
        <v>5</v>
      </c>
      <c r="AF27">
        <v>5</v>
      </c>
      <c r="AG27" s="5" t="s">
        <v>58</v>
      </c>
      <c r="AH27" s="6">
        <f t="shared" si="0"/>
        <v>0.10876239962211</v>
      </c>
      <c r="AI27" s="3">
        <f t="shared" si="2"/>
        <v>9</v>
      </c>
      <c r="AJ27" s="3" t="str">
        <f t="shared" si="3"/>
        <v>passed</v>
      </c>
      <c r="AK27" s="3">
        <f t="shared" si="4"/>
        <v>1</v>
      </c>
      <c r="AL27" s="3">
        <v>5.1497240627818099</v>
      </c>
      <c r="AM27" s="3">
        <v>0.8840143023569309</v>
      </c>
      <c r="AN27" s="3">
        <v>-5.7023530611661499</v>
      </c>
    </row>
    <row r="28" spans="1:40" x14ac:dyDescent="0.2">
      <c r="A28">
        <v>29995</v>
      </c>
      <c r="B28" s="1">
        <v>43403.74832175926</v>
      </c>
      <c r="C28" t="s">
        <v>2</v>
      </c>
      <c r="D28">
        <v>46</v>
      </c>
      <c r="E28">
        <v>0.11483119686253</v>
      </c>
      <c r="F28">
        <v>0.27430845755111999</v>
      </c>
      <c r="G28">
        <v>0.24464402212656999</v>
      </c>
      <c r="H28">
        <v>1</v>
      </c>
      <c r="I28">
        <v>1</v>
      </c>
      <c r="J28">
        <v>1</v>
      </c>
      <c r="K28">
        <v>1</v>
      </c>
      <c r="L28">
        <v>0</v>
      </c>
      <c r="M28">
        <v>0</v>
      </c>
      <c r="N28">
        <v>0</v>
      </c>
      <c r="O28">
        <v>0</v>
      </c>
      <c r="P28">
        <v>0</v>
      </c>
      <c r="Q28">
        <v>2</v>
      </c>
      <c r="R28">
        <v>0</v>
      </c>
      <c r="S28">
        <v>1</v>
      </c>
      <c r="T28">
        <v>0</v>
      </c>
      <c r="U28">
        <v>0</v>
      </c>
      <c r="V28">
        <v>1</v>
      </c>
      <c r="W28">
        <v>0</v>
      </c>
      <c r="X28">
        <v>0</v>
      </c>
      <c r="Y28">
        <v>1</v>
      </c>
      <c r="Z28">
        <v>1</v>
      </c>
      <c r="AA28">
        <v>1</v>
      </c>
      <c r="AB28">
        <v>1</v>
      </c>
      <c r="AC28">
        <v>5</v>
      </c>
      <c r="AD28">
        <v>5</v>
      </c>
      <c r="AE28">
        <v>5</v>
      </c>
      <c r="AF28">
        <v>5</v>
      </c>
      <c r="AG28" t="s">
        <v>59</v>
      </c>
      <c r="AH28" s="6">
        <f t="shared" si="0"/>
        <v>0.11483119686253</v>
      </c>
      <c r="AI28" s="3">
        <f t="shared" si="2"/>
        <v>9</v>
      </c>
      <c r="AJ28" s="3" t="str">
        <f t="shared" si="3"/>
        <v>passed</v>
      </c>
      <c r="AK28" s="3">
        <f t="shared" si="4"/>
        <v>1</v>
      </c>
      <c r="AL28" s="3">
        <v>3.6600543241939492</v>
      </c>
      <c r="AM28" s="3">
        <v>0.64703726017510188</v>
      </c>
      <c r="AN28" s="3">
        <v>-5.4791637909260302</v>
      </c>
    </row>
    <row r="29" spans="1:40" x14ac:dyDescent="0.2">
      <c r="A29">
        <v>30642</v>
      </c>
      <c r="B29" s="1">
        <v>43413.463090277779</v>
      </c>
      <c r="C29" t="s">
        <v>2</v>
      </c>
      <c r="D29">
        <v>46</v>
      </c>
      <c r="E29">
        <v>6.5343183507749994E-2</v>
      </c>
      <c r="F29">
        <v>0.23422951408112999</v>
      </c>
      <c r="G29">
        <v>0.26612516642755002</v>
      </c>
      <c r="H29">
        <v>1</v>
      </c>
      <c r="I29">
        <v>1</v>
      </c>
      <c r="J29">
        <v>1</v>
      </c>
      <c r="K29">
        <v>1</v>
      </c>
      <c r="L29">
        <v>1</v>
      </c>
      <c r="M29">
        <v>1</v>
      </c>
      <c r="N29">
        <v>1</v>
      </c>
      <c r="O29">
        <v>0</v>
      </c>
      <c r="P29">
        <v>0</v>
      </c>
      <c r="Q29">
        <v>2</v>
      </c>
      <c r="R29">
        <v>1</v>
      </c>
      <c r="S29">
        <v>0</v>
      </c>
      <c r="T29">
        <v>1</v>
      </c>
      <c r="U29">
        <v>1</v>
      </c>
      <c r="V29">
        <v>1</v>
      </c>
      <c r="W29">
        <v>1</v>
      </c>
      <c r="X29">
        <v>0</v>
      </c>
      <c r="Y29">
        <v>1</v>
      </c>
      <c r="Z29">
        <v>1</v>
      </c>
      <c r="AA29">
        <v>1</v>
      </c>
      <c r="AB29">
        <v>1</v>
      </c>
      <c r="AC29">
        <v>5</v>
      </c>
      <c r="AD29">
        <v>5</v>
      </c>
      <c r="AE29">
        <v>5</v>
      </c>
      <c r="AF29">
        <v>5</v>
      </c>
      <c r="AH29" s="6">
        <f t="shared" si="0"/>
        <v>6.5343183507749994E-2</v>
      </c>
      <c r="AI29" s="3">
        <f t="shared" si="2"/>
        <v>9</v>
      </c>
      <c r="AJ29" s="3" t="str">
        <f t="shared" si="3"/>
        <v>passed</v>
      </c>
      <c r="AK29" s="3">
        <f t="shared" si="4"/>
        <v>1</v>
      </c>
      <c r="AL29" s="3">
        <v>5.1052625410126096</v>
      </c>
      <c r="AM29" s="3">
        <v>0.88409229746875051</v>
      </c>
      <c r="AN29" s="3">
        <v>-5.7006710407212928</v>
      </c>
    </row>
    <row r="30" spans="1:40" x14ac:dyDescent="0.2">
      <c r="A30">
        <v>30650</v>
      </c>
      <c r="B30" s="1">
        <v>43413.474942129629</v>
      </c>
      <c r="C30" t="s">
        <v>3</v>
      </c>
      <c r="D30">
        <v>51</v>
      </c>
      <c r="E30">
        <v>0.21254928904508</v>
      </c>
      <c r="F30">
        <v>0.25698324151106</v>
      </c>
      <c r="G30">
        <v>0.35810378408472998</v>
      </c>
      <c r="H30">
        <v>1</v>
      </c>
      <c r="I30">
        <v>1</v>
      </c>
      <c r="J30">
        <v>1</v>
      </c>
      <c r="K30">
        <v>1</v>
      </c>
      <c r="L30">
        <v>1</v>
      </c>
      <c r="M30">
        <v>1</v>
      </c>
      <c r="N30">
        <v>1</v>
      </c>
      <c r="O30">
        <v>1</v>
      </c>
      <c r="P30">
        <v>1</v>
      </c>
      <c r="Q30">
        <v>1</v>
      </c>
      <c r="R30">
        <v>0</v>
      </c>
      <c r="S30">
        <v>1</v>
      </c>
      <c r="T30">
        <v>1</v>
      </c>
      <c r="U30">
        <v>0</v>
      </c>
      <c r="V30">
        <v>0</v>
      </c>
      <c r="W30">
        <v>0</v>
      </c>
      <c r="X30">
        <v>0</v>
      </c>
      <c r="Y30">
        <v>1</v>
      </c>
      <c r="Z30">
        <v>1</v>
      </c>
      <c r="AA30">
        <v>1</v>
      </c>
      <c r="AB30">
        <v>1</v>
      </c>
      <c r="AC30">
        <v>5</v>
      </c>
      <c r="AD30">
        <v>5</v>
      </c>
      <c r="AE30">
        <v>5</v>
      </c>
      <c r="AF30">
        <v>5</v>
      </c>
      <c r="AG30" s="5" t="s">
        <v>63</v>
      </c>
      <c r="AH30" s="6">
        <f t="shared" si="0"/>
        <v>0.21254928904508</v>
      </c>
      <c r="AI30" s="3">
        <f t="shared" si="2"/>
        <v>9</v>
      </c>
      <c r="AJ30" s="3" t="str">
        <f t="shared" si="3"/>
        <v>passed</v>
      </c>
      <c r="AK30" s="3">
        <f t="shared" si="4"/>
        <v>1</v>
      </c>
      <c r="AL30" s="3">
        <v>7.1938143135606429</v>
      </c>
      <c r="AM30" s="3">
        <v>1.2106066988452739</v>
      </c>
      <c r="AN30" s="3">
        <v>-5.7667490450652332</v>
      </c>
    </row>
    <row r="31" spans="1:40" x14ac:dyDescent="0.2">
      <c r="A31">
        <v>30658</v>
      </c>
      <c r="B31" s="1">
        <v>43413.510150462964</v>
      </c>
      <c r="C31" t="s">
        <v>3</v>
      </c>
      <c r="D31">
        <v>31</v>
      </c>
      <c r="E31">
        <v>0.40285947323299998</v>
      </c>
      <c r="F31">
        <v>0.26173817350546003</v>
      </c>
      <c r="G31">
        <v>0.20922108793472999</v>
      </c>
      <c r="H31">
        <v>1</v>
      </c>
      <c r="I31">
        <v>1</v>
      </c>
      <c r="J31">
        <v>1</v>
      </c>
      <c r="K31">
        <v>1</v>
      </c>
      <c r="L31">
        <v>1</v>
      </c>
      <c r="M31">
        <v>1</v>
      </c>
      <c r="N31">
        <v>1</v>
      </c>
      <c r="O31">
        <v>1</v>
      </c>
      <c r="P31">
        <v>1</v>
      </c>
      <c r="Q31">
        <v>2</v>
      </c>
      <c r="R31">
        <v>0</v>
      </c>
      <c r="S31">
        <v>0</v>
      </c>
      <c r="T31">
        <v>0</v>
      </c>
      <c r="U31">
        <v>1</v>
      </c>
      <c r="V31">
        <v>1</v>
      </c>
      <c r="W31">
        <v>0</v>
      </c>
      <c r="X31">
        <v>0</v>
      </c>
      <c r="Y31">
        <v>1</v>
      </c>
      <c r="Z31">
        <v>1</v>
      </c>
      <c r="AA31">
        <v>1</v>
      </c>
      <c r="AB31">
        <v>1</v>
      </c>
      <c r="AC31">
        <v>5</v>
      </c>
      <c r="AD31">
        <v>5</v>
      </c>
      <c r="AE31">
        <v>5</v>
      </c>
      <c r="AF31">
        <v>5</v>
      </c>
      <c r="AG31" s="5" t="s">
        <v>66</v>
      </c>
      <c r="AH31" s="6">
        <f t="shared" si="0"/>
        <v>0.40285947323299998</v>
      </c>
      <c r="AI31" s="3">
        <f t="shared" si="2"/>
        <v>9</v>
      </c>
      <c r="AJ31" s="3" t="str">
        <f t="shared" si="3"/>
        <v>passed</v>
      </c>
      <c r="AK31" s="3">
        <f t="shared" si="4"/>
        <v>1</v>
      </c>
      <c r="AL31" s="3">
        <v>2.9750618466017338</v>
      </c>
      <c r="AM31" s="3">
        <v>0.56854022646605618</v>
      </c>
      <c r="AN31" s="3">
        <v>-4.5242223041227616</v>
      </c>
    </row>
    <row r="32" spans="1:40" x14ac:dyDescent="0.2">
      <c r="A32">
        <v>30662</v>
      </c>
      <c r="B32" s="1">
        <v>43413.511122685188</v>
      </c>
      <c r="C32" t="s">
        <v>2</v>
      </c>
      <c r="D32">
        <v>45</v>
      </c>
      <c r="E32">
        <v>0.16242993868773001</v>
      </c>
      <c r="F32">
        <v>0.29924895156482001</v>
      </c>
      <c r="G32">
        <v>0.27620999996223</v>
      </c>
      <c r="H32">
        <v>1</v>
      </c>
      <c r="I32">
        <v>1</v>
      </c>
      <c r="J32">
        <v>1</v>
      </c>
      <c r="K32">
        <v>1</v>
      </c>
      <c r="L32">
        <v>1</v>
      </c>
      <c r="M32">
        <v>1</v>
      </c>
      <c r="N32">
        <v>1</v>
      </c>
      <c r="O32">
        <v>1</v>
      </c>
      <c r="P32">
        <v>1</v>
      </c>
      <c r="Q32">
        <v>2</v>
      </c>
      <c r="R32">
        <v>0</v>
      </c>
      <c r="S32">
        <v>0</v>
      </c>
      <c r="T32">
        <v>1</v>
      </c>
      <c r="U32">
        <v>1</v>
      </c>
      <c r="V32">
        <v>1</v>
      </c>
      <c r="W32">
        <v>0</v>
      </c>
      <c r="X32">
        <v>0</v>
      </c>
      <c r="Y32">
        <v>1</v>
      </c>
      <c r="Z32">
        <v>1</v>
      </c>
      <c r="AA32">
        <v>1</v>
      </c>
      <c r="AB32">
        <v>1</v>
      </c>
      <c r="AC32">
        <v>5</v>
      </c>
      <c r="AD32">
        <v>5</v>
      </c>
      <c r="AE32">
        <v>5</v>
      </c>
      <c r="AF32">
        <v>5</v>
      </c>
      <c r="AG32" s="5" t="s">
        <v>67</v>
      </c>
      <c r="AH32" s="6">
        <f t="shared" si="0"/>
        <v>0.16242993868773001</v>
      </c>
      <c r="AI32" s="3">
        <f t="shared" si="2"/>
        <v>9</v>
      </c>
      <c r="AJ32" s="3" t="str">
        <f t="shared" si="3"/>
        <v>passed</v>
      </c>
      <c r="AK32" s="3">
        <f t="shared" si="4"/>
        <v>1</v>
      </c>
      <c r="AL32" s="3">
        <v>5.7731657796156304</v>
      </c>
      <c r="AM32" s="3">
        <v>1.2573795389307749</v>
      </c>
      <c r="AN32" s="3">
        <v>-4.462245222869659</v>
      </c>
    </row>
    <row r="33" spans="1:40" x14ac:dyDescent="0.2">
      <c r="A33">
        <v>30725</v>
      </c>
      <c r="B33" s="1">
        <v>43413.915243055555</v>
      </c>
      <c r="C33" t="s">
        <v>14</v>
      </c>
      <c r="D33">
        <v>34</v>
      </c>
      <c r="E33">
        <v>1.1676195192225E-3</v>
      </c>
      <c r="F33">
        <v>6.4092596852098997E-3</v>
      </c>
      <c r="G33">
        <v>3.6748593917275002E-3</v>
      </c>
      <c r="H33">
        <v>1</v>
      </c>
      <c r="I33">
        <v>1</v>
      </c>
      <c r="J33">
        <v>1</v>
      </c>
      <c r="K33">
        <v>1</v>
      </c>
      <c r="L33">
        <v>1</v>
      </c>
      <c r="M33">
        <v>1</v>
      </c>
      <c r="N33">
        <v>1</v>
      </c>
      <c r="O33">
        <v>1</v>
      </c>
      <c r="P33">
        <v>1</v>
      </c>
      <c r="Q33">
        <v>2</v>
      </c>
      <c r="R33">
        <v>0</v>
      </c>
      <c r="S33">
        <v>1</v>
      </c>
      <c r="T33">
        <v>1</v>
      </c>
      <c r="U33">
        <v>0</v>
      </c>
      <c r="V33">
        <v>1</v>
      </c>
      <c r="W33">
        <v>0</v>
      </c>
      <c r="X33">
        <v>0</v>
      </c>
      <c r="Y33">
        <v>1</v>
      </c>
      <c r="Z33">
        <v>1</v>
      </c>
      <c r="AA33">
        <v>1</v>
      </c>
      <c r="AB33">
        <v>1</v>
      </c>
      <c r="AC33">
        <v>5</v>
      </c>
      <c r="AD33">
        <v>5</v>
      </c>
      <c r="AE33">
        <v>5</v>
      </c>
      <c r="AF33">
        <v>5</v>
      </c>
      <c r="AG33" t="s">
        <v>72</v>
      </c>
      <c r="AH33" s="6">
        <f t="shared" si="0"/>
        <v>1.1676195192225E-3</v>
      </c>
      <c r="AI33" s="3">
        <f t="shared" si="2"/>
        <v>9</v>
      </c>
      <c r="AJ33" s="3" t="str">
        <f t="shared" si="3"/>
        <v>passed</v>
      </c>
      <c r="AK33" s="3">
        <f t="shared" si="4"/>
        <v>1</v>
      </c>
      <c r="AL33" s="3">
        <v>1.183561355201425E-3</v>
      </c>
      <c r="AM33" s="3">
        <v>3.0381645521485658E-4</v>
      </c>
      <c r="AN33" s="3">
        <v>-5.2471930686040461E-2</v>
      </c>
    </row>
    <row r="34" spans="1:40" x14ac:dyDescent="0.2">
      <c r="A34">
        <v>30838</v>
      </c>
      <c r="B34" s="1">
        <v>43415.682488425926</v>
      </c>
      <c r="C34" t="s">
        <v>3</v>
      </c>
      <c r="D34">
        <v>39</v>
      </c>
      <c r="E34">
        <v>3.8229766624279002E-2</v>
      </c>
      <c r="F34">
        <v>0.22639607597566999</v>
      </c>
      <c r="G34">
        <v>0.17104752796239001</v>
      </c>
      <c r="H34">
        <v>1</v>
      </c>
      <c r="I34">
        <v>1</v>
      </c>
      <c r="J34">
        <v>1</v>
      </c>
      <c r="K34">
        <v>1</v>
      </c>
      <c r="L34">
        <v>1</v>
      </c>
      <c r="M34">
        <v>1</v>
      </c>
      <c r="N34">
        <v>1</v>
      </c>
      <c r="O34">
        <v>1</v>
      </c>
      <c r="P34">
        <v>1</v>
      </c>
      <c r="Q34">
        <v>2</v>
      </c>
      <c r="R34">
        <v>0</v>
      </c>
      <c r="S34">
        <v>0</v>
      </c>
      <c r="T34">
        <v>0</v>
      </c>
      <c r="U34">
        <v>1</v>
      </c>
      <c r="V34">
        <v>1</v>
      </c>
      <c r="W34">
        <v>0</v>
      </c>
      <c r="X34">
        <v>0</v>
      </c>
      <c r="Y34">
        <v>1</v>
      </c>
      <c r="Z34">
        <v>1</v>
      </c>
      <c r="AA34">
        <v>1</v>
      </c>
      <c r="AB34">
        <v>1</v>
      </c>
      <c r="AC34">
        <v>5</v>
      </c>
      <c r="AD34">
        <v>5</v>
      </c>
      <c r="AE34">
        <v>5</v>
      </c>
      <c r="AF34">
        <v>5</v>
      </c>
      <c r="AG34" s="5" t="s">
        <v>75</v>
      </c>
      <c r="AH34" s="6">
        <f t="shared" si="0"/>
        <v>3.8229766624279002E-2</v>
      </c>
      <c r="AI34" s="3">
        <f t="shared" si="2"/>
        <v>9</v>
      </c>
      <c r="AJ34" s="3" t="str">
        <f t="shared" si="3"/>
        <v>passed</v>
      </c>
      <c r="AK34" s="3">
        <f t="shared" si="4"/>
        <v>1</v>
      </c>
      <c r="AL34" s="3">
        <v>2.4157367041211639</v>
      </c>
      <c r="AM34" s="3">
        <v>0.38026694248241882</v>
      </c>
      <c r="AN34" s="3">
        <v>-6.2522051535068819</v>
      </c>
    </row>
    <row r="35" spans="1:40" x14ac:dyDescent="0.2">
      <c r="A35">
        <v>30883</v>
      </c>
      <c r="B35" s="1">
        <v>43416.64744212963</v>
      </c>
      <c r="C35" t="s">
        <v>3</v>
      </c>
      <c r="D35">
        <v>22</v>
      </c>
      <c r="E35">
        <v>1.6229347959752002E-2</v>
      </c>
      <c r="F35">
        <v>8.9152791291506994E-2</v>
      </c>
      <c r="G35">
        <v>0.16457092267687001</v>
      </c>
      <c r="H35">
        <v>1</v>
      </c>
      <c r="I35">
        <v>1</v>
      </c>
      <c r="J35">
        <v>1</v>
      </c>
      <c r="K35">
        <v>1</v>
      </c>
      <c r="L35">
        <v>1</v>
      </c>
      <c r="M35">
        <v>1</v>
      </c>
      <c r="N35">
        <v>1</v>
      </c>
      <c r="O35">
        <v>1</v>
      </c>
      <c r="P35">
        <v>1</v>
      </c>
      <c r="Q35">
        <v>2</v>
      </c>
      <c r="R35">
        <v>0</v>
      </c>
      <c r="S35">
        <v>0</v>
      </c>
      <c r="T35">
        <v>1</v>
      </c>
      <c r="U35">
        <v>0</v>
      </c>
      <c r="V35">
        <v>0</v>
      </c>
      <c r="W35">
        <v>1</v>
      </c>
      <c r="X35">
        <v>0</v>
      </c>
      <c r="Y35">
        <v>1</v>
      </c>
      <c r="Z35">
        <v>1</v>
      </c>
      <c r="AA35">
        <v>1</v>
      </c>
      <c r="AB35">
        <v>1</v>
      </c>
      <c r="AC35">
        <v>5</v>
      </c>
      <c r="AD35">
        <v>5</v>
      </c>
      <c r="AE35">
        <v>5</v>
      </c>
      <c r="AF35">
        <v>5</v>
      </c>
      <c r="AH35" s="6">
        <f t="shared" si="0"/>
        <v>1.6229347959752002E-2</v>
      </c>
      <c r="AI35" s="3">
        <f t="shared" si="2"/>
        <v>9</v>
      </c>
      <c r="AJ35" s="3" t="str">
        <f t="shared" si="3"/>
        <v>passed</v>
      </c>
      <c r="AK35" s="3">
        <f t="shared" si="4"/>
        <v>1</v>
      </c>
      <c r="AL35" s="3">
        <v>1.3474862639970919</v>
      </c>
      <c r="AM35" s="3">
        <v>0.20288685229880221</v>
      </c>
      <c r="AN35" s="3">
        <v>-6.5615731179895649</v>
      </c>
    </row>
    <row r="36" spans="1:40" x14ac:dyDescent="0.2">
      <c r="A36">
        <v>31065</v>
      </c>
      <c r="B36" s="1">
        <v>43418.707175925927</v>
      </c>
      <c r="C36" t="s">
        <v>3</v>
      </c>
      <c r="D36">
        <v>28</v>
      </c>
      <c r="E36">
        <v>0.35195123134325002</v>
      </c>
      <c r="F36">
        <v>0.31869076636347998</v>
      </c>
      <c r="G36">
        <v>0.23359774830579</v>
      </c>
      <c r="H36">
        <v>1</v>
      </c>
      <c r="I36">
        <v>1</v>
      </c>
      <c r="J36">
        <v>1</v>
      </c>
      <c r="K36">
        <v>1</v>
      </c>
      <c r="L36">
        <v>1</v>
      </c>
      <c r="M36">
        <v>1</v>
      </c>
      <c r="N36">
        <v>1</v>
      </c>
      <c r="O36">
        <v>1</v>
      </c>
      <c r="P36">
        <v>1</v>
      </c>
      <c r="Q36">
        <v>2</v>
      </c>
      <c r="R36">
        <v>0</v>
      </c>
      <c r="S36">
        <v>1</v>
      </c>
      <c r="T36">
        <v>0</v>
      </c>
      <c r="U36">
        <v>1</v>
      </c>
      <c r="V36">
        <v>1</v>
      </c>
      <c r="W36">
        <v>0</v>
      </c>
      <c r="X36">
        <v>0</v>
      </c>
      <c r="Y36">
        <v>1</v>
      </c>
      <c r="Z36">
        <v>1</v>
      </c>
      <c r="AA36">
        <v>1</v>
      </c>
      <c r="AB36">
        <v>1</v>
      </c>
      <c r="AC36">
        <v>5</v>
      </c>
      <c r="AD36">
        <v>5</v>
      </c>
      <c r="AE36">
        <v>5</v>
      </c>
      <c r="AF36">
        <v>5</v>
      </c>
      <c r="AG36" s="5" t="s">
        <v>79</v>
      </c>
      <c r="AH36" s="6">
        <f t="shared" si="0"/>
        <v>0.35195123134325002</v>
      </c>
      <c r="AI36" s="3">
        <f t="shared" si="2"/>
        <v>9</v>
      </c>
      <c r="AJ36" s="3" t="str">
        <f t="shared" si="3"/>
        <v>passed</v>
      </c>
      <c r="AK36" s="3">
        <f t="shared" si="4"/>
        <v>1</v>
      </c>
      <c r="AL36" s="3">
        <v>4.7632953709175903</v>
      </c>
      <c r="AM36" s="3">
        <v>0.80509700842510112</v>
      </c>
      <c r="AN36" s="3">
        <v>-5.4792703157643583</v>
      </c>
    </row>
    <row r="37" spans="1:40" x14ac:dyDescent="0.2">
      <c r="A37">
        <v>31236</v>
      </c>
      <c r="B37" s="1">
        <v>43420.818657407406</v>
      </c>
      <c r="C37" t="s">
        <v>3</v>
      </c>
      <c r="D37">
        <v>39</v>
      </c>
      <c r="E37">
        <v>3.7570889284925003E-2</v>
      </c>
      <c r="F37">
        <v>0.25866814020111001</v>
      </c>
      <c r="G37">
        <v>0.2014142191869</v>
      </c>
      <c r="H37">
        <v>1</v>
      </c>
      <c r="I37">
        <v>1</v>
      </c>
      <c r="J37">
        <v>1</v>
      </c>
      <c r="K37">
        <v>1</v>
      </c>
      <c r="L37">
        <v>1</v>
      </c>
      <c r="M37">
        <v>1</v>
      </c>
      <c r="N37">
        <v>1</v>
      </c>
      <c r="O37">
        <v>1</v>
      </c>
      <c r="P37">
        <v>1</v>
      </c>
      <c r="Q37">
        <v>1</v>
      </c>
      <c r="R37">
        <v>0</v>
      </c>
      <c r="S37">
        <v>0</v>
      </c>
      <c r="T37">
        <v>0</v>
      </c>
      <c r="U37">
        <v>0</v>
      </c>
      <c r="V37">
        <v>1</v>
      </c>
      <c r="W37">
        <v>0</v>
      </c>
      <c r="X37">
        <v>0</v>
      </c>
      <c r="Y37">
        <v>1</v>
      </c>
      <c r="Z37">
        <v>1</v>
      </c>
      <c r="AA37">
        <v>1</v>
      </c>
      <c r="AB37">
        <v>1</v>
      </c>
      <c r="AC37">
        <v>5</v>
      </c>
      <c r="AD37">
        <v>5</v>
      </c>
      <c r="AE37">
        <v>5</v>
      </c>
      <c r="AF37">
        <v>5</v>
      </c>
      <c r="AH37" s="6">
        <f t="shared" si="0"/>
        <v>3.7570889284925003E-2</v>
      </c>
      <c r="AI37" s="3">
        <f t="shared" si="2"/>
        <v>9</v>
      </c>
      <c r="AJ37" s="3" t="str">
        <f t="shared" si="3"/>
        <v>passed</v>
      </c>
      <c r="AK37" s="3">
        <f t="shared" si="4"/>
        <v>1</v>
      </c>
      <c r="AL37" s="3">
        <v>4.0685528094951922</v>
      </c>
      <c r="AM37" s="3">
        <v>0.84255228680050853</v>
      </c>
      <c r="AN37" s="3">
        <v>-4.784251355506302</v>
      </c>
    </row>
    <row r="38" spans="1:40" x14ac:dyDescent="0.2">
      <c r="A38">
        <v>31403</v>
      </c>
      <c r="B38" s="1">
        <v>43424.927199074074</v>
      </c>
      <c r="C38" t="s">
        <v>3</v>
      </c>
      <c r="D38">
        <v>38</v>
      </c>
      <c r="E38">
        <v>6.1192627301813997E-2</v>
      </c>
      <c r="F38">
        <v>0.22659172945058001</v>
      </c>
      <c r="G38">
        <v>9.6004298353476E-2</v>
      </c>
      <c r="H38">
        <v>1</v>
      </c>
      <c r="I38">
        <v>1</v>
      </c>
      <c r="J38">
        <v>1</v>
      </c>
      <c r="K38">
        <v>1</v>
      </c>
      <c r="L38">
        <v>1</v>
      </c>
      <c r="M38">
        <v>1</v>
      </c>
      <c r="N38">
        <v>0</v>
      </c>
      <c r="O38">
        <v>0</v>
      </c>
      <c r="P38">
        <v>0</v>
      </c>
      <c r="Q38">
        <v>2</v>
      </c>
      <c r="R38">
        <v>0</v>
      </c>
      <c r="S38">
        <v>0</v>
      </c>
      <c r="T38">
        <v>0</v>
      </c>
      <c r="U38">
        <v>0</v>
      </c>
      <c r="V38">
        <v>1</v>
      </c>
      <c r="W38">
        <v>0</v>
      </c>
      <c r="X38">
        <v>0</v>
      </c>
      <c r="Y38">
        <v>1</v>
      </c>
      <c r="Z38">
        <v>1</v>
      </c>
      <c r="AA38">
        <v>1</v>
      </c>
      <c r="AB38">
        <v>1</v>
      </c>
      <c r="AC38">
        <v>5</v>
      </c>
      <c r="AD38">
        <v>5</v>
      </c>
      <c r="AE38">
        <v>5</v>
      </c>
      <c r="AF38">
        <v>5</v>
      </c>
      <c r="AG38" s="5" t="s">
        <v>81</v>
      </c>
      <c r="AH38" s="6">
        <f t="shared" si="0"/>
        <v>6.1192627301813997E-2</v>
      </c>
      <c r="AI38" s="3">
        <f t="shared" si="2"/>
        <v>9</v>
      </c>
      <c r="AJ38" s="3" t="str">
        <f t="shared" si="3"/>
        <v>passed</v>
      </c>
      <c r="AK38" s="3">
        <f t="shared" si="4"/>
        <v>1</v>
      </c>
      <c r="AL38" s="3">
        <v>1.750010396773922</v>
      </c>
      <c r="AM38" s="3">
        <v>0.3183634028889093</v>
      </c>
      <c r="AN38" s="3">
        <v>-5.3046856332962662</v>
      </c>
    </row>
    <row r="39" spans="1:40" x14ac:dyDescent="0.2">
      <c r="A39">
        <v>38815</v>
      </c>
      <c r="B39" s="1">
        <v>43587.781458333331</v>
      </c>
      <c r="C39" t="s">
        <v>3</v>
      </c>
      <c r="D39">
        <v>33</v>
      </c>
      <c r="E39">
        <v>0.10087892584967</v>
      </c>
      <c r="F39">
        <v>0.20469786359009001</v>
      </c>
      <c r="G39">
        <v>0.19962546093646999</v>
      </c>
      <c r="H39">
        <v>1</v>
      </c>
      <c r="I39">
        <v>1</v>
      </c>
      <c r="J39">
        <v>1</v>
      </c>
      <c r="K39">
        <v>1</v>
      </c>
      <c r="L39">
        <v>1</v>
      </c>
      <c r="M39">
        <v>1</v>
      </c>
      <c r="N39">
        <v>1</v>
      </c>
      <c r="O39">
        <v>0</v>
      </c>
      <c r="P39">
        <v>0</v>
      </c>
      <c r="Q39">
        <v>2</v>
      </c>
      <c r="R39">
        <v>0</v>
      </c>
      <c r="S39">
        <v>0</v>
      </c>
      <c r="T39">
        <v>1</v>
      </c>
      <c r="U39">
        <v>0</v>
      </c>
      <c r="V39">
        <v>0</v>
      </c>
      <c r="W39">
        <v>0</v>
      </c>
      <c r="X39">
        <v>0</v>
      </c>
      <c r="Y39">
        <v>1</v>
      </c>
      <c r="Z39">
        <v>1</v>
      </c>
      <c r="AA39">
        <v>1</v>
      </c>
      <c r="AB39">
        <v>1</v>
      </c>
      <c r="AC39">
        <v>5</v>
      </c>
      <c r="AD39">
        <v>5</v>
      </c>
      <c r="AE39">
        <v>5</v>
      </c>
      <c r="AF39">
        <v>5</v>
      </c>
      <c r="AH39" s="6">
        <f t="shared" si="0"/>
        <v>0.10087892584967</v>
      </c>
      <c r="AI39" s="3">
        <f t="shared" si="2"/>
        <v>9</v>
      </c>
      <c r="AJ39" s="3" t="str">
        <f t="shared" si="3"/>
        <v>passed</v>
      </c>
      <c r="AK39" s="3">
        <f t="shared" si="4"/>
        <v>1</v>
      </c>
      <c r="AL39" s="3">
        <v>3.2230611390735082</v>
      </c>
      <c r="AM39" s="3">
        <v>0.541023396819034</v>
      </c>
      <c r="AN39" s="3">
        <v>-5.7708820571916508</v>
      </c>
    </row>
    <row r="40" spans="1:40" x14ac:dyDescent="0.2">
      <c r="A40">
        <v>39200</v>
      </c>
      <c r="B40" s="1">
        <v>43598.516481481478</v>
      </c>
      <c r="C40" t="s">
        <v>3</v>
      </c>
      <c r="D40">
        <v>53</v>
      </c>
      <c r="E40">
        <v>6.1489514180756003E-2</v>
      </c>
      <c r="F40">
        <v>0.29897078264413002</v>
      </c>
      <c r="G40">
        <v>0.34317104985802999</v>
      </c>
      <c r="H40">
        <v>1</v>
      </c>
      <c r="I40">
        <v>1</v>
      </c>
      <c r="J40">
        <v>1</v>
      </c>
      <c r="K40">
        <v>1</v>
      </c>
      <c r="L40">
        <v>1</v>
      </c>
      <c r="M40">
        <v>1</v>
      </c>
      <c r="N40">
        <v>1</v>
      </c>
      <c r="O40">
        <v>0</v>
      </c>
      <c r="P40">
        <v>0</v>
      </c>
      <c r="Q40">
        <v>2</v>
      </c>
      <c r="R40">
        <v>1</v>
      </c>
      <c r="S40">
        <v>0</v>
      </c>
      <c r="T40">
        <v>0</v>
      </c>
      <c r="U40">
        <v>1</v>
      </c>
      <c r="V40">
        <v>0</v>
      </c>
      <c r="W40">
        <v>0</v>
      </c>
      <c r="X40">
        <v>0</v>
      </c>
      <c r="Y40">
        <v>1</v>
      </c>
      <c r="Z40">
        <v>1</v>
      </c>
      <c r="AA40">
        <v>1</v>
      </c>
      <c r="AB40">
        <v>1</v>
      </c>
      <c r="AC40">
        <v>5</v>
      </c>
      <c r="AD40">
        <v>5</v>
      </c>
      <c r="AE40">
        <v>5</v>
      </c>
      <c r="AF40">
        <v>5</v>
      </c>
      <c r="AG40" t="s">
        <v>93</v>
      </c>
      <c r="AH40" s="6">
        <f t="shared" si="0"/>
        <v>6.1489514180756003E-2</v>
      </c>
      <c r="AI40" s="3">
        <f t="shared" si="2"/>
        <v>9</v>
      </c>
      <c r="AJ40" s="3" t="str">
        <f t="shared" si="3"/>
        <v>passed</v>
      </c>
      <c r="AK40" s="3">
        <f t="shared" si="4"/>
        <v>1</v>
      </c>
      <c r="AL40" s="3">
        <v>8.5018307445269965</v>
      </c>
      <c r="AM40" s="3">
        <v>1.495448802976453</v>
      </c>
      <c r="AN40" s="3">
        <v>-5.6440188480856603</v>
      </c>
    </row>
    <row r="41" spans="1:40" x14ac:dyDescent="0.2">
      <c r="A41">
        <v>39208</v>
      </c>
      <c r="B41" s="1">
        <v>43598.627442129633</v>
      </c>
      <c r="C41" t="s">
        <v>3</v>
      </c>
      <c r="D41">
        <v>39</v>
      </c>
      <c r="E41">
        <v>1.3026566857478E-2</v>
      </c>
      <c r="F41">
        <v>0.22696480022296001</v>
      </c>
      <c r="G41">
        <v>0.19400293238551</v>
      </c>
      <c r="H41">
        <v>1</v>
      </c>
      <c r="I41">
        <v>1</v>
      </c>
      <c r="J41">
        <v>1</v>
      </c>
      <c r="K41">
        <v>1</v>
      </c>
      <c r="L41">
        <v>1</v>
      </c>
      <c r="M41">
        <v>1</v>
      </c>
      <c r="N41">
        <v>1</v>
      </c>
      <c r="O41">
        <v>1</v>
      </c>
      <c r="P41">
        <v>1</v>
      </c>
      <c r="Q41">
        <v>2</v>
      </c>
      <c r="R41">
        <v>1</v>
      </c>
      <c r="S41">
        <v>0</v>
      </c>
      <c r="T41">
        <v>0</v>
      </c>
      <c r="U41">
        <v>1</v>
      </c>
      <c r="V41">
        <v>0</v>
      </c>
      <c r="W41">
        <v>1</v>
      </c>
      <c r="X41">
        <v>1</v>
      </c>
      <c r="Y41">
        <v>1</v>
      </c>
      <c r="Z41">
        <v>1</v>
      </c>
      <c r="AA41">
        <v>1</v>
      </c>
      <c r="AB41">
        <v>1</v>
      </c>
      <c r="AC41">
        <v>5</v>
      </c>
      <c r="AD41">
        <v>5</v>
      </c>
      <c r="AE41">
        <v>5</v>
      </c>
      <c r="AF41">
        <v>5</v>
      </c>
      <c r="AH41" s="6">
        <f t="shared" si="0"/>
        <v>1.3026566857478E-2</v>
      </c>
      <c r="AI41" s="3">
        <f t="shared" si="2"/>
        <v>9</v>
      </c>
      <c r="AJ41" s="3" t="str">
        <f t="shared" si="3"/>
        <v>passed</v>
      </c>
      <c r="AK41" s="3">
        <f t="shared" si="4"/>
        <v>1</v>
      </c>
      <c r="AL41" s="3">
        <v>3.3369757249705181</v>
      </c>
      <c r="AM41" s="3">
        <v>0.71491587207116825</v>
      </c>
      <c r="AN41" s="3">
        <v>-4.649426999687801</v>
      </c>
    </row>
    <row r="42" spans="1:40" x14ac:dyDescent="0.2">
      <c r="A42">
        <v>39217</v>
      </c>
      <c r="B42" s="1">
        <v>43598.778356481482</v>
      </c>
      <c r="C42" t="s">
        <v>3</v>
      </c>
      <c r="D42">
        <v>49</v>
      </c>
      <c r="E42">
        <v>0.18318190554130001</v>
      </c>
      <c r="F42">
        <v>0.20149670295908001</v>
      </c>
      <c r="G42">
        <v>0.32400978027915001</v>
      </c>
      <c r="H42">
        <v>1</v>
      </c>
      <c r="I42">
        <v>1</v>
      </c>
      <c r="J42">
        <v>1</v>
      </c>
      <c r="K42">
        <v>1</v>
      </c>
      <c r="L42">
        <v>1</v>
      </c>
      <c r="M42">
        <v>1</v>
      </c>
      <c r="N42">
        <v>1</v>
      </c>
      <c r="O42">
        <v>1</v>
      </c>
      <c r="P42">
        <v>1</v>
      </c>
      <c r="Q42">
        <v>3</v>
      </c>
      <c r="R42">
        <v>0</v>
      </c>
      <c r="S42">
        <v>0</v>
      </c>
      <c r="T42">
        <v>1</v>
      </c>
      <c r="U42">
        <v>0</v>
      </c>
      <c r="V42">
        <v>1</v>
      </c>
      <c r="W42">
        <v>1</v>
      </c>
      <c r="X42">
        <v>0</v>
      </c>
      <c r="Y42">
        <v>1</v>
      </c>
      <c r="Z42">
        <v>1</v>
      </c>
      <c r="AA42">
        <v>1</v>
      </c>
      <c r="AB42">
        <v>1</v>
      </c>
      <c r="AC42">
        <v>5</v>
      </c>
      <c r="AD42">
        <v>5</v>
      </c>
      <c r="AE42">
        <v>5</v>
      </c>
      <c r="AF42">
        <v>5</v>
      </c>
      <c r="AG42" t="s">
        <v>94</v>
      </c>
      <c r="AH42" s="6">
        <f t="shared" si="0"/>
        <v>0.18318190554130001</v>
      </c>
      <c r="AI42" s="3">
        <f t="shared" si="2"/>
        <v>9</v>
      </c>
      <c r="AJ42" s="3" t="str">
        <f t="shared" si="3"/>
        <v>passed</v>
      </c>
      <c r="AK42" s="3">
        <f t="shared" si="4"/>
        <v>1</v>
      </c>
      <c r="AL42" s="3">
        <v>3.668515091728509</v>
      </c>
      <c r="AM42" s="3">
        <v>0.72072034939481833</v>
      </c>
      <c r="AN42" s="3">
        <v>-4.8359022873626527</v>
      </c>
    </row>
    <row r="43" spans="1:40" x14ac:dyDescent="0.2">
      <c r="A43">
        <v>39285</v>
      </c>
      <c r="B43" s="1">
        <v>43601.844004629631</v>
      </c>
      <c r="C43" t="s">
        <v>3</v>
      </c>
      <c r="D43">
        <v>44</v>
      </c>
      <c r="E43">
        <v>0.32069068418878</v>
      </c>
      <c r="F43">
        <v>0.14165495010920001</v>
      </c>
      <c r="G43">
        <v>0.24316901615392</v>
      </c>
      <c r="H43">
        <v>1</v>
      </c>
      <c r="I43">
        <v>1</v>
      </c>
      <c r="J43">
        <v>1</v>
      </c>
      <c r="K43">
        <v>1</v>
      </c>
      <c r="L43">
        <v>1</v>
      </c>
      <c r="M43">
        <v>1</v>
      </c>
      <c r="N43">
        <v>1</v>
      </c>
      <c r="O43">
        <v>1</v>
      </c>
      <c r="P43">
        <v>1</v>
      </c>
      <c r="Q43">
        <v>1</v>
      </c>
      <c r="R43">
        <v>0</v>
      </c>
      <c r="S43">
        <v>1</v>
      </c>
      <c r="T43">
        <v>0</v>
      </c>
      <c r="U43">
        <v>1</v>
      </c>
      <c r="V43">
        <v>1</v>
      </c>
      <c r="W43">
        <v>0</v>
      </c>
      <c r="X43">
        <v>0</v>
      </c>
      <c r="Y43">
        <v>1</v>
      </c>
      <c r="Z43">
        <v>1</v>
      </c>
      <c r="AA43">
        <v>1</v>
      </c>
      <c r="AB43">
        <v>1</v>
      </c>
      <c r="AC43">
        <v>5</v>
      </c>
      <c r="AD43">
        <v>5</v>
      </c>
      <c r="AE43">
        <v>5</v>
      </c>
      <c r="AF43">
        <v>5</v>
      </c>
      <c r="AH43" s="6">
        <f t="shared" si="0"/>
        <v>0.32069068418878</v>
      </c>
      <c r="AI43" s="3">
        <f t="shared" si="2"/>
        <v>9</v>
      </c>
      <c r="AJ43" s="3" t="str">
        <f t="shared" si="3"/>
        <v>passed</v>
      </c>
      <c r="AK43" s="3">
        <f t="shared" si="4"/>
        <v>1</v>
      </c>
      <c r="AL43" s="3">
        <v>2.607384986700783</v>
      </c>
      <c r="AM43" s="3">
        <v>0.43890997718443348</v>
      </c>
      <c r="AN43" s="3">
        <v>-5.2099392161940159</v>
      </c>
    </row>
    <row r="44" spans="1:40" x14ac:dyDescent="0.2">
      <c r="A44">
        <v>39492</v>
      </c>
      <c r="B44" s="1">
        <v>43620.394212962965</v>
      </c>
      <c r="C44" t="s">
        <v>3</v>
      </c>
      <c r="D44">
        <v>22</v>
      </c>
      <c r="E44">
        <v>9.9514502939666002E-2</v>
      </c>
      <c r="F44">
        <v>0.22450084048652</v>
      </c>
      <c r="G44">
        <v>0.33117856535509999</v>
      </c>
      <c r="H44">
        <v>1</v>
      </c>
      <c r="I44">
        <v>1</v>
      </c>
      <c r="J44">
        <v>1</v>
      </c>
      <c r="K44">
        <v>1</v>
      </c>
      <c r="L44">
        <v>1</v>
      </c>
      <c r="M44">
        <v>0</v>
      </c>
      <c r="N44">
        <v>0</v>
      </c>
      <c r="O44">
        <v>1</v>
      </c>
      <c r="P44">
        <v>1</v>
      </c>
      <c r="Q44">
        <v>2</v>
      </c>
      <c r="R44">
        <v>0</v>
      </c>
      <c r="S44">
        <v>0</v>
      </c>
      <c r="T44">
        <v>0</v>
      </c>
      <c r="U44">
        <v>0</v>
      </c>
      <c r="V44">
        <v>1</v>
      </c>
      <c r="W44">
        <v>0</v>
      </c>
      <c r="X44">
        <v>0</v>
      </c>
      <c r="Y44">
        <v>1</v>
      </c>
      <c r="Z44">
        <v>1</v>
      </c>
      <c r="AA44">
        <v>1</v>
      </c>
      <c r="AB44">
        <v>1</v>
      </c>
      <c r="AC44">
        <v>5</v>
      </c>
      <c r="AD44">
        <v>5</v>
      </c>
      <c r="AE44">
        <v>5</v>
      </c>
      <c r="AF44">
        <v>5</v>
      </c>
      <c r="AH44" s="6">
        <f t="shared" si="0"/>
        <v>9.9514502939666002E-2</v>
      </c>
      <c r="AI44" s="3">
        <f t="shared" si="2"/>
        <v>9</v>
      </c>
      <c r="AJ44" s="3" t="str">
        <f t="shared" si="3"/>
        <v>passed</v>
      </c>
      <c r="AK44" s="3">
        <f t="shared" si="4"/>
        <v>1</v>
      </c>
      <c r="AL44" s="3">
        <v>6.430924624375904</v>
      </c>
      <c r="AM44" s="3">
        <v>1.1180154380855409</v>
      </c>
      <c r="AN44" s="3">
        <v>-5.6633108368446123</v>
      </c>
    </row>
    <row r="45" spans="1:40" x14ac:dyDescent="0.2">
      <c r="A45">
        <v>39524</v>
      </c>
      <c r="B45" s="1">
        <v>43621.844537037039</v>
      </c>
      <c r="C45" t="s">
        <v>3</v>
      </c>
      <c r="D45">
        <v>32</v>
      </c>
      <c r="E45">
        <v>0.10067162329659</v>
      </c>
      <c r="F45">
        <v>0.29386513533836001</v>
      </c>
      <c r="G45">
        <v>0.14482030978391</v>
      </c>
      <c r="H45">
        <v>1</v>
      </c>
      <c r="I45">
        <v>1</v>
      </c>
      <c r="J45">
        <v>1</v>
      </c>
      <c r="K45">
        <v>1</v>
      </c>
      <c r="L45">
        <v>0</v>
      </c>
      <c r="M45">
        <v>1</v>
      </c>
      <c r="N45">
        <v>0</v>
      </c>
      <c r="O45">
        <v>0</v>
      </c>
      <c r="P45">
        <v>0</v>
      </c>
      <c r="Q45">
        <v>2</v>
      </c>
      <c r="R45">
        <v>1</v>
      </c>
      <c r="S45">
        <v>0</v>
      </c>
      <c r="T45">
        <v>1</v>
      </c>
      <c r="U45">
        <v>1</v>
      </c>
      <c r="V45">
        <v>1</v>
      </c>
      <c r="W45">
        <v>0</v>
      </c>
      <c r="X45">
        <v>0</v>
      </c>
      <c r="Y45">
        <v>1</v>
      </c>
      <c r="Z45">
        <v>1</v>
      </c>
      <c r="AA45">
        <v>1</v>
      </c>
      <c r="AB45">
        <v>1</v>
      </c>
      <c r="AC45">
        <v>5</v>
      </c>
      <c r="AD45">
        <v>5</v>
      </c>
      <c r="AE45">
        <v>5</v>
      </c>
      <c r="AF45">
        <v>5</v>
      </c>
      <c r="AG45" t="s">
        <v>31</v>
      </c>
      <c r="AH45" s="6">
        <f t="shared" si="0"/>
        <v>0.10067162329659</v>
      </c>
      <c r="AI45" s="3">
        <f t="shared" si="2"/>
        <v>9</v>
      </c>
      <c r="AJ45" s="3" t="str">
        <f t="shared" si="3"/>
        <v>passed</v>
      </c>
      <c r="AK45" s="3">
        <f t="shared" si="4"/>
        <v>1</v>
      </c>
      <c r="AL45" s="3">
        <v>3.6380330684836628</v>
      </c>
      <c r="AM45" s="3">
        <v>0.58864725587605582</v>
      </c>
      <c r="AN45" s="3">
        <v>-6.0093059296141416</v>
      </c>
    </row>
    <row r="46" spans="1:40" x14ac:dyDescent="0.2">
      <c r="A46">
        <v>45734</v>
      </c>
      <c r="B46" s="1">
        <v>43795.8284375</v>
      </c>
      <c r="C46" t="s">
        <v>2</v>
      </c>
      <c r="D46">
        <v>61</v>
      </c>
      <c r="E46">
        <v>3.0687760652029002E-2</v>
      </c>
      <c r="F46">
        <v>0.13837751998246001</v>
      </c>
      <c r="G46">
        <v>0.27272127349727998</v>
      </c>
      <c r="H46">
        <v>1</v>
      </c>
      <c r="I46">
        <v>1</v>
      </c>
      <c r="J46">
        <v>1</v>
      </c>
      <c r="K46">
        <v>1</v>
      </c>
      <c r="L46">
        <v>1</v>
      </c>
      <c r="M46">
        <v>1</v>
      </c>
      <c r="N46">
        <v>1</v>
      </c>
      <c r="O46">
        <v>1</v>
      </c>
      <c r="P46">
        <v>1</v>
      </c>
      <c r="Q46">
        <v>2</v>
      </c>
      <c r="R46">
        <v>0</v>
      </c>
      <c r="S46">
        <v>0</v>
      </c>
      <c r="T46">
        <v>1</v>
      </c>
      <c r="U46">
        <v>1</v>
      </c>
      <c r="V46">
        <v>1</v>
      </c>
      <c r="W46">
        <v>0</v>
      </c>
      <c r="X46">
        <v>0</v>
      </c>
      <c r="Y46">
        <v>1</v>
      </c>
      <c r="Z46">
        <v>1</v>
      </c>
      <c r="AA46">
        <v>1</v>
      </c>
      <c r="AB46">
        <v>1</v>
      </c>
      <c r="AC46">
        <v>5</v>
      </c>
      <c r="AD46">
        <v>5</v>
      </c>
      <c r="AE46">
        <v>5</v>
      </c>
      <c r="AF46">
        <v>5</v>
      </c>
      <c r="AG46" t="s">
        <v>99</v>
      </c>
      <c r="AH46" s="6">
        <f t="shared" si="0"/>
        <v>3.0687760652029002E-2</v>
      </c>
      <c r="AI46" s="3">
        <f t="shared" si="2"/>
        <v>9</v>
      </c>
      <c r="AJ46" s="3" t="str">
        <f t="shared" si="3"/>
        <v>passed</v>
      </c>
      <c r="AK46" s="3">
        <f t="shared" si="4"/>
        <v>1</v>
      </c>
      <c r="AL46" s="3">
        <v>3.6500139486845522</v>
      </c>
      <c r="AM46" s="3">
        <v>0.54069705518033362</v>
      </c>
      <c r="AN46" s="3">
        <v>-6.6938152397101609</v>
      </c>
    </row>
    <row r="47" spans="1:40" x14ac:dyDescent="0.2">
      <c r="A47">
        <v>45743</v>
      </c>
      <c r="B47" s="1">
        <v>43795.963865740741</v>
      </c>
      <c r="C47" t="s">
        <v>3</v>
      </c>
      <c r="D47">
        <v>34</v>
      </c>
      <c r="E47">
        <v>4.3654508458150998E-2</v>
      </c>
      <c r="F47">
        <v>8.0665034513890996E-2</v>
      </c>
      <c r="G47">
        <v>0.10161720845902</v>
      </c>
      <c r="H47">
        <v>1</v>
      </c>
      <c r="I47">
        <v>1</v>
      </c>
      <c r="J47">
        <v>1</v>
      </c>
      <c r="K47">
        <v>0</v>
      </c>
      <c r="L47">
        <v>1</v>
      </c>
      <c r="M47">
        <v>0</v>
      </c>
      <c r="N47">
        <v>0</v>
      </c>
      <c r="O47">
        <v>0</v>
      </c>
      <c r="P47">
        <v>0</v>
      </c>
      <c r="Q47">
        <v>2</v>
      </c>
      <c r="R47">
        <v>0</v>
      </c>
      <c r="S47">
        <v>0</v>
      </c>
      <c r="T47">
        <v>0</v>
      </c>
      <c r="U47">
        <v>1</v>
      </c>
      <c r="V47">
        <v>0</v>
      </c>
      <c r="W47">
        <v>0</v>
      </c>
      <c r="X47">
        <v>0</v>
      </c>
      <c r="Y47">
        <v>1</v>
      </c>
      <c r="Z47">
        <v>1</v>
      </c>
      <c r="AA47">
        <v>1</v>
      </c>
      <c r="AB47">
        <v>1</v>
      </c>
      <c r="AC47">
        <v>5</v>
      </c>
      <c r="AD47">
        <v>5</v>
      </c>
      <c r="AE47">
        <v>5</v>
      </c>
      <c r="AF47">
        <v>5</v>
      </c>
      <c r="AH47" s="6">
        <f t="shared" si="0"/>
        <v>4.3654508458150998E-2</v>
      </c>
      <c r="AI47" s="3">
        <f t="shared" si="2"/>
        <v>9</v>
      </c>
      <c r="AJ47" s="3" t="str">
        <f t="shared" si="3"/>
        <v>passed</v>
      </c>
      <c r="AK47" s="3">
        <f t="shared" si="4"/>
        <v>1</v>
      </c>
      <c r="AL47" s="3">
        <v>0.70313874200339799</v>
      </c>
      <c r="AM47" s="3">
        <v>0.11161102405700769</v>
      </c>
      <c r="AN47" s="3">
        <v>-5.9087732517210974</v>
      </c>
    </row>
    <row r="48" spans="1:40" x14ac:dyDescent="0.2">
      <c r="A48">
        <v>45748</v>
      </c>
      <c r="B48" s="1">
        <v>43796.166979166665</v>
      </c>
      <c r="C48" t="s">
        <v>2</v>
      </c>
      <c r="D48">
        <v>60</v>
      </c>
      <c r="E48">
        <v>3.3813268804195003E-2</v>
      </c>
      <c r="F48">
        <v>0.31558005911572001</v>
      </c>
      <c r="G48">
        <v>9.3360347116522996E-3</v>
      </c>
      <c r="H48">
        <v>1</v>
      </c>
      <c r="I48">
        <v>1</v>
      </c>
      <c r="J48">
        <v>1</v>
      </c>
      <c r="K48">
        <v>1</v>
      </c>
      <c r="L48">
        <v>0</v>
      </c>
      <c r="M48">
        <v>0</v>
      </c>
      <c r="N48">
        <v>0</v>
      </c>
      <c r="O48">
        <v>0</v>
      </c>
      <c r="P48">
        <v>0</v>
      </c>
      <c r="Q48">
        <v>1</v>
      </c>
      <c r="R48">
        <v>0</v>
      </c>
      <c r="S48">
        <v>0</v>
      </c>
      <c r="T48">
        <v>0</v>
      </c>
      <c r="U48">
        <v>1</v>
      </c>
      <c r="V48">
        <v>0</v>
      </c>
      <c r="W48">
        <v>1</v>
      </c>
      <c r="X48">
        <v>1</v>
      </c>
      <c r="Y48">
        <v>1</v>
      </c>
      <c r="Z48">
        <v>1</v>
      </c>
      <c r="AA48">
        <v>1</v>
      </c>
      <c r="AB48">
        <v>1</v>
      </c>
      <c r="AC48">
        <v>5</v>
      </c>
      <c r="AD48">
        <v>5</v>
      </c>
      <c r="AE48">
        <v>5</v>
      </c>
      <c r="AF48">
        <v>5</v>
      </c>
      <c r="AH48" s="6">
        <f t="shared" si="0"/>
        <v>3.3813268804195003E-2</v>
      </c>
      <c r="AI48" s="3">
        <f t="shared" si="2"/>
        <v>9</v>
      </c>
      <c r="AJ48" s="3" t="str">
        <f t="shared" si="3"/>
        <v>passed</v>
      </c>
      <c r="AK48" s="3">
        <f t="shared" si="4"/>
        <v>1</v>
      </c>
      <c r="AL48" s="3">
        <v>0.25535470188882159</v>
      </c>
      <c r="AM48" s="3">
        <v>4.046197431202659E-2</v>
      </c>
      <c r="AN48" s="3">
        <v>-5.4752996325930168</v>
      </c>
    </row>
    <row r="49" spans="1:40" x14ac:dyDescent="0.2">
      <c r="A49">
        <v>45763</v>
      </c>
      <c r="B49" s="1">
        <v>43796.486805555556</v>
      </c>
      <c r="C49" t="s">
        <v>3</v>
      </c>
      <c r="D49">
        <v>22</v>
      </c>
      <c r="E49">
        <v>5.0627972651604999E-2</v>
      </c>
      <c r="F49">
        <v>0.21472917621911</v>
      </c>
      <c r="G49">
        <v>0.31593363539991998</v>
      </c>
      <c r="H49">
        <v>1</v>
      </c>
      <c r="I49">
        <v>1</v>
      </c>
      <c r="J49">
        <v>1</v>
      </c>
      <c r="K49">
        <v>1</v>
      </c>
      <c r="L49">
        <v>1</v>
      </c>
      <c r="M49">
        <v>1</v>
      </c>
      <c r="N49">
        <v>1</v>
      </c>
      <c r="O49">
        <v>1</v>
      </c>
      <c r="P49">
        <v>1</v>
      </c>
      <c r="Q49">
        <v>1</v>
      </c>
      <c r="R49">
        <v>1</v>
      </c>
      <c r="S49">
        <v>0</v>
      </c>
      <c r="T49">
        <v>0</v>
      </c>
      <c r="U49">
        <v>1</v>
      </c>
      <c r="V49">
        <v>1</v>
      </c>
      <c r="W49">
        <v>1</v>
      </c>
      <c r="X49">
        <v>0</v>
      </c>
      <c r="Y49">
        <v>1</v>
      </c>
      <c r="Z49">
        <v>1</v>
      </c>
      <c r="AA49">
        <v>1</v>
      </c>
      <c r="AB49">
        <v>1</v>
      </c>
      <c r="AC49">
        <v>5</v>
      </c>
      <c r="AD49">
        <v>5</v>
      </c>
      <c r="AE49">
        <v>5</v>
      </c>
      <c r="AF49">
        <v>5</v>
      </c>
      <c r="AG49" s="5" t="s">
        <v>101</v>
      </c>
      <c r="AH49" s="6">
        <f t="shared" si="0"/>
        <v>5.0627972651604999E-2</v>
      </c>
      <c r="AI49" s="3">
        <f t="shared" si="2"/>
        <v>9</v>
      </c>
      <c r="AJ49" s="3" t="str">
        <f t="shared" si="3"/>
        <v>passed</v>
      </c>
      <c r="AK49" s="3">
        <f t="shared" si="4"/>
        <v>1</v>
      </c>
      <c r="AL49" s="3">
        <v>5.5083341856114227</v>
      </c>
      <c r="AM49" s="3">
        <v>0.98560182075953995</v>
      </c>
      <c r="AN49" s="3">
        <v>-5.5374351974653564</v>
      </c>
    </row>
    <row r="50" spans="1:40" x14ac:dyDescent="0.2">
      <c r="A50">
        <v>45920</v>
      </c>
      <c r="B50" s="1">
        <v>43798.428078703706</v>
      </c>
      <c r="C50" t="s">
        <v>2</v>
      </c>
      <c r="D50">
        <v>54</v>
      </c>
      <c r="E50">
        <v>0.32627393543820998</v>
      </c>
      <c r="F50">
        <v>0.23762378521795</v>
      </c>
      <c r="G50">
        <v>0.24273114706533999</v>
      </c>
      <c r="H50">
        <v>1</v>
      </c>
      <c r="I50">
        <v>1</v>
      </c>
      <c r="J50">
        <v>1</v>
      </c>
      <c r="K50">
        <v>1</v>
      </c>
      <c r="L50">
        <v>1</v>
      </c>
      <c r="M50">
        <v>0</v>
      </c>
      <c r="N50">
        <v>0</v>
      </c>
      <c r="O50">
        <v>0</v>
      </c>
      <c r="P50">
        <v>0</v>
      </c>
      <c r="Q50">
        <v>2</v>
      </c>
      <c r="R50">
        <v>0</v>
      </c>
      <c r="S50">
        <v>0</v>
      </c>
      <c r="T50">
        <v>0</v>
      </c>
      <c r="U50">
        <v>1</v>
      </c>
      <c r="V50">
        <v>1</v>
      </c>
      <c r="W50">
        <v>1</v>
      </c>
      <c r="X50">
        <v>0</v>
      </c>
      <c r="Y50">
        <v>1</v>
      </c>
      <c r="Z50">
        <v>1</v>
      </c>
      <c r="AA50">
        <v>1</v>
      </c>
      <c r="AB50">
        <v>1</v>
      </c>
      <c r="AC50">
        <v>5</v>
      </c>
      <c r="AD50">
        <v>5</v>
      </c>
      <c r="AE50">
        <v>5</v>
      </c>
      <c r="AF50">
        <v>5</v>
      </c>
      <c r="AH50" s="6">
        <f t="shared" si="0"/>
        <v>0.32627393543820998</v>
      </c>
      <c r="AI50" s="3">
        <f t="shared" si="2"/>
        <v>9</v>
      </c>
      <c r="AJ50" s="3" t="str">
        <f t="shared" si="3"/>
        <v>passed</v>
      </c>
      <c r="AK50" s="3">
        <f t="shared" si="4"/>
        <v>1</v>
      </c>
      <c r="AL50" s="3">
        <v>4.582040628194668</v>
      </c>
      <c r="AM50" s="3">
        <v>0.84656129342719733</v>
      </c>
      <c r="AN50" s="3">
        <v>-5.0271217521976697</v>
      </c>
    </row>
    <row r="51" spans="1:40" x14ac:dyDescent="0.2">
      <c r="A51">
        <v>46603</v>
      </c>
      <c r="B51" s="1">
        <v>43809.72216435185</v>
      </c>
      <c r="C51" t="s">
        <v>3</v>
      </c>
      <c r="D51">
        <v>45</v>
      </c>
      <c r="E51">
        <v>0.14498267124882999</v>
      </c>
      <c r="F51">
        <v>0.27168289595695</v>
      </c>
      <c r="G51">
        <v>0.23390747064379999</v>
      </c>
      <c r="H51">
        <v>1</v>
      </c>
      <c r="I51">
        <v>1</v>
      </c>
      <c r="J51">
        <v>1</v>
      </c>
      <c r="K51">
        <v>1</v>
      </c>
      <c r="L51">
        <v>1</v>
      </c>
      <c r="M51">
        <v>1</v>
      </c>
      <c r="N51">
        <v>1</v>
      </c>
      <c r="O51">
        <v>1</v>
      </c>
      <c r="P51">
        <v>1</v>
      </c>
      <c r="Q51">
        <v>1</v>
      </c>
      <c r="R51">
        <v>0</v>
      </c>
      <c r="S51">
        <v>0</v>
      </c>
      <c r="T51">
        <v>0</v>
      </c>
      <c r="U51">
        <v>0</v>
      </c>
      <c r="V51">
        <v>1</v>
      </c>
      <c r="W51">
        <v>0</v>
      </c>
      <c r="X51">
        <v>1</v>
      </c>
      <c r="Y51">
        <v>1</v>
      </c>
      <c r="Z51">
        <v>1</v>
      </c>
      <c r="AA51">
        <v>1</v>
      </c>
      <c r="AB51">
        <v>1</v>
      </c>
      <c r="AC51">
        <v>5</v>
      </c>
      <c r="AD51">
        <v>5</v>
      </c>
      <c r="AE51">
        <v>5</v>
      </c>
      <c r="AF51">
        <v>5</v>
      </c>
      <c r="AH51" s="6">
        <f t="shared" si="0"/>
        <v>0.14498267124882999</v>
      </c>
      <c r="AI51" s="3">
        <f t="shared" si="2"/>
        <v>9</v>
      </c>
      <c r="AJ51" s="3" t="str">
        <f t="shared" si="3"/>
        <v>passed</v>
      </c>
      <c r="AK51" s="3">
        <f t="shared" si="4"/>
        <v>1</v>
      </c>
      <c r="AL51" s="3">
        <v>5.663882050322143</v>
      </c>
      <c r="AM51" s="3">
        <v>0.91200199306186802</v>
      </c>
      <c r="AN51" s="3">
        <v>-6.0514115331532166</v>
      </c>
    </row>
    <row r="52" spans="1:40" x14ac:dyDescent="0.2">
      <c r="A52">
        <v>46636</v>
      </c>
      <c r="B52" s="1">
        <v>43809.84783564815</v>
      </c>
      <c r="C52" t="s">
        <v>3</v>
      </c>
      <c r="D52">
        <v>38</v>
      </c>
      <c r="E52">
        <v>0.10881015127151</v>
      </c>
      <c r="F52">
        <v>0.17544573784841</v>
      </c>
      <c r="G52">
        <v>0.21851158082875999</v>
      </c>
      <c r="H52">
        <v>1</v>
      </c>
      <c r="I52">
        <v>1</v>
      </c>
      <c r="J52">
        <v>1</v>
      </c>
      <c r="K52">
        <v>1</v>
      </c>
      <c r="L52">
        <v>1</v>
      </c>
      <c r="M52">
        <v>1</v>
      </c>
      <c r="N52">
        <v>1</v>
      </c>
      <c r="O52">
        <v>1</v>
      </c>
      <c r="P52">
        <v>1</v>
      </c>
      <c r="Q52">
        <v>2</v>
      </c>
      <c r="R52">
        <v>0</v>
      </c>
      <c r="S52">
        <v>0</v>
      </c>
      <c r="T52">
        <v>1</v>
      </c>
      <c r="U52">
        <v>0</v>
      </c>
      <c r="V52">
        <v>1</v>
      </c>
      <c r="W52">
        <v>1</v>
      </c>
      <c r="X52">
        <v>0</v>
      </c>
      <c r="Y52">
        <v>1</v>
      </c>
      <c r="Z52">
        <v>1</v>
      </c>
      <c r="AA52">
        <v>1</v>
      </c>
      <c r="AB52">
        <v>1</v>
      </c>
      <c r="AC52">
        <v>5</v>
      </c>
      <c r="AD52">
        <v>5</v>
      </c>
      <c r="AE52">
        <v>5</v>
      </c>
      <c r="AF52">
        <v>5</v>
      </c>
      <c r="AG52" t="s">
        <v>108</v>
      </c>
      <c r="AH52" s="6">
        <f t="shared" si="0"/>
        <v>0.10881015127151</v>
      </c>
      <c r="AI52" s="3">
        <f t="shared" si="2"/>
        <v>9</v>
      </c>
      <c r="AJ52" s="3" t="str">
        <f t="shared" si="3"/>
        <v>passed</v>
      </c>
      <c r="AK52" s="3">
        <f t="shared" si="4"/>
        <v>1</v>
      </c>
      <c r="AL52" s="3">
        <v>3.5083023441997701</v>
      </c>
      <c r="AM52" s="3">
        <v>0.51961223037495341</v>
      </c>
      <c r="AN52" s="3">
        <v>-6.5423636977812736</v>
      </c>
    </row>
    <row r="53" spans="1:40" x14ac:dyDescent="0.2">
      <c r="A53">
        <v>46706</v>
      </c>
      <c r="B53" s="1">
        <v>43810.488043981481</v>
      </c>
      <c r="C53" t="s">
        <v>2</v>
      </c>
      <c r="D53">
        <v>67</v>
      </c>
      <c r="E53">
        <v>0.13095366847094</v>
      </c>
      <c r="F53">
        <v>0.1346513916399</v>
      </c>
      <c r="G53">
        <v>0.15899447262689001</v>
      </c>
      <c r="H53">
        <v>1</v>
      </c>
      <c r="I53">
        <v>1</v>
      </c>
      <c r="J53">
        <v>1</v>
      </c>
      <c r="K53">
        <v>1</v>
      </c>
      <c r="L53">
        <v>0</v>
      </c>
      <c r="M53">
        <v>0</v>
      </c>
      <c r="N53">
        <v>0</v>
      </c>
      <c r="O53">
        <v>0</v>
      </c>
      <c r="P53">
        <v>0</v>
      </c>
      <c r="Q53">
        <v>2</v>
      </c>
      <c r="R53">
        <v>0</v>
      </c>
      <c r="S53">
        <v>0</v>
      </c>
      <c r="T53">
        <v>1</v>
      </c>
      <c r="U53">
        <v>0</v>
      </c>
      <c r="V53">
        <v>0</v>
      </c>
      <c r="W53">
        <v>0</v>
      </c>
      <c r="X53">
        <v>0</v>
      </c>
      <c r="Y53">
        <v>1</v>
      </c>
      <c r="Z53">
        <v>1</v>
      </c>
      <c r="AA53">
        <v>1</v>
      </c>
      <c r="AB53">
        <v>1</v>
      </c>
      <c r="AC53">
        <v>5</v>
      </c>
      <c r="AD53">
        <v>5</v>
      </c>
      <c r="AE53">
        <v>5</v>
      </c>
      <c r="AF53">
        <v>5</v>
      </c>
      <c r="AG53" t="s">
        <v>109</v>
      </c>
      <c r="AH53" s="6">
        <f t="shared" si="0"/>
        <v>0.13095366847094</v>
      </c>
      <c r="AI53" s="3">
        <f t="shared" si="2"/>
        <v>9</v>
      </c>
      <c r="AJ53" s="3" t="str">
        <f t="shared" si="3"/>
        <v>passed</v>
      </c>
      <c r="AK53" s="3">
        <f t="shared" si="4"/>
        <v>1</v>
      </c>
      <c r="AL53" s="3">
        <v>1.6985084194959461</v>
      </c>
      <c r="AM53" s="3">
        <v>0.29927975063687101</v>
      </c>
      <c r="AN53" s="3">
        <v>-5.2377574750354201</v>
      </c>
    </row>
    <row r="54" spans="1:40" x14ac:dyDescent="0.2">
      <c r="A54">
        <v>46740</v>
      </c>
      <c r="B54" s="1">
        <v>43810.917627314811</v>
      </c>
      <c r="C54" t="s">
        <v>3</v>
      </c>
      <c r="D54">
        <v>23</v>
      </c>
      <c r="E54">
        <v>9.1744686454870994E-2</v>
      </c>
      <c r="F54">
        <v>7.8908827034930004E-2</v>
      </c>
      <c r="G54">
        <v>0.18661439037385</v>
      </c>
      <c r="H54">
        <v>1</v>
      </c>
      <c r="I54">
        <v>1</v>
      </c>
      <c r="J54">
        <v>1</v>
      </c>
      <c r="K54">
        <v>1</v>
      </c>
      <c r="L54">
        <v>1</v>
      </c>
      <c r="M54">
        <v>1</v>
      </c>
      <c r="N54">
        <v>1</v>
      </c>
      <c r="O54">
        <v>1</v>
      </c>
      <c r="P54">
        <v>1</v>
      </c>
      <c r="Q54">
        <v>2</v>
      </c>
      <c r="R54">
        <v>0</v>
      </c>
      <c r="S54">
        <v>0</v>
      </c>
      <c r="T54">
        <v>1</v>
      </c>
      <c r="U54">
        <v>1</v>
      </c>
      <c r="V54">
        <v>1</v>
      </c>
      <c r="W54">
        <v>1</v>
      </c>
      <c r="X54">
        <v>1</v>
      </c>
      <c r="Y54">
        <v>1</v>
      </c>
      <c r="Z54">
        <v>1</v>
      </c>
      <c r="AA54">
        <v>1</v>
      </c>
      <c r="AB54">
        <v>1</v>
      </c>
      <c r="AC54">
        <v>5</v>
      </c>
      <c r="AD54">
        <v>5</v>
      </c>
      <c r="AE54">
        <v>5</v>
      </c>
      <c r="AF54">
        <v>5</v>
      </c>
      <c r="AH54" s="6">
        <f t="shared" si="0"/>
        <v>9.1744686454870994E-2</v>
      </c>
      <c r="AI54" s="3">
        <f t="shared" si="2"/>
        <v>9</v>
      </c>
      <c r="AJ54" s="3" t="str">
        <f t="shared" si="3"/>
        <v>passed</v>
      </c>
      <c r="AK54" s="3">
        <f t="shared" si="4"/>
        <v>1</v>
      </c>
      <c r="AL54" s="3">
        <v>1.3211629809149681</v>
      </c>
      <c r="AM54" s="3">
        <v>0.19891003996880829</v>
      </c>
      <c r="AN54" s="3">
        <v>-6.180775463384788</v>
      </c>
    </row>
    <row r="55" spans="1:40" x14ac:dyDescent="0.2">
      <c r="A55">
        <v>46811</v>
      </c>
      <c r="B55" s="1">
        <v>43812.327187499999</v>
      </c>
      <c r="C55" t="s">
        <v>3</v>
      </c>
      <c r="D55">
        <v>36</v>
      </c>
      <c r="E55">
        <v>4.8144588469995003E-2</v>
      </c>
      <c r="F55">
        <v>0.30638379631274998</v>
      </c>
      <c r="G55">
        <v>2.2911279554515999E-2</v>
      </c>
      <c r="H55">
        <v>1</v>
      </c>
      <c r="I55">
        <v>1</v>
      </c>
      <c r="J55">
        <v>1</v>
      </c>
      <c r="K55">
        <v>1</v>
      </c>
      <c r="L55">
        <v>1</v>
      </c>
      <c r="M55">
        <v>0</v>
      </c>
      <c r="N55">
        <v>0</v>
      </c>
      <c r="O55">
        <v>0</v>
      </c>
      <c r="P55">
        <v>0</v>
      </c>
      <c r="Q55">
        <v>1</v>
      </c>
      <c r="R55">
        <v>0</v>
      </c>
      <c r="S55">
        <v>0</v>
      </c>
      <c r="T55">
        <v>1</v>
      </c>
      <c r="U55">
        <v>0</v>
      </c>
      <c r="V55">
        <v>1</v>
      </c>
      <c r="W55">
        <v>0</v>
      </c>
      <c r="X55">
        <v>0</v>
      </c>
      <c r="Y55">
        <v>1</v>
      </c>
      <c r="Z55">
        <v>1</v>
      </c>
      <c r="AA55">
        <v>1</v>
      </c>
      <c r="AB55">
        <v>1</v>
      </c>
      <c r="AC55">
        <v>5</v>
      </c>
      <c r="AD55">
        <v>5</v>
      </c>
      <c r="AE55">
        <v>5</v>
      </c>
      <c r="AF55">
        <v>5</v>
      </c>
      <c r="AG55" t="s">
        <v>114</v>
      </c>
      <c r="AH55" s="6">
        <f t="shared" si="0"/>
        <v>4.8144588469995003E-2</v>
      </c>
      <c r="AI55" s="3">
        <f t="shared" si="2"/>
        <v>9</v>
      </c>
      <c r="AJ55" s="3" t="str">
        <f t="shared" si="3"/>
        <v>passed</v>
      </c>
      <c r="AK55" s="3">
        <f t="shared" si="4"/>
        <v>1</v>
      </c>
      <c r="AL55" s="3">
        <v>0.63279150430722231</v>
      </c>
      <c r="AM55" s="3">
        <v>9.5805823275567206E-2</v>
      </c>
      <c r="AN55" s="3">
        <v>-6.1024152379088923</v>
      </c>
    </row>
    <row r="56" spans="1:40" x14ac:dyDescent="0.2">
      <c r="A56">
        <v>47191</v>
      </c>
      <c r="B56" s="1">
        <v>43826.229131944441</v>
      </c>
      <c r="C56" t="s">
        <v>2</v>
      </c>
      <c r="D56">
        <v>28</v>
      </c>
      <c r="E56">
        <v>7.2029022417787997E-2</v>
      </c>
      <c r="F56">
        <v>0.29052672714709998</v>
      </c>
      <c r="G56">
        <v>0.15561122292585999</v>
      </c>
      <c r="H56">
        <v>1</v>
      </c>
      <c r="I56">
        <v>1</v>
      </c>
      <c r="J56">
        <v>1</v>
      </c>
      <c r="K56">
        <v>0</v>
      </c>
      <c r="L56">
        <v>1</v>
      </c>
      <c r="M56">
        <v>0</v>
      </c>
      <c r="N56">
        <v>0</v>
      </c>
      <c r="O56">
        <v>0</v>
      </c>
      <c r="P56">
        <v>0</v>
      </c>
      <c r="Q56">
        <v>2</v>
      </c>
      <c r="R56">
        <v>1</v>
      </c>
      <c r="S56">
        <v>0</v>
      </c>
      <c r="T56">
        <v>1</v>
      </c>
      <c r="U56">
        <v>0</v>
      </c>
      <c r="V56">
        <v>1</v>
      </c>
      <c r="W56">
        <v>0</v>
      </c>
      <c r="X56">
        <v>0</v>
      </c>
      <c r="Y56">
        <v>1</v>
      </c>
      <c r="Z56">
        <v>1</v>
      </c>
      <c r="AA56">
        <v>1</v>
      </c>
      <c r="AB56">
        <v>1</v>
      </c>
      <c r="AC56">
        <v>5</v>
      </c>
      <c r="AD56">
        <v>5</v>
      </c>
      <c r="AE56">
        <v>5</v>
      </c>
      <c r="AF56">
        <v>5</v>
      </c>
      <c r="AG56" t="s">
        <v>116</v>
      </c>
      <c r="AH56" s="6">
        <f t="shared" si="0"/>
        <v>7.2029022417787997E-2</v>
      </c>
      <c r="AI56" s="3">
        <f t="shared" si="2"/>
        <v>9</v>
      </c>
      <c r="AJ56" s="3" t="str">
        <f t="shared" si="3"/>
        <v>passed</v>
      </c>
      <c r="AK56" s="3">
        <f t="shared" si="4"/>
        <v>1</v>
      </c>
      <c r="AL56" s="3">
        <v>1.9222598036802729</v>
      </c>
      <c r="AM56" s="3">
        <v>0.64873631302519263</v>
      </c>
      <c r="AN56" s="3">
        <v>-2.8520536682068438</v>
      </c>
    </row>
    <row r="57" spans="1:40" x14ac:dyDescent="0.2">
      <c r="A57">
        <v>48114</v>
      </c>
      <c r="B57" s="1">
        <v>43851.787291666667</v>
      </c>
      <c r="C57" t="s">
        <v>3</v>
      </c>
      <c r="D57">
        <v>60</v>
      </c>
      <c r="E57">
        <v>0.35117409883799</v>
      </c>
      <c r="F57">
        <v>0.12206623273084</v>
      </c>
      <c r="G57">
        <v>0.18243067014368999</v>
      </c>
      <c r="H57">
        <v>1</v>
      </c>
      <c r="I57">
        <v>1</v>
      </c>
      <c r="J57">
        <v>1</v>
      </c>
      <c r="K57">
        <v>1</v>
      </c>
      <c r="L57">
        <v>1</v>
      </c>
      <c r="M57">
        <v>0</v>
      </c>
      <c r="N57">
        <v>0</v>
      </c>
      <c r="O57">
        <v>0</v>
      </c>
      <c r="P57">
        <v>0</v>
      </c>
      <c r="Q57">
        <v>1</v>
      </c>
      <c r="R57">
        <v>0</v>
      </c>
      <c r="S57">
        <v>0</v>
      </c>
      <c r="T57">
        <v>0</v>
      </c>
      <c r="U57">
        <v>1</v>
      </c>
      <c r="V57">
        <v>0</v>
      </c>
      <c r="W57">
        <v>0</v>
      </c>
      <c r="X57">
        <v>0</v>
      </c>
      <c r="Y57">
        <v>1</v>
      </c>
      <c r="Z57">
        <v>1</v>
      </c>
      <c r="AA57">
        <v>1</v>
      </c>
      <c r="AB57">
        <v>1</v>
      </c>
      <c r="AC57">
        <v>5</v>
      </c>
      <c r="AD57">
        <v>5</v>
      </c>
      <c r="AE57">
        <v>5</v>
      </c>
      <c r="AF57">
        <v>5</v>
      </c>
      <c r="AG57" t="s">
        <v>118</v>
      </c>
      <c r="AH57" s="6">
        <f t="shared" si="0"/>
        <v>0.35117409883799</v>
      </c>
      <c r="AI57" s="3">
        <f t="shared" si="2"/>
        <v>9</v>
      </c>
      <c r="AJ57" s="3" t="str">
        <f t="shared" si="3"/>
        <v>passed</v>
      </c>
      <c r="AK57" s="3">
        <f t="shared" si="4"/>
        <v>1</v>
      </c>
      <c r="AL57" s="3">
        <v>2.1720518552454591</v>
      </c>
      <c r="AM57" s="3">
        <v>0.70132433023593344</v>
      </c>
      <c r="AN57" s="3">
        <v>-1.124694753354901</v>
      </c>
    </row>
    <row r="58" spans="1:40" x14ac:dyDescent="0.2">
      <c r="A58">
        <v>53461</v>
      </c>
      <c r="B58" s="1">
        <v>43919.476736111108</v>
      </c>
      <c r="C58" t="s">
        <v>3</v>
      </c>
      <c r="D58">
        <v>52</v>
      </c>
      <c r="E58">
        <v>0.13808675540946999</v>
      </c>
      <c r="F58">
        <v>0.13276273005438</v>
      </c>
      <c r="G58">
        <v>0.24950039366254001</v>
      </c>
      <c r="H58">
        <v>1</v>
      </c>
      <c r="I58">
        <v>1</v>
      </c>
      <c r="J58">
        <v>1</v>
      </c>
      <c r="K58">
        <v>1</v>
      </c>
      <c r="L58">
        <v>1</v>
      </c>
      <c r="M58">
        <v>1</v>
      </c>
      <c r="N58">
        <v>0</v>
      </c>
      <c r="O58">
        <v>0</v>
      </c>
      <c r="P58">
        <v>0</v>
      </c>
      <c r="Q58">
        <v>1</v>
      </c>
      <c r="R58">
        <v>0</v>
      </c>
      <c r="S58">
        <v>0</v>
      </c>
      <c r="T58">
        <v>1</v>
      </c>
      <c r="U58">
        <v>1</v>
      </c>
      <c r="V58">
        <v>0</v>
      </c>
      <c r="W58">
        <v>0</v>
      </c>
      <c r="X58">
        <v>0</v>
      </c>
      <c r="Y58">
        <v>1</v>
      </c>
      <c r="Z58">
        <v>1</v>
      </c>
      <c r="AA58">
        <v>1</v>
      </c>
      <c r="AB58">
        <v>1</v>
      </c>
      <c r="AC58">
        <v>5</v>
      </c>
      <c r="AD58">
        <v>5</v>
      </c>
      <c r="AE58">
        <v>5</v>
      </c>
      <c r="AF58">
        <v>5</v>
      </c>
      <c r="AG58" t="s">
        <v>125</v>
      </c>
      <c r="AH58" s="6">
        <f t="shared" si="0"/>
        <v>0.13808675540946999</v>
      </c>
      <c r="AI58" s="3">
        <f t="shared" si="2"/>
        <v>9</v>
      </c>
      <c r="AJ58" s="3" t="str">
        <f t="shared" si="3"/>
        <v>passed</v>
      </c>
      <c r="AK58" s="3">
        <f t="shared" si="4"/>
        <v>1</v>
      </c>
      <c r="AL58" s="3">
        <v>2.9833287333117791</v>
      </c>
      <c r="AM58" s="3">
        <v>0.47347047941298842</v>
      </c>
      <c r="AN58" s="3">
        <v>-6.0093334254542343</v>
      </c>
    </row>
    <row r="59" spans="1:40" x14ac:dyDescent="0.2">
      <c r="A59">
        <v>55397</v>
      </c>
      <c r="B59" s="1">
        <v>43986.420787037037</v>
      </c>
      <c r="C59" t="s">
        <v>3</v>
      </c>
      <c r="D59">
        <v>25</v>
      </c>
      <c r="E59">
        <v>0.13181872605364001</v>
      </c>
      <c r="F59">
        <v>0.18298063468546</v>
      </c>
      <c r="G59">
        <v>0.28305346328211001</v>
      </c>
      <c r="H59">
        <v>1</v>
      </c>
      <c r="I59">
        <v>1</v>
      </c>
      <c r="J59">
        <v>1</v>
      </c>
      <c r="K59">
        <v>1</v>
      </c>
      <c r="L59">
        <v>1</v>
      </c>
      <c r="M59">
        <v>1</v>
      </c>
      <c r="N59">
        <v>1</v>
      </c>
      <c r="O59">
        <v>1</v>
      </c>
      <c r="P59">
        <v>1</v>
      </c>
      <c r="Q59">
        <v>3</v>
      </c>
      <c r="R59">
        <v>0</v>
      </c>
      <c r="S59">
        <v>0</v>
      </c>
      <c r="T59">
        <v>0</v>
      </c>
      <c r="U59">
        <v>1</v>
      </c>
      <c r="V59">
        <v>1</v>
      </c>
      <c r="W59">
        <v>1</v>
      </c>
      <c r="X59">
        <v>0</v>
      </c>
      <c r="Y59">
        <v>1</v>
      </c>
      <c r="Z59">
        <v>1</v>
      </c>
      <c r="AA59">
        <v>1</v>
      </c>
      <c r="AB59">
        <v>1</v>
      </c>
      <c r="AC59">
        <v>5</v>
      </c>
      <c r="AD59">
        <v>5</v>
      </c>
      <c r="AE59">
        <v>5</v>
      </c>
      <c r="AF59">
        <v>5</v>
      </c>
      <c r="AG59" t="s">
        <v>134</v>
      </c>
      <c r="AH59" s="6">
        <f t="shared" si="0"/>
        <v>0.13181872605364001</v>
      </c>
      <c r="AI59" s="3">
        <f t="shared" si="2"/>
        <v>9</v>
      </c>
      <c r="AJ59" s="3" t="str">
        <f t="shared" si="3"/>
        <v>passed</v>
      </c>
      <c r="AK59" s="3">
        <f t="shared" si="4"/>
        <v>1</v>
      </c>
      <c r="AL59" s="3">
        <v>4.1817085249042147</v>
      </c>
      <c r="AM59" s="3">
        <v>0.72409024007037393</v>
      </c>
      <c r="AN59" s="3">
        <v>-5.5930733142556504</v>
      </c>
    </row>
    <row r="60" spans="1:40" x14ac:dyDescent="0.2">
      <c r="A60">
        <v>55515</v>
      </c>
      <c r="B60" s="1">
        <v>43988.516562500001</v>
      </c>
      <c r="C60" t="s">
        <v>2</v>
      </c>
      <c r="D60">
        <v>48</v>
      </c>
      <c r="E60">
        <v>6.6180890344581994E-2</v>
      </c>
      <c r="F60">
        <v>0.21879022654680999</v>
      </c>
      <c r="G60">
        <v>0.18882061646152001</v>
      </c>
      <c r="H60">
        <v>1</v>
      </c>
      <c r="I60">
        <v>1</v>
      </c>
      <c r="J60">
        <v>1</v>
      </c>
      <c r="K60">
        <v>1</v>
      </c>
      <c r="L60">
        <v>1</v>
      </c>
      <c r="M60">
        <v>1</v>
      </c>
      <c r="N60">
        <v>0</v>
      </c>
      <c r="O60">
        <v>0</v>
      </c>
      <c r="P60">
        <v>0</v>
      </c>
      <c r="Q60">
        <v>2</v>
      </c>
      <c r="R60">
        <v>1</v>
      </c>
      <c r="S60">
        <v>1</v>
      </c>
      <c r="T60">
        <v>0</v>
      </c>
      <c r="U60">
        <v>0</v>
      </c>
      <c r="V60">
        <v>1</v>
      </c>
      <c r="W60">
        <v>1</v>
      </c>
      <c r="X60">
        <v>0</v>
      </c>
      <c r="Y60">
        <v>1</v>
      </c>
      <c r="Z60">
        <v>1</v>
      </c>
      <c r="AA60">
        <v>1</v>
      </c>
      <c r="AB60">
        <v>1</v>
      </c>
      <c r="AC60">
        <v>5</v>
      </c>
      <c r="AD60">
        <v>5</v>
      </c>
      <c r="AE60">
        <v>5</v>
      </c>
      <c r="AF60">
        <v>5</v>
      </c>
      <c r="AG60" t="s">
        <v>136</v>
      </c>
      <c r="AH60" s="6">
        <f t="shared" si="0"/>
        <v>6.6180890344581994E-2</v>
      </c>
      <c r="AI60" s="3">
        <f t="shared" si="2"/>
        <v>9</v>
      </c>
      <c r="AJ60" s="3" t="str">
        <f t="shared" si="3"/>
        <v>passed</v>
      </c>
      <c r="AK60" s="3">
        <f t="shared" si="4"/>
        <v>1</v>
      </c>
      <c r="AL60" s="3">
        <v>3.4700727409024279</v>
      </c>
      <c r="AM60" s="3">
        <v>0.57916465462321942</v>
      </c>
      <c r="AN60" s="3">
        <v>-5.8772437568246918</v>
      </c>
    </row>
    <row r="61" spans="1:40" x14ac:dyDescent="0.2">
      <c r="A61">
        <v>59742</v>
      </c>
      <c r="B61" s="1">
        <v>44221.594317129631</v>
      </c>
      <c r="C61" t="s">
        <v>3</v>
      </c>
      <c r="D61">
        <v>55</v>
      </c>
      <c r="E61">
        <v>0.11837389571596001</v>
      </c>
      <c r="F61">
        <v>0.31667205811844001</v>
      </c>
      <c r="G61">
        <v>6.1015869628625999E-2</v>
      </c>
      <c r="H61">
        <v>1</v>
      </c>
      <c r="I61">
        <v>1</v>
      </c>
      <c r="J61">
        <v>1</v>
      </c>
      <c r="K61">
        <v>1</v>
      </c>
      <c r="L61">
        <v>1</v>
      </c>
      <c r="M61">
        <v>1</v>
      </c>
      <c r="N61">
        <v>1</v>
      </c>
      <c r="O61">
        <v>0</v>
      </c>
      <c r="P61">
        <v>0</v>
      </c>
      <c r="Q61">
        <v>2</v>
      </c>
      <c r="R61">
        <v>0</v>
      </c>
      <c r="S61">
        <v>0</v>
      </c>
      <c r="T61">
        <v>0</v>
      </c>
      <c r="U61">
        <v>0</v>
      </c>
      <c r="V61">
        <v>1</v>
      </c>
      <c r="W61">
        <v>0</v>
      </c>
      <c r="X61">
        <v>0</v>
      </c>
      <c r="Y61">
        <v>1</v>
      </c>
      <c r="Z61">
        <v>1</v>
      </c>
      <c r="AA61">
        <v>1</v>
      </c>
      <c r="AB61">
        <v>1</v>
      </c>
      <c r="AC61">
        <v>5</v>
      </c>
      <c r="AD61">
        <v>5</v>
      </c>
      <c r="AE61">
        <v>5</v>
      </c>
      <c r="AF61">
        <v>5</v>
      </c>
      <c r="AG61" t="s">
        <v>140</v>
      </c>
      <c r="AH61" s="6">
        <f t="shared" si="0"/>
        <v>0.11837389571596001</v>
      </c>
      <c r="AI61" s="3">
        <f t="shared" si="2"/>
        <v>9</v>
      </c>
      <c r="AJ61" s="3" t="str">
        <f t="shared" si="3"/>
        <v>passed</v>
      </c>
      <c r="AK61" s="3">
        <f t="shared" si="4"/>
        <v>1</v>
      </c>
      <c r="AL61" s="3">
        <v>1.425500831100319</v>
      </c>
      <c r="AM61" s="3">
        <v>0.26003502933445127</v>
      </c>
      <c r="AN61" s="3">
        <v>-5.026734047062396</v>
      </c>
    </row>
    <row r="62" spans="1:40" x14ac:dyDescent="0.2">
      <c r="A62">
        <v>59752</v>
      </c>
      <c r="B62" s="1">
        <v>44221.627754629626</v>
      </c>
      <c r="C62" t="s">
        <v>2</v>
      </c>
      <c r="D62">
        <v>45</v>
      </c>
      <c r="E62">
        <v>8.5574863273187002E-2</v>
      </c>
      <c r="F62">
        <v>0.24285175939868001</v>
      </c>
      <c r="G62">
        <v>0.30982380342986998</v>
      </c>
      <c r="H62">
        <v>1</v>
      </c>
      <c r="I62">
        <v>1</v>
      </c>
      <c r="J62">
        <v>1</v>
      </c>
      <c r="K62">
        <v>1</v>
      </c>
      <c r="L62">
        <v>1</v>
      </c>
      <c r="M62">
        <v>1</v>
      </c>
      <c r="N62">
        <v>1</v>
      </c>
      <c r="O62">
        <v>1</v>
      </c>
      <c r="P62">
        <v>0</v>
      </c>
      <c r="Q62">
        <v>1</v>
      </c>
      <c r="R62">
        <v>1</v>
      </c>
      <c r="S62">
        <v>0</v>
      </c>
      <c r="T62">
        <v>0</v>
      </c>
      <c r="U62">
        <v>0</v>
      </c>
      <c r="V62">
        <v>1</v>
      </c>
      <c r="W62">
        <v>0</v>
      </c>
      <c r="X62">
        <v>0</v>
      </c>
      <c r="Y62">
        <v>1</v>
      </c>
      <c r="Z62">
        <v>1</v>
      </c>
      <c r="AA62">
        <v>1</v>
      </c>
      <c r="AB62">
        <v>1</v>
      </c>
      <c r="AC62">
        <v>5</v>
      </c>
      <c r="AD62">
        <v>5</v>
      </c>
      <c r="AE62">
        <v>5</v>
      </c>
      <c r="AF62">
        <v>5</v>
      </c>
      <c r="AG62" t="s">
        <v>142</v>
      </c>
      <c r="AH62" s="6">
        <f t="shared" si="0"/>
        <v>8.5574863273187002E-2</v>
      </c>
      <c r="AI62" s="3">
        <f t="shared" si="2"/>
        <v>9</v>
      </c>
      <c r="AJ62" s="3" t="str">
        <f t="shared" si="3"/>
        <v>passed</v>
      </c>
      <c r="AK62" s="3">
        <f t="shared" si="4"/>
        <v>1</v>
      </c>
      <c r="AL62" s="3">
        <v>6.3465567544511021</v>
      </c>
      <c r="AM62" s="3">
        <v>1.14746729553366</v>
      </c>
      <c r="AN62" s="3">
        <v>-5.4563488785674519</v>
      </c>
    </row>
    <row r="63" spans="1:40" x14ac:dyDescent="0.2">
      <c r="A63">
        <v>59780</v>
      </c>
      <c r="B63" s="1">
        <v>44221.716527777775</v>
      </c>
      <c r="C63" t="s">
        <v>3</v>
      </c>
      <c r="D63">
        <v>56</v>
      </c>
      <c r="E63">
        <v>2.4610113072745E-2</v>
      </c>
      <c r="F63">
        <v>0.31083133576270999</v>
      </c>
      <c r="G63">
        <v>1.0139770773899E-2</v>
      </c>
      <c r="H63">
        <v>1</v>
      </c>
      <c r="I63">
        <v>1</v>
      </c>
      <c r="J63">
        <v>1</v>
      </c>
      <c r="K63">
        <v>1</v>
      </c>
      <c r="L63">
        <v>1</v>
      </c>
      <c r="M63">
        <v>1</v>
      </c>
      <c r="N63">
        <v>1</v>
      </c>
      <c r="O63">
        <v>0</v>
      </c>
      <c r="P63">
        <v>0</v>
      </c>
      <c r="Q63">
        <v>2</v>
      </c>
      <c r="R63">
        <v>0</v>
      </c>
      <c r="S63">
        <v>0</v>
      </c>
      <c r="T63">
        <v>1</v>
      </c>
      <c r="U63">
        <v>0</v>
      </c>
      <c r="V63">
        <v>0</v>
      </c>
      <c r="W63">
        <v>0</v>
      </c>
      <c r="X63">
        <v>0</v>
      </c>
      <c r="Y63">
        <v>1</v>
      </c>
      <c r="Z63">
        <v>1</v>
      </c>
      <c r="AA63">
        <v>1</v>
      </c>
      <c r="AB63">
        <v>1</v>
      </c>
      <c r="AC63">
        <v>5</v>
      </c>
      <c r="AD63">
        <v>5</v>
      </c>
      <c r="AE63">
        <v>5</v>
      </c>
      <c r="AF63">
        <v>5</v>
      </c>
      <c r="AH63" s="6">
        <f t="shared" si="0"/>
        <v>2.4610113072745E-2</v>
      </c>
      <c r="AI63" s="3">
        <f t="shared" si="2"/>
        <v>9</v>
      </c>
      <c r="AJ63" s="3" t="str">
        <f t="shared" si="3"/>
        <v>passed</v>
      </c>
      <c r="AK63" s="3">
        <f t="shared" si="4"/>
        <v>1</v>
      </c>
      <c r="AL63" s="3">
        <v>0.27803614167962393</v>
      </c>
      <c r="AM63" s="3">
        <v>4.3737522692367123E-2</v>
      </c>
      <c r="AN63" s="3">
        <v>-5.7942474334767544</v>
      </c>
    </row>
    <row r="64" spans="1:40" x14ac:dyDescent="0.2">
      <c r="A64">
        <v>59798</v>
      </c>
      <c r="B64" s="1">
        <v>44221.797766203701</v>
      </c>
      <c r="C64" t="s">
        <v>3</v>
      </c>
      <c r="D64">
        <v>43</v>
      </c>
      <c r="E64">
        <v>4.4893486939823E-2</v>
      </c>
      <c r="F64">
        <v>0.23929126295346001</v>
      </c>
      <c r="G64">
        <v>0.19786042405693</v>
      </c>
      <c r="H64">
        <v>1</v>
      </c>
      <c r="I64">
        <v>1</v>
      </c>
      <c r="J64">
        <v>1</v>
      </c>
      <c r="K64">
        <v>1</v>
      </c>
      <c r="L64">
        <v>1</v>
      </c>
      <c r="M64">
        <v>1</v>
      </c>
      <c r="N64">
        <v>1</v>
      </c>
      <c r="O64">
        <v>1</v>
      </c>
      <c r="P64">
        <v>1</v>
      </c>
      <c r="Q64">
        <v>2</v>
      </c>
      <c r="R64">
        <v>0</v>
      </c>
      <c r="S64">
        <v>0</v>
      </c>
      <c r="T64">
        <v>1</v>
      </c>
      <c r="U64">
        <v>0</v>
      </c>
      <c r="V64">
        <v>0</v>
      </c>
      <c r="W64">
        <v>0</v>
      </c>
      <c r="X64">
        <v>0</v>
      </c>
      <c r="Y64">
        <v>1</v>
      </c>
      <c r="Z64">
        <v>1</v>
      </c>
      <c r="AA64">
        <v>1</v>
      </c>
      <c r="AB64">
        <v>1</v>
      </c>
      <c r="AC64">
        <v>5</v>
      </c>
      <c r="AD64">
        <v>5</v>
      </c>
      <c r="AE64">
        <v>5</v>
      </c>
      <c r="AF64">
        <v>5</v>
      </c>
      <c r="AH64" s="6">
        <f t="shared" si="0"/>
        <v>4.4893486939823E-2</v>
      </c>
      <c r="AI64" s="3">
        <f t="shared" si="2"/>
        <v>9</v>
      </c>
      <c r="AJ64" s="3" t="str">
        <f t="shared" si="3"/>
        <v>passed</v>
      </c>
      <c r="AK64" s="3">
        <f t="shared" si="4"/>
        <v>1</v>
      </c>
      <c r="AL64" s="3">
        <v>3.7753833738309721</v>
      </c>
      <c r="AM64" s="3">
        <v>0.77246743526559525</v>
      </c>
      <c r="AN64" s="3">
        <v>-4.8293167020154133</v>
      </c>
    </row>
    <row r="65" spans="1:40" x14ac:dyDescent="0.2">
      <c r="A65">
        <v>59808</v>
      </c>
      <c r="B65" s="1">
        <v>44221.870011574072</v>
      </c>
      <c r="C65" t="s">
        <v>3</v>
      </c>
      <c r="D65">
        <v>20</v>
      </c>
      <c r="E65">
        <v>9.5112574930112007E-2</v>
      </c>
      <c r="F65">
        <v>0.27592699093530998</v>
      </c>
      <c r="G65">
        <v>0.14647686054976</v>
      </c>
      <c r="H65">
        <v>1</v>
      </c>
      <c r="I65">
        <v>1</v>
      </c>
      <c r="J65">
        <v>1</v>
      </c>
      <c r="K65">
        <v>1</v>
      </c>
      <c r="L65">
        <v>1</v>
      </c>
      <c r="M65">
        <v>1</v>
      </c>
      <c r="N65">
        <v>0</v>
      </c>
      <c r="O65">
        <v>0</v>
      </c>
      <c r="P65">
        <v>0</v>
      </c>
      <c r="Q65">
        <v>1</v>
      </c>
      <c r="R65">
        <v>0</v>
      </c>
      <c r="S65">
        <v>1</v>
      </c>
      <c r="T65">
        <v>0</v>
      </c>
      <c r="U65">
        <v>0</v>
      </c>
      <c r="V65">
        <v>1</v>
      </c>
      <c r="W65">
        <v>1</v>
      </c>
      <c r="X65">
        <v>0</v>
      </c>
      <c r="Y65">
        <v>1</v>
      </c>
      <c r="Z65">
        <v>1</v>
      </c>
      <c r="AA65">
        <v>1</v>
      </c>
      <c r="AB65">
        <v>1</v>
      </c>
      <c r="AC65">
        <v>5</v>
      </c>
      <c r="AD65">
        <v>5</v>
      </c>
      <c r="AE65">
        <v>5</v>
      </c>
      <c r="AF65">
        <v>5</v>
      </c>
      <c r="AG65" t="s">
        <v>148</v>
      </c>
      <c r="AH65" s="6">
        <f t="shared" si="0"/>
        <v>9.5112574930112007E-2</v>
      </c>
      <c r="AI65" s="3">
        <f t="shared" si="2"/>
        <v>9</v>
      </c>
      <c r="AJ65" s="3" t="str">
        <f t="shared" si="3"/>
        <v>passed</v>
      </c>
      <c r="AK65" s="3">
        <f t="shared" si="4"/>
        <v>1</v>
      </c>
      <c r="AL65" s="3">
        <v>3.4096508300625401</v>
      </c>
      <c r="AM65" s="3">
        <v>0.57020465569187273</v>
      </c>
      <c r="AN65" s="3">
        <v>-5.8128923046246372</v>
      </c>
    </row>
    <row r="66" spans="1:40" x14ac:dyDescent="0.2">
      <c r="A66">
        <v>59813</v>
      </c>
      <c r="B66" s="1">
        <v>44221.964733796296</v>
      </c>
      <c r="C66" t="s">
        <v>3</v>
      </c>
      <c r="D66">
        <v>62</v>
      </c>
      <c r="E66">
        <v>2.9402914068230999E-2</v>
      </c>
      <c r="F66">
        <v>0.19549056043117999</v>
      </c>
      <c r="G66">
        <v>0.16830452236348001</v>
      </c>
      <c r="H66">
        <v>1</v>
      </c>
      <c r="I66">
        <v>1</v>
      </c>
      <c r="J66">
        <v>1</v>
      </c>
      <c r="K66">
        <v>1</v>
      </c>
      <c r="L66">
        <v>1</v>
      </c>
      <c r="M66">
        <v>1</v>
      </c>
      <c r="N66">
        <v>0</v>
      </c>
      <c r="O66">
        <v>0</v>
      </c>
      <c r="P66">
        <v>0</v>
      </c>
      <c r="Q66">
        <v>1</v>
      </c>
      <c r="R66">
        <v>0</v>
      </c>
      <c r="S66">
        <v>0</v>
      </c>
      <c r="T66">
        <v>1</v>
      </c>
      <c r="U66">
        <v>0</v>
      </c>
      <c r="V66">
        <v>0</v>
      </c>
      <c r="W66">
        <v>0</v>
      </c>
      <c r="X66">
        <v>0</v>
      </c>
      <c r="Y66">
        <v>1</v>
      </c>
      <c r="Z66">
        <v>1</v>
      </c>
      <c r="AA66">
        <v>1</v>
      </c>
      <c r="AB66">
        <v>1</v>
      </c>
      <c r="AC66">
        <v>5</v>
      </c>
      <c r="AD66">
        <v>5</v>
      </c>
      <c r="AE66">
        <v>5</v>
      </c>
      <c r="AF66">
        <v>5</v>
      </c>
      <c r="AG66" t="s">
        <v>149</v>
      </c>
      <c r="AH66" s="6">
        <f t="shared" ref="AH66:AH129" si="5">E66</f>
        <v>2.9402914068230999E-2</v>
      </c>
      <c r="AI66" s="3">
        <f t="shared" ref="AI66:AI129" si="6">H66+Y66+Z66+AA66+AB66+(6-AC66)+(6-AD66)+(6-AE66)+(6-AF66)</f>
        <v>9</v>
      </c>
      <c r="AJ66" s="3" t="str">
        <f t="shared" si="3"/>
        <v>passed</v>
      </c>
      <c r="AK66" s="3">
        <f t="shared" si="4"/>
        <v>1</v>
      </c>
      <c r="AL66" s="3">
        <v>2.8697137919570799</v>
      </c>
      <c r="AM66" s="3">
        <v>0.45837272666613499</v>
      </c>
      <c r="AN66" s="3">
        <v>-6.1965093310572241</v>
      </c>
    </row>
    <row r="67" spans="1:40" x14ac:dyDescent="0.2">
      <c r="A67">
        <v>59820</v>
      </c>
      <c r="B67" s="1">
        <v>44222.293657407405</v>
      </c>
      <c r="C67" t="s">
        <v>2</v>
      </c>
      <c r="D67">
        <v>34</v>
      </c>
      <c r="E67">
        <v>6.5447515212982005E-2</v>
      </c>
      <c r="F67">
        <v>0.20098263673302999</v>
      </c>
      <c r="G67">
        <v>0.23966517810881999</v>
      </c>
      <c r="H67">
        <v>1</v>
      </c>
      <c r="I67">
        <v>1</v>
      </c>
      <c r="J67">
        <v>1</v>
      </c>
      <c r="K67">
        <v>1</v>
      </c>
      <c r="L67">
        <v>1</v>
      </c>
      <c r="M67">
        <v>1</v>
      </c>
      <c r="N67">
        <v>1</v>
      </c>
      <c r="O67">
        <v>1</v>
      </c>
      <c r="P67">
        <v>1</v>
      </c>
      <c r="Q67">
        <v>2</v>
      </c>
      <c r="R67">
        <v>0</v>
      </c>
      <c r="S67">
        <v>0</v>
      </c>
      <c r="T67">
        <v>1</v>
      </c>
      <c r="U67">
        <v>1</v>
      </c>
      <c r="V67">
        <v>1</v>
      </c>
      <c r="W67">
        <v>0</v>
      </c>
      <c r="X67">
        <v>0</v>
      </c>
      <c r="Y67">
        <v>1</v>
      </c>
      <c r="Z67">
        <v>1</v>
      </c>
      <c r="AA67">
        <v>1</v>
      </c>
      <c r="AB67">
        <v>1</v>
      </c>
      <c r="AC67">
        <v>5</v>
      </c>
      <c r="AD67">
        <v>5</v>
      </c>
      <c r="AE67">
        <v>5</v>
      </c>
      <c r="AF67">
        <v>5</v>
      </c>
      <c r="AG67" t="s">
        <v>151</v>
      </c>
      <c r="AH67" s="6">
        <f t="shared" si="5"/>
        <v>6.5447515212982005E-2</v>
      </c>
      <c r="AI67" s="3">
        <f t="shared" si="6"/>
        <v>9</v>
      </c>
      <c r="AJ67" s="3" t="str">
        <f t="shared" ref="AJ67:AJ130" si="7">IF(AK67=1,"passed","failed")</f>
        <v>passed</v>
      </c>
      <c r="AK67" s="3">
        <f t="shared" ref="AK67:AK130" si="8">IF(AI67&lt;20,1,0)</f>
        <v>1</v>
      </c>
      <c r="AL67" s="3">
        <v>4.0099885559751733</v>
      </c>
      <c r="AM67" s="3">
        <v>0.61891915293178257</v>
      </c>
      <c r="AN67" s="3">
        <v>-6.3732735076578884</v>
      </c>
    </row>
    <row r="68" spans="1:40" x14ac:dyDescent="0.2">
      <c r="A68">
        <v>60314</v>
      </c>
      <c r="B68" s="1">
        <v>44242.994456018518</v>
      </c>
      <c r="C68" t="s">
        <v>3</v>
      </c>
      <c r="D68">
        <v>20</v>
      </c>
      <c r="E68">
        <v>6.0985825211602E-2</v>
      </c>
      <c r="F68">
        <v>0.11198200057502999</v>
      </c>
      <c r="G68">
        <v>0.23009734392445</v>
      </c>
      <c r="H68">
        <v>1</v>
      </c>
      <c r="I68">
        <v>1</v>
      </c>
      <c r="J68">
        <v>1</v>
      </c>
      <c r="K68">
        <v>1</v>
      </c>
      <c r="L68">
        <v>1</v>
      </c>
      <c r="M68">
        <v>1</v>
      </c>
      <c r="N68">
        <v>1</v>
      </c>
      <c r="O68">
        <v>1</v>
      </c>
      <c r="P68">
        <v>1</v>
      </c>
      <c r="Q68">
        <v>2</v>
      </c>
      <c r="R68">
        <v>1</v>
      </c>
      <c r="S68">
        <v>0</v>
      </c>
      <c r="T68">
        <v>1</v>
      </c>
      <c r="U68">
        <v>0</v>
      </c>
      <c r="V68">
        <v>0</v>
      </c>
      <c r="W68">
        <v>0</v>
      </c>
      <c r="X68">
        <v>0</v>
      </c>
      <c r="Y68">
        <v>1</v>
      </c>
      <c r="Z68">
        <v>1</v>
      </c>
      <c r="AA68">
        <v>1</v>
      </c>
      <c r="AB68">
        <v>1</v>
      </c>
      <c r="AC68">
        <v>5</v>
      </c>
      <c r="AD68">
        <v>5</v>
      </c>
      <c r="AE68">
        <v>5</v>
      </c>
      <c r="AF68">
        <v>5</v>
      </c>
      <c r="AG68" t="s">
        <v>156</v>
      </c>
      <c r="AH68" s="6">
        <f t="shared" si="5"/>
        <v>6.0985825211602E-2</v>
      </c>
      <c r="AI68" s="3">
        <f t="shared" si="6"/>
        <v>9</v>
      </c>
      <c r="AJ68" s="3" t="str">
        <f t="shared" si="7"/>
        <v>passed</v>
      </c>
      <c r="AK68" s="3">
        <f t="shared" si="8"/>
        <v>1</v>
      </c>
      <c r="AL68" s="3">
        <v>2.3661712531989179</v>
      </c>
      <c r="AM68" s="3">
        <v>0.35880096154485352</v>
      </c>
      <c r="AN68" s="3">
        <v>-6.4246913332174724</v>
      </c>
    </row>
    <row r="69" spans="1:40" x14ac:dyDescent="0.2">
      <c r="A69">
        <v>62793</v>
      </c>
      <c r="B69" s="1">
        <v>44357.563888888886</v>
      </c>
      <c r="C69" t="s">
        <v>3</v>
      </c>
      <c r="D69">
        <v>28</v>
      </c>
      <c r="E69">
        <v>6.6640245975383997E-2</v>
      </c>
      <c r="F69">
        <v>0.24312741842850999</v>
      </c>
      <c r="G69">
        <v>0.24053614174085999</v>
      </c>
      <c r="H69">
        <v>1</v>
      </c>
      <c r="I69">
        <v>1</v>
      </c>
      <c r="J69">
        <v>1</v>
      </c>
      <c r="K69">
        <v>1</v>
      </c>
      <c r="L69">
        <v>1</v>
      </c>
      <c r="M69">
        <v>1</v>
      </c>
      <c r="N69">
        <v>1</v>
      </c>
      <c r="O69">
        <v>1</v>
      </c>
      <c r="P69">
        <v>0</v>
      </c>
      <c r="Q69">
        <v>2</v>
      </c>
      <c r="R69">
        <v>0</v>
      </c>
      <c r="S69">
        <v>0</v>
      </c>
      <c r="T69">
        <v>1</v>
      </c>
      <c r="U69">
        <v>0</v>
      </c>
      <c r="V69">
        <v>0</v>
      </c>
      <c r="W69">
        <v>0</v>
      </c>
      <c r="X69">
        <v>0</v>
      </c>
      <c r="Y69">
        <v>1</v>
      </c>
      <c r="Z69">
        <v>1</v>
      </c>
      <c r="AA69">
        <v>1</v>
      </c>
      <c r="AB69">
        <v>1</v>
      </c>
      <c r="AC69">
        <v>5</v>
      </c>
      <c r="AD69">
        <v>5</v>
      </c>
      <c r="AE69">
        <v>5</v>
      </c>
      <c r="AF69">
        <v>5</v>
      </c>
      <c r="AG69" t="s">
        <v>160</v>
      </c>
      <c r="AH69" s="6">
        <f t="shared" si="5"/>
        <v>6.6640245975383997E-2</v>
      </c>
      <c r="AI69" s="3">
        <f t="shared" si="6"/>
        <v>9</v>
      </c>
      <c r="AJ69" s="3" t="str">
        <f t="shared" si="7"/>
        <v>passed</v>
      </c>
      <c r="AK69" s="3">
        <f t="shared" si="8"/>
        <v>1</v>
      </c>
      <c r="AL69" s="3">
        <v>4.7932621752743652</v>
      </c>
      <c r="AM69" s="3">
        <v>0.77349437104845753</v>
      </c>
      <c r="AN69" s="3">
        <v>-6.1107386248876399</v>
      </c>
    </row>
    <row r="70" spans="1:40" x14ac:dyDescent="0.2">
      <c r="A70">
        <v>62797</v>
      </c>
      <c r="B70" s="1">
        <v>44357.67769675926</v>
      </c>
      <c r="C70" t="s">
        <v>3</v>
      </c>
      <c r="D70">
        <v>26</v>
      </c>
      <c r="E70">
        <v>5.4069550872711002E-2</v>
      </c>
      <c r="F70">
        <v>0.10431019884289</v>
      </c>
      <c r="G70">
        <v>0.24859305810155</v>
      </c>
      <c r="H70">
        <v>1</v>
      </c>
      <c r="I70">
        <v>1</v>
      </c>
      <c r="J70">
        <v>1</v>
      </c>
      <c r="K70">
        <v>1</v>
      </c>
      <c r="L70">
        <v>1</v>
      </c>
      <c r="M70">
        <v>1</v>
      </c>
      <c r="N70">
        <v>0</v>
      </c>
      <c r="O70">
        <v>0</v>
      </c>
      <c r="P70">
        <v>0</v>
      </c>
      <c r="Q70">
        <v>1</v>
      </c>
      <c r="R70">
        <v>0</v>
      </c>
      <c r="S70">
        <v>0</v>
      </c>
      <c r="T70">
        <v>1</v>
      </c>
      <c r="U70">
        <v>0</v>
      </c>
      <c r="V70">
        <v>0</v>
      </c>
      <c r="W70">
        <v>0</v>
      </c>
      <c r="X70">
        <v>1</v>
      </c>
      <c r="Y70">
        <v>1</v>
      </c>
      <c r="Z70">
        <v>1</v>
      </c>
      <c r="AA70">
        <v>1</v>
      </c>
      <c r="AB70">
        <v>1</v>
      </c>
      <c r="AC70">
        <v>5</v>
      </c>
      <c r="AD70">
        <v>5</v>
      </c>
      <c r="AE70">
        <v>5</v>
      </c>
      <c r="AF70">
        <v>5</v>
      </c>
      <c r="AH70" s="6">
        <f t="shared" si="5"/>
        <v>5.4069550872711002E-2</v>
      </c>
      <c r="AI70" s="3">
        <f t="shared" si="6"/>
        <v>9</v>
      </c>
      <c r="AJ70" s="3" t="str">
        <f t="shared" si="7"/>
        <v>passed</v>
      </c>
      <c r="AK70" s="3">
        <f t="shared" si="8"/>
        <v>1</v>
      </c>
      <c r="AL70" s="3">
        <v>1.6919824938803749</v>
      </c>
      <c r="AM70" s="3">
        <v>0.40053546497044001</v>
      </c>
      <c r="AN70" s="3">
        <v>-4.0893081543441934</v>
      </c>
    </row>
    <row r="71" spans="1:40" x14ac:dyDescent="0.2">
      <c r="A71">
        <v>62816</v>
      </c>
      <c r="B71" s="1">
        <v>44357.816400462965</v>
      </c>
      <c r="C71" t="s">
        <v>3</v>
      </c>
      <c r="D71">
        <v>58</v>
      </c>
      <c r="E71">
        <v>6.2077186713948997E-2</v>
      </c>
      <c r="F71">
        <v>0.25085887947060997</v>
      </c>
      <c r="G71">
        <v>0.14409603275089999</v>
      </c>
      <c r="H71">
        <v>1</v>
      </c>
      <c r="I71">
        <v>1</v>
      </c>
      <c r="J71">
        <v>1</v>
      </c>
      <c r="K71">
        <v>1</v>
      </c>
      <c r="L71">
        <v>1</v>
      </c>
      <c r="M71">
        <v>1</v>
      </c>
      <c r="N71">
        <v>1</v>
      </c>
      <c r="O71">
        <v>0</v>
      </c>
      <c r="P71">
        <v>1</v>
      </c>
      <c r="Q71">
        <v>1</v>
      </c>
      <c r="R71">
        <v>0</v>
      </c>
      <c r="S71">
        <v>0</v>
      </c>
      <c r="T71">
        <v>1</v>
      </c>
      <c r="U71">
        <v>1</v>
      </c>
      <c r="V71">
        <v>1</v>
      </c>
      <c r="W71">
        <v>0</v>
      </c>
      <c r="X71">
        <v>0</v>
      </c>
      <c r="Y71">
        <v>1</v>
      </c>
      <c r="Z71">
        <v>1</v>
      </c>
      <c r="AA71">
        <v>1</v>
      </c>
      <c r="AB71">
        <v>1</v>
      </c>
      <c r="AC71">
        <v>5</v>
      </c>
      <c r="AD71">
        <v>5</v>
      </c>
      <c r="AE71">
        <v>5</v>
      </c>
      <c r="AF71">
        <v>5</v>
      </c>
      <c r="AG71" t="s">
        <v>163</v>
      </c>
      <c r="AH71" s="6">
        <f t="shared" si="5"/>
        <v>6.2077186713948997E-2</v>
      </c>
      <c r="AI71" s="3">
        <f t="shared" si="6"/>
        <v>9</v>
      </c>
      <c r="AJ71" s="3" t="str">
        <f t="shared" si="7"/>
        <v>passed</v>
      </c>
      <c r="AK71" s="3">
        <f t="shared" si="8"/>
        <v>1</v>
      </c>
      <c r="AL71" s="3">
        <v>2.594038491244985</v>
      </c>
      <c r="AM71" s="3">
        <v>0.48886884502034128</v>
      </c>
      <c r="AN71" s="3">
        <v>-5.1792241013552083</v>
      </c>
    </row>
    <row r="72" spans="1:40" x14ac:dyDescent="0.2">
      <c r="A72">
        <v>63309</v>
      </c>
      <c r="B72" s="1">
        <v>44395.465636574074</v>
      </c>
      <c r="C72" t="s">
        <v>3</v>
      </c>
      <c r="D72">
        <v>47</v>
      </c>
      <c r="E72">
        <v>3.2937365811418998E-2</v>
      </c>
      <c r="F72">
        <v>0.15315337785165001</v>
      </c>
      <c r="G72">
        <v>0.20369230385192</v>
      </c>
      <c r="H72">
        <v>1</v>
      </c>
      <c r="I72">
        <v>1</v>
      </c>
      <c r="J72">
        <v>1</v>
      </c>
      <c r="K72">
        <v>1</v>
      </c>
      <c r="L72">
        <v>1</v>
      </c>
      <c r="M72">
        <v>0</v>
      </c>
      <c r="N72">
        <v>1</v>
      </c>
      <c r="O72">
        <v>1</v>
      </c>
      <c r="P72">
        <v>1</v>
      </c>
      <c r="Q72">
        <v>2</v>
      </c>
      <c r="R72">
        <v>1</v>
      </c>
      <c r="S72">
        <v>1</v>
      </c>
      <c r="T72">
        <v>0</v>
      </c>
      <c r="U72">
        <v>1</v>
      </c>
      <c r="V72">
        <v>1</v>
      </c>
      <c r="W72">
        <v>0</v>
      </c>
      <c r="X72">
        <v>0</v>
      </c>
      <c r="Y72">
        <v>1</v>
      </c>
      <c r="Z72">
        <v>1</v>
      </c>
      <c r="AA72">
        <v>1</v>
      </c>
      <c r="AB72">
        <v>1</v>
      </c>
      <c r="AC72">
        <v>5</v>
      </c>
      <c r="AD72">
        <v>5</v>
      </c>
      <c r="AE72">
        <v>5</v>
      </c>
      <c r="AF72">
        <v>5</v>
      </c>
      <c r="AH72" s="6">
        <f t="shared" si="5"/>
        <v>3.2937365811418998E-2</v>
      </c>
      <c r="AI72" s="3">
        <f t="shared" si="6"/>
        <v>9</v>
      </c>
      <c r="AJ72" s="3" t="str">
        <f t="shared" si="7"/>
        <v>passed</v>
      </c>
      <c r="AK72" s="3">
        <f t="shared" si="8"/>
        <v>1</v>
      </c>
      <c r="AL72" s="3">
        <v>2.6210858210117078</v>
      </c>
      <c r="AM72" s="3">
        <v>0.46261670155093881</v>
      </c>
      <c r="AN72" s="3">
        <v>-5.5945849912539494</v>
      </c>
    </row>
    <row r="73" spans="1:40" x14ac:dyDescent="0.2">
      <c r="A73">
        <v>63695</v>
      </c>
      <c r="B73" s="1">
        <v>44433.477685185186</v>
      </c>
      <c r="C73" t="s">
        <v>3</v>
      </c>
      <c r="D73">
        <v>21</v>
      </c>
      <c r="E73">
        <v>0.67649136687515998</v>
      </c>
      <c r="F73">
        <v>0.25090008061417002</v>
      </c>
      <c r="G73">
        <v>0.25610144762071002</v>
      </c>
      <c r="H73">
        <v>1</v>
      </c>
      <c r="I73">
        <v>1</v>
      </c>
      <c r="J73">
        <v>1</v>
      </c>
      <c r="K73">
        <v>1</v>
      </c>
      <c r="L73">
        <v>1</v>
      </c>
      <c r="M73">
        <v>1</v>
      </c>
      <c r="N73">
        <v>0</v>
      </c>
      <c r="O73">
        <v>0</v>
      </c>
      <c r="P73">
        <v>0</v>
      </c>
      <c r="Q73">
        <v>1</v>
      </c>
      <c r="R73">
        <v>0</v>
      </c>
      <c r="S73">
        <v>0</v>
      </c>
      <c r="T73">
        <v>0</v>
      </c>
      <c r="U73">
        <v>1</v>
      </c>
      <c r="V73">
        <v>0</v>
      </c>
      <c r="W73">
        <v>1</v>
      </c>
      <c r="X73">
        <v>1</v>
      </c>
      <c r="Y73">
        <v>1</v>
      </c>
      <c r="Z73">
        <v>1</v>
      </c>
      <c r="AA73">
        <v>1</v>
      </c>
      <c r="AB73">
        <v>1</v>
      </c>
      <c r="AC73">
        <v>5</v>
      </c>
      <c r="AD73">
        <v>5</v>
      </c>
      <c r="AE73">
        <v>5</v>
      </c>
      <c r="AF73">
        <v>5</v>
      </c>
      <c r="AG73" t="s">
        <v>178</v>
      </c>
      <c r="AH73" s="6">
        <f t="shared" si="5"/>
        <v>0.67649136687515998</v>
      </c>
      <c r="AI73" s="3">
        <f t="shared" si="6"/>
        <v>9</v>
      </c>
      <c r="AJ73" s="3" t="str">
        <f t="shared" si="7"/>
        <v>passed</v>
      </c>
      <c r="AK73" s="3">
        <f t="shared" si="8"/>
        <v>1</v>
      </c>
      <c r="AL73" s="3">
        <v>5.4902674535545968</v>
      </c>
      <c r="AM73" s="3">
        <v>0.95162019491969585</v>
      </c>
      <c r="AN73" s="3">
        <v>-5.0585056016866607</v>
      </c>
    </row>
    <row r="74" spans="1:40" x14ac:dyDescent="0.2">
      <c r="A74">
        <v>28301</v>
      </c>
      <c r="B74" s="1">
        <v>43383.553993055553</v>
      </c>
      <c r="C74" t="s">
        <v>3</v>
      </c>
      <c r="D74">
        <v>35</v>
      </c>
      <c r="E74">
        <v>6.8738450411620994E-2</v>
      </c>
      <c r="F74">
        <v>0.28165698518478999</v>
      </c>
      <c r="G74">
        <v>0.20185687010573999</v>
      </c>
      <c r="H74">
        <v>1</v>
      </c>
      <c r="I74">
        <v>1</v>
      </c>
      <c r="J74">
        <v>1</v>
      </c>
      <c r="K74">
        <v>1</v>
      </c>
      <c r="L74">
        <v>1</v>
      </c>
      <c r="M74">
        <v>1</v>
      </c>
      <c r="N74">
        <v>1</v>
      </c>
      <c r="O74">
        <v>0</v>
      </c>
      <c r="P74">
        <v>1</v>
      </c>
      <c r="Q74">
        <v>1</v>
      </c>
      <c r="R74">
        <v>0</v>
      </c>
      <c r="S74">
        <v>1</v>
      </c>
      <c r="T74">
        <v>0</v>
      </c>
      <c r="U74">
        <v>1</v>
      </c>
      <c r="V74">
        <v>1</v>
      </c>
      <c r="W74">
        <v>0</v>
      </c>
      <c r="X74">
        <v>0</v>
      </c>
      <c r="Y74">
        <v>1</v>
      </c>
      <c r="Z74">
        <v>1</v>
      </c>
      <c r="AA74">
        <v>1</v>
      </c>
      <c r="AB74">
        <v>1</v>
      </c>
      <c r="AC74">
        <v>5</v>
      </c>
      <c r="AD74">
        <v>4</v>
      </c>
      <c r="AE74">
        <v>5</v>
      </c>
      <c r="AF74">
        <v>5</v>
      </c>
      <c r="AG74" t="s">
        <v>4</v>
      </c>
      <c r="AH74" s="6">
        <f t="shared" si="5"/>
        <v>6.8738450411620994E-2</v>
      </c>
      <c r="AI74" s="3">
        <f t="shared" si="6"/>
        <v>10</v>
      </c>
      <c r="AJ74" s="3" t="str">
        <f t="shared" si="7"/>
        <v>passed</v>
      </c>
      <c r="AK74" s="3">
        <f t="shared" si="8"/>
        <v>1</v>
      </c>
      <c r="AL74" s="3">
        <v>4.5325519544333144</v>
      </c>
      <c r="AM74" s="3">
        <v>0.85989082935233307</v>
      </c>
      <c r="AN74" s="3">
        <v>-5.1911397954828997</v>
      </c>
    </row>
    <row r="75" spans="1:40" x14ac:dyDescent="0.2">
      <c r="A75">
        <v>28521</v>
      </c>
      <c r="B75" s="1">
        <v>43384.512361111112</v>
      </c>
      <c r="C75" t="s">
        <v>3</v>
      </c>
      <c r="D75">
        <v>44</v>
      </c>
      <c r="E75">
        <v>7.3563256684558001E-2</v>
      </c>
      <c r="F75">
        <v>0.12839458733976999</v>
      </c>
      <c r="G75">
        <v>0.14893798763393001</v>
      </c>
      <c r="H75">
        <v>1</v>
      </c>
      <c r="I75">
        <v>1</v>
      </c>
      <c r="J75">
        <v>1</v>
      </c>
      <c r="K75">
        <v>1</v>
      </c>
      <c r="L75">
        <v>1</v>
      </c>
      <c r="M75">
        <v>1</v>
      </c>
      <c r="N75">
        <v>1</v>
      </c>
      <c r="O75">
        <v>1</v>
      </c>
      <c r="P75">
        <v>1</v>
      </c>
      <c r="Q75">
        <v>2</v>
      </c>
      <c r="R75">
        <v>0</v>
      </c>
      <c r="S75">
        <v>1</v>
      </c>
      <c r="T75">
        <v>0</v>
      </c>
      <c r="U75">
        <v>1</v>
      </c>
      <c r="V75">
        <v>1</v>
      </c>
      <c r="W75">
        <v>0</v>
      </c>
      <c r="X75">
        <v>0</v>
      </c>
      <c r="Y75">
        <v>1</v>
      </c>
      <c r="Z75">
        <v>1</v>
      </c>
      <c r="AA75">
        <v>1</v>
      </c>
      <c r="AB75">
        <v>1</v>
      </c>
      <c r="AC75">
        <v>5</v>
      </c>
      <c r="AD75">
        <v>5</v>
      </c>
      <c r="AE75">
        <v>5</v>
      </c>
      <c r="AF75">
        <v>4</v>
      </c>
      <c r="AG75" t="s">
        <v>6</v>
      </c>
      <c r="AH75" s="6">
        <f t="shared" si="5"/>
        <v>7.3563256684558001E-2</v>
      </c>
      <c r="AI75" s="3">
        <f t="shared" si="6"/>
        <v>10</v>
      </c>
      <c r="AJ75" s="3" t="str">
        <f t="shared" si="7"/>
        <v>passed</v>
      </c>
      <c r="AK75" s="3">
        <f t="shared" si="8"/>
        <v>1</v>
      </c>
      <c r="AL75" s="3">
        <v>1.451452557678051</v>
      </c>
      <c r="AM75" s="3">
        <v>0.23133921481973371</v>
      </c>
      <c r="AN75" s="3">
        <v>-5.9561423776214726</v>
      </c>
    </row>
    <row r="76" spans="1:40" x14ac:dyDescent="0.2">
      <c r="A76">
        <v>29154</v>
      </c>
      <c r="B76" s="1">
        <v>43391.638877314814</v>
      </c>
      <c r="C76" t="s">
        <v>3</v>
      </c>
      <c r="D76">
        <v>25</v>
      </c>
      <c r="E76">
        <v>3.1329346422139998E-2</v>
      </c>
      <c r="F76">
        <v>0.26130068225746</v>
      </c>
      <c r="G76">
        <v>9.5776422887294002E-2</v>
      </c>
      <c r="H76">
        <v>1</v>
      </c>
      <c r="I76">
        <v>1</v>
      </c>
      <c r="J76">
        <v>1</v>
      </c>
      <c r="K76">
        <v>1</v>
      </c>
      <c r="L76">
        <v>0</v>
      </c>
      <c r="M76">
        <v>0</v>
      </c>
      <c r="N76">
        <v>0</v>
      </c>
      <c r="O76">
        <v>0</v>
      </c>
      <c r="P76">
        <v>0</v>
      </c>
      <c r="Q76">
        <v>2</v>
      </c>
      <c r="R76">
        <v>1</v>
      </c>
      <c r="S76">
        <v>0</v>
      </c>
      <c r="T76">
        <v>1</v>
      </c>
      <c r="U76">
        <v>1</v>
      </c>
      <c r="V76">
        <v>0</v>
      </c>
      <c r="W76">
        <v>1</v>
      </c>
      <c r="X76">
        <v>0</v>
      </c>
      <c r="Y76">
        <v>1</v>
      </c>
      <c r="Z76">
        <v>1</v>
      </c>
      <c r="AA76">
        <v>1</v>
      </c>
      <c r="AB76">
        <v>1</v>
      </c>
      <c r="AC76">
        <v>4</v>
      </c>
      <c r="AD76">
        <v>5</v>
      </c>
      <c r="AE76">
        <v>5</v>
      </c>
      <c r="AF76">
        <v>5</v>
      </c>
      <c r="AG76" t="s">
        <v>19</v>
      </c>
      <c r="AH76" s="6">
        <f t="shared" si="5"/>
        <v>3.1329346422139998E-2</v>
      </c>
      <c r="AI76" s="3">
        <f t="shared" si="6"/>
        <v>10</v>
      </c>
      <c r="AJ76" s="3" t="str">
        <f t="shared" si="7"/>
        <v>passed</v>
      </c>
      <c r="AK76" s="3">
        <f t="shared" si="8"/>
        <v>1</v>
      </c>
      <c r="AL76" s="3">
        <v>2.1413063767176168</v>
      </c>
      <c r="AM76" s="3">
        <v>0.35510968203503729</v>
      </c>
      <c r="AN76" s="3">
        <v>-5.9417614811394897</v>
      </c>
    </row>
    <row r="77" spans="1:40" x14ac:dyDescent="0.2">
      <c r="A77">
        <v>29213</v>
      </c>
      <c r="B77" s="1">
        <v>43391.807986111111</v>
      </c>
      <c r="C77" t="s">
        <v>3</v>
      </c>
      <c r="D77">
        <v>25</v>
      </c>
      <c r="E77">
        <v>4.1787259370868003E-2</v>
      </c>
      <c r="F77">
        <v>0.25706003857755999</v>
      </c>
      <c r="G77">
        <v>0.29353854934841001</v>
      </c>
      <c r="H77">
        <v>1</v>
      </c>
      <c r="I77">
        <v>1</v>
      </c>
      <c r="J77">
        <v>1</v>
      </c>
      <c r="K77">
        <v>1</v>
      </c>
      <c r="L77">
        <v>1</v>
      </c>
      <c r="M77">
        <v>0</v>
      </c>
      <c r="N77">
        <v>0</v>
      </c>
      <c r="O77">
        <v>0</v>
      </c>
      <c r="P77">
        <v>0</v>
      </c>
      <c r="Q77">
        <v>2</v>
      </c>
      <c r="R77">
        <v>1</v>
      </c>
      <c r="S77">
        <v>1</v>
      </c>
      <c r="T77">
        <v>0</v>
      </c>
      <c r="U77">
        <v>0</v>
      </c>
      <c r="V77">
        <v>1</v>
      </c>
      <c r="W77">
        <v>0</v>
      </c>
      <c r="X77">
        <v>0</v>
      </c>
      <c r="Y77">
        <v>2</v>
      </c>
      <c r="Z77">
        <v>1</v>
      </c>
      <c r="AA77">
        <v>1</v>
      </c>
      <c r="AB77">
        <v>1</v>
      </c>
      <c r="AC77">
        <v>5</v>
      </c>
      <c r="AD77">
        <v>5</v>
      </c>
      <c r="AE77">
        <v>5</v>
      </c>
      <c r="AF77">
        <v>5</v>
      </c>
      <c r="AH77" s="6">
        <f t="shared" si="5"/>
        <v>4.1787259370868003E-2</v>
      </c>
      <c r="AI77" s="3">
        <f t="shared" si="6"/>
        <v>10</v>
      </c>
      <c r="AJ77" s="3" t="str">
        <f t="shared" si="7"/>
        <v>passed</v>
      </c>
      <c r="AK77" s="3">
        <f t="shared" si="8"/>
        <v>1</v>
      </c>
      <c r="AL77" s="3">
        <v>6.2204734853000074</v>
      </c>
      <c r="AM77" s="3">
        <v>1.085768712306082</v>
      </c>
      <c r="AN77" s="3">
        <v>-5.6906099392071523</v>
      </c>
    </row>
    <row r="78" spans="1:40" x14ac:dyDescent="0.2">
      <c r="A78">
        <v>29352</v>
      </c>
      <c r="B78" s="1">
        <v>43393.573437500003</v>
      </c>
      <c r="C78" t="s">
        <v>3</v>
      </c>
      <c r="D78">
        <v>22</v>
      </c>
      <c r="E78">
        <v>3.6111086665218999E-2</v>
      </c>
      <c r="F78">
        <v>0.31074117595057998</v>
      </c>
      <c r="G78">
        <v>0.31997141652229</v>
      </c>
      <c r="H78">
        <v>1</v>
      </c>
      <c r="I78">
        <v>1</v>
      </c>
      <c r="J78">
        <v>1</v>
      </c>
      <c r="K78">
        <v>1</v>
      </c>
      <c r="L78">
        <v>1</v>
      </c>
      <c r="M78">
        <v>1</v>
      </c>
      <c r="N78">
        <v>1</v>
      </c>
      <c r="O78">
        <v>1</v>
      </c>
      <c r="P78">
        <v>1</v>
      </c>
      <c r="Q78">
        <v>4</v>
      </c>
      <c r="R78">
        <v>1</v>
      </c>
      <c r="S78">
        <v>1</v>
      </c>
      <c r="T78">
        <v>1</v>
      </c>
      <c r="U78">
        <v>0</v>
      </c>
      <c r="V78">
        <v>1</v>
      </c>
      <c r="W78">
        <v>1</v>
      </c>
      <c r="X78">
        <v>0</v>
      </c>
      <c r="Y78">
        <v>1</v>
      </c>
      <c r="Z78">
        <v>1</v>
      </c>
      <c r="AA78">
        <v>1</v>
      </c>
      <c r="AB78">
        <v>1</v>
      </c>
      <c r="AC78">
        <v>5</v>
      </c>
      <c r="AD78">
        <v>4</v>
      </c>
      <c r="AE78">
        <v>5</v>
      </c>
      <c r="AF78">
        <v>5</v>
      </c>
      <c r="AG78" t="s">
        <v>35</v>
      </c>
      <c r="AH78" s="6">
        <f t="shared" si="5"/>
        <v>3.6111086665218999E-2</v>
      </c>
      <c r="AI78" s="3">
        <f t="shared" si="6"/>
        <v>10</v>
      </c>
      <c r="AJ78" s="3" t="str">
        <f t="shared" si="7"/>
        <v>passed</v>
      </c>
      <c r="AK78" s="3">
        <f t="shared" si="8"/>
        <v>1</v>
      </c>
      <c r="AL78" s="3">
        <v>8.1341704501188765</v>
      </c>
      <c r="AM78" s="3">
        <v>1.3787055287143539</v>
      </c>
      <c r="AN78" s="3">
        <v>-5.8736685933254504</v>
      </c>
    </row>
    <row r="79" spans="1:40" x14ac:dyDescent="0.2">
      <c r="A79">
        <v>29548</v>
      </c>
      <c r="B79" s="1">
        <v>43396.725277777776</v>
      </c>
      <c r="C79" t="s">
        <v>3</v>
      </c>
      <c r="D79">
        <v>56</v>
      </c>
      <c r="E79">
        <v>5.2152539214414997E-2</v>
      </c>
      <c r="F79">
        <v>0.28472076018643999</v>
      </c>
      <c r="G79">
        <v>0.30187039607478</v>
      </c>
      <c r="H79">
        <v>1</v>
      </c>
      <c r="I79">
        <v>1</v>
      </c>
      <c r="J79">
        <v>1</v>
      </c>
      <c r="K79">
        <v>1</v>
      </c>
      <c r="L79">
        <v>0</v>
      </c>
      <c r="M79">
        <v>1</v>
      </c>
      <c r="N79">
        <v>0</v>
      </c>
      <c r="O79">
        <v>0</v>
      </c>
      <c r="P79">
        <v>0</v>
      </c>
      <c r="Q79">
        <v>2</v>
      </c>
      <c r="R79">
        <v>0</v>
      </c>
      <c r="S79">
        <v>0</v>
      </c>
      <c r="T79">
        <v>0</v>
      </c>
      <c r="U79">
        <v>0</v>
      </c>
      <c r="V79">
        <v>0</v>
      </c>
      <c r="W79">
        <v>1</v>
      </c>
      <c r="X79">
        <v>0</v>
      </c>
      <c r="Y79">
        <v>1</v>
      </c>
      <c r="Z79">
        <v>1</v>
      </c>
      <c r="AA79">
        <v>1</v>
      </c>
      <c r="AB79">
        <v>1</v>
      </c>
      <c r="AC79">
        <v>4</v>
      </c>
      <c r="AD79">
        <v>5</v>
      </c>
      <c r="AE79">
        <v>5</v>
      </c>
      <c r="AF79">
        <v>5</v>
      </c>
      <c r="AG79" t="s">
        <v>47</v>
      </c>
      <c r="AH79" s="6">
        <f t="shared" si="5"/>
        <v>5.2152539214414997E-2</v>
      </c>
      <c r="AI79" s="3">
        <f t="shared" si="6"/>
        <v>10</v>
      </c>
      <c r="AJ79" s="3" t="str">
        <f t="shared" si="7"/>
        <v>passed</v>
      </c>
      <c r="AK79" s="3">
        <f t="shared" si="8"/>
        <v>1</v>
      </c>
      <c r="AL79" s="3">
        <v>7.7369371451932629</v>
      </c>
      <c r="AM79" s="3">
        <v>1.2798724507130881</v>
      </c>
      <c r="AN79" s="3">
        <v>-6.0043362928057631</v>
      </c>
    </row>
    <row r="80" spans="1:40" x14ac:dyDescent="0.2">
      <c r="A80">
        <v>29599</v>
      </c>
      <c r="B80" s="1">
        <v>43397.463726851849</v>
      </c>
      <c r="C80" t="s">
        <v>3</v>
      </c>
      <c r="D80">
        <v>37</v>
      </c>
      <c r="E80">
        <v>0.25270526217435002</v>
      </c>
      <c r="F80">
        <v>0.28859824419566998</v>
      </c>
      <c r="G80">
        <v>0.12128768951556999</v>
      </c>
      <c r="H80">
        <v>1</v>
      </c>
      <c r="I80">
        <v>1</v>
      </c>
      <c r="J80">
        <v>1</v>
      </c>
      <c r="K80">
        <v>1</v>
      </c>
      <c r="L80">
        <v>1</v>
      </c>
      <c r="M80">
        <v>1</v>
      </c>
      <c r="N80">
        <v>0</v>
      </c>
      <c r="O80">
        <v>0</v>
      </c>
      <c r="P80">
        <v>0</v>
      </c>
      <c r="Q80">
        <v>2</v>
      </c>
      <c r="R80">
        <v>1</v>
      </c>
      <c r="S80">
        <v>0</v>
      </c>
      <c r="T80">
        <v>0</v>
      </c>
      <c r="U80">
        <v>1</v>
      </c>
      <c r="V80">
        <v>1</v>
      </c>
      <c r="W80">
        <v>0</v>
      </c>
      <c r="X80">
        <v>0</v>
      </c>
      <c r="Y80">
        <v>1</v>
      </c>
      <c r="Z80">
        <v>1</v>
      </c>
      <c r="AA80">
        <v>1</v>
      </c>
      <c r="AB80">
        <v>1</v>
      </c>
      <c r="AC80">
        <v>4</v>
      </c>
      <c r="AD80">
        <v>5</v>
      </c>
      <c r="AE80">
        <v>5</v>
      </c>
      <c r="AF80">
        <v>5</v>
      </c>
      <c r="AG80" t="s">
        <v>50</v>
      </c>
      <c r="AH80" s="6">
        <f t="shared" si="5"/>
        <v>0.25270526217435002</v>
      </c>
      <c r="AI80" s="3">
        <f t="shared" si="6"/>
        <v>10</v>
      </c>
      <c r="AJ80" s="3" t="str">
        <f t="shared" si="7"/>
        <v>passed</v>
      </c>
      <c r="AK80" s="3">
        <f t="shared" si="8"/>
        <v>1</v>
      </c>
      <c r="AL80" s="3">
        <v>2.2329683469582511</v>
      </c>
      <c r="AM80" s="3">
        <v>0.36849004462197521</v>
      </c>
      <c r="AN80" s="3">
        <v>-5.3739934461876802</v>
      </c>
    </row>
    <row r="81" spans="1:40" x14ac:dyDescent="0.2">
      <c r="A81">
        <v>29711</v>
      </c>
      <c r="B81" s="1">
        <v>43398.286909722221</v>
      </c>
      <c r="C81" t="s">
        <v>3</v>
      </c>
      <c r="D81">
        <v>21</v>
      </c>
      <c r="E81">
        <v>3.1512681715908E-2</v>
      </c>
      <c r="F81">
        <v>5.1337772086706E-2</v>
      </c>
      <c r="G81">
        <v>0.26844620318647</v>
      </c>
      <c r="H81">
        <v>1</v>
      </c>
      <c r="I81">
        <v>1</v>
      </c>
      <c r="J81">
        <v>1</v>
      </c>
      <c r="K81">
        <v>1</v>
      </c>
      <c r="L81">
        <v>1</v>
      </c>
      <c r="M81">
        <v>1</v>
      </c>
      <c r="N81">
        <v>1</v>
      </c>
      <c r="O81">
        <v>1</v>
      </c>
      <c r="P81">
        <v>1</v>
      </c>
      <c r="Q81">
        <v>2</v>
      </c>
      <c r="R81">
        <v>1</v>
      </c>
      <c r="S81">
        <v>1</v>
      </c>
      <c r="T81">
        <v>1</v>
      </c>
      <c r="U81">
        <v>0</v>
      </c>
      <c r="V81">
        <v>0</v>
      </c>
      <c r="W81">
        <v>1</v>
      </c>
      <c r="X81">
        <v>0</v>
      </c>
      <c r="Y81">
        <v>1</v>
      </c>
      <c r="Z81">
        <v>1</v>
      </c>
      <c r="AA81">
        <v>1</v>
      </c>
      <c r="AB81">
        <v>1</v>
      </c>
      <c r="AC81">
        <v>4</v>
      </c>
      <c r="AD81">
        <v>5</v>
      </c>
      <c r="AE81">
        <v>5</v>
      </c>
      <c r="AF81">
        <v>5</v>
      </c>
      <c r="AG81" t="s">
        <v>53</v>
      </c>
      <c r="AH81" s="6">
        <f t="shared" si="5"/>
        <v>3.1512681715908E-2</v>
      </c>
      <c r="AI81" s="3">
        <f t="shared" si="6"/>
        <v>10</v>
      </c>
      <c r="AJ81" s="3" t="str">
        <f t="shared" si="7"/>
        <v>passed</v>
      </c>
      <c r="AK81" s="3">
        <f t="shared" si="8"/>
        <v>1</v>
      </c>
      <c r="AL81" s="3">
        <v>1.159708916952203</v>
      </c>
      <c r="AM81" s="3">
        <v>0.21086866860562181</v>
      </c>
      <c r="AN81" s="3">
        <v>-5.3502316996476624</v>
      </c>
    </row>
    <row r="82" spans="1:40" x14ac:dyDescent="0.2">
      <c r="A82">
        <v>30159</v>
      </c>
      <c r="B82" s="1">
        <v>43407.467418981483</v>
      </c>
      <c r="C82" t="s">
        <v>3</v>
      </c>
      <c r="D82">
        <v>27</v>
      </c>
      <c r="E82">
        <v>6.7669143077029995E-2</v>
      </c>
      <c r="F82">
        <v>0.20203966429515999</v>
      </c>
      <c r="G82">
        <v>0.26556293196498998</v>
      </c>
      <c r="H82">
        <v>1</v>
      </c>
      <c r="I82">
        <v>1</v>
      </c>
      <c r="J82">
        <v>1</v>
      </c>
      <c r="K82">
        <v>1</v>
      </c>
      <c r="L82">
        <v>1</v>
      </c>
      <c r="M82">
        <v>1</v>
      </c>
      <c r="N82">
        <v>1</v>
      </c>
      <c r="O82">
        <v>0</v>
      </c>
      <c r="P82">
        <v>1</v>
      </c>
      <c r="Q82">
        <v>2</v>
      </c>
      <c r="R82">
        <v>0</v>
      </c>
      <c r="S82">
        <v>0</v>
      </c>
      <c r="T82">
        <v>1</v>
      </c>
      <c r="U82">
        <v>0</v>
      </c>
      <c r="V82">
        <v>1</v>
      </c>
      <c r="W82">
        <v>1</v>
      </c>
      <c r="X82">
        <v>0</v>
      </c>
      <c r="Y82">
        <v>1</v>
      </c>
      <c r="Z82">
        <v>1</v>
      </c>
      <c r="AA82">
        <v>1</v>
      </c>
      <c r="AB82">
        <v>1</v>
      </c>
      <c r="AC82">
        <v>4</v>
      </c>
      <c r="AD82">
        <v>5</v>
      </c>
      <c r="AE82">
        <v>5</v>
      </c>
      <c r="AF82">
        <v>5</v>
      </c>
      <c r="AH82" s="6">
        <f t="shared" si="5"/>
        <v>6.7669143077029995E-2</v>
      </c>
      <c r="AI82" s="3">
        <f t="shared" si="6"/>
        <v>10</v>
      </c>
      <c r="AJ82" s="3" t="str">
        <f t="shared" si="7"/>
        <v>passed</v>
      </c>
      <c r="AK82" s="3">
        <f t="shared" si="8"/>
        <v>1</v>
      </c>
      <c r="AL82" s="3">
        <v>4.4143938387186568</v>
      </c>
      <c r="AM82" s="3">
        <v>0.65101283784372466</v>
      </c>
      <c r="AN82" s="3">
        <v>-6.6768647912363539</v>
      </c>
    </row>
    <row r="83" spans="1:40" x14ac:dyDescent="0.2">
      <c r="A83">
        <v>30259</v>
      </c>
      <c r="B83" s="1">
        <v>43408.911990740744</v>
      </c>
      <c r="C83" t="s">
        <v>3</v>
      </c>
      <c r="D83">
        <v>52</v>
      </c>
      <c r="E83">
        <v>0.19143832573960001</v>
      </c>
      <c r="F83">
        <v>0.20137606687274001</v>
      </c>
      <c r="G83">
        <v>0.18586850605158001</v>
      </c>
      <c r="H83">
        <v>1</v>
      </c>
      <c r="I83">
        <v>1</v>
      </c>
      <c r="J83">
        <v>1</v>
      </c>
      <c r="K83">
        <v>1</v>
      </c>
      <c r="L83">
        <v>1</v>
      </c>
      <c r="M83">
        <v>1</v>
      </c>
      <c r="N83">
        <v>1</v>
      </c>
      <c r="O83">
        <v>1</v>
      </c>
      <c r="P83">
        <v>1</v>
      </c>
      <c r="Q83">
        <v>2</v>
      </c>
      <c r="R83">
        <v>0</v>
      </c>
      <c r="S83">
        <v>0</v>
      </c>
      <c r="T83">
        <v>0</v>
      </c>
      <c r="U83">
        <v>1</v>
      </c>
      <c r="V83">
        <v>1</v>
      </c>
      <c r="W83">
        <v>0</v>
      </c>
      <c r="X83">
        <v>0</v>
      </c>
      <c r="Y83">
        <v>1</v>
      </c>
      <c r="Z83">
        <v>1</v>
      </c>
      <c r="AA83">
        <v>1</v>
      </c>
      <c r="AB83">
        <v>1</v>
      </c>
      <c r="AC83">
        <v>4</v>
      </c>
      <c r="AD83">
        <v>5</v>
      </c>
      <c r="AE83">
        <v>5</v>
      </c>
      <c r="AF83">
        <v>5</v>
      </c>
      <c r="AG83" t="s">
        <v>61</v>
      </c>
      <c r="AH83" s="6">
        <f t="shared" si="5"/>
        <v>0.19143832573960001</v>
      </c>
      <c r="AI83" s="3">
        <f t="shared" si="6"/>
        <v>10</v>
      </c>
      <c r="AJ83" s="3" t="str">
        <f t="shared" si="7"/>
        <v>passed</v>
      </c>
      <c r="AK83" s="3">
        <f t="shared" si="8"/>
        <v>1</v>
      </c>
      <c r="AL83" s="3">
        <v>3.4448606961701329</v>
      </c>
      <c r="AM83" s="3">
        <v>0.52330110723587897</v>
      </c>
      <c r="AN83" s="3">
        <v>-6.2171134848450667</v>
      </c>
    </row>
    <row r="84" spans="1:40" x14ac:dyDescent="0.2">
      <c r="A84">
        <v>30653</v>
      </c>
      <c r="B84" s="1">
        <v>43413.500891203701</v>
      </c>
      <c r="C84" t="s">
        <v>3</v>
      </c>
      <c r="D84">
        <v>31</v>
      </c>
      <c r="E84">
        <v>0.11590482339883</v>
      </c>
      <c r="F84">
        <v>0.28001474417063998</v>
      </c>
      <c r="G84">
        <v>0.33577881333941001</v>
      </c>
      <c r="H84">
        <v>2</v>
      </c>
      <c r="I84">
        <v>1</v>
      </c>
      <c r="J84">
        <v>1</v>
      </c>
      <c r="K84">
        <v>1</v>
      </c>
      <c r="L84">
        <v>1</v>
      </c>
      <c r="M84">
        <v>1</v>
      </c>
      <c r="N84">
        <v>0</v>
      </c>
      <c r="O84">
        <v>0</v>
      </c>
      <c r="P84">
        <v>0</v>
      </c>
      <c r="Q84">
        <v>2</v>
      </c>
      <c r="R84">
        <v>1</v>
      </c>
      <c r="S84">
        <v>0</v>
      </c>
      <c r="T84">
        <v>1</v>
      </c>
      <c r="U84">
        <v>0</v>
      </c>
      <c r="V84">
        <v>0</v>
      </c>
      <c r="W84">
        <v>1</v>
      </c>
      <c r="X84">
        <v>0</v>
      </c>
      <c r="Y84">
        <v>1</v>
      </c>
      <c r="Z84">
        <v>1</v>
      </c>
      <c r="AA84">
        <v>1</v>
      </c>
      <c r="AB84">
        <v>1</v>
      </c>
      <c r="AC84">
        <v>5</v>
      </c>
      <c r="AD84">
        <v>5</v>
      </c>
      <c r="AE84">
        <v>5</v>
      </c>
      <c r="AF84">
        <v>5</v>
      </c>
      <c r="AG84" t="s">
        <v>64</v>
      </c>
      <c r="AH84" s="6">
        <f t="shared" si="5"/>
        <v>0.11590482339883</v>
      </c>
      <c r="AI84" s="3">
        <f t="shared" si="6"/>
        <v>10</v>
      </c>
      <c r="AJ84" s="3" t="str">
        <f t="shared" si="7"/>
        <v>passed</v>
      </c>
      <c r="AK84" s="3">
        <f t="shared" si="8"/>
        <v>1</v>
      </c>
      <c r="AL84" s="3">
        <v>8.3078064927992834</v>
      </c>
      <c r="AM84" s="3">
        <v>1.341609781995124</v>
      </c>
      <c r="AN84" s="3">
        <v>-6.1060241057710343</v>
      </c>
    </row>
    <row r="85" spans="1:40" x14ac:dyDescent="0.2">
      <c r="A85">
        <v>30694</v>
      </c>
      <c r="B85" s="1">
        <v>43413.645439814813</v>
      </c>
      <c r="C85" t="s">
        <v>3</v>
      </c>
      <c r="D85">
        <v>25</v>
      </c>
      <c r="E85">
        <v>7.1062333737525005E-2</v>
      </c>
      <c r="F85">
        <v>0.19758528379830001</v>
      </c>
      <c r="G85">
        <v>0.20619452030331001</v>
      </c>
      <c r="H85">
        <v>1</v>
      </c>
      <c r="I85">
        <v>1</v>
      </c>
      <c r="J85">
        <v>1</v>
      </c>
      <c r="K85">
        <v>1</v>
      </c>
      <c r="L85">
        <v>1</v>
      </c>
      <c r="M85">
        <v>0</v>
      </c>
      <c r="N85">
        <v>0</v>
      </c>
      <c r="O85">
        <v>0</v>
      </c>
      <c r="P85">
        <v>0</v>
      </c>
      <c r="Q85">
        <v>2</v>
      </c>
      <c r="R85">
        <v>0</v>
      </c>
      <c r="S85">
        <v>0</v>
      </c>
      <c r="T85">
        <v>0</v>
      </c>
      <c r="U85">
        <v>1</v>
      </c>
      <c r="V85">
        <v>1</v>
      </c>
      <c r="W85">
        <v>0</v>
      </c>
      <c r="X85">
        <v>0</v>
      </c>
      <c r="Y85">
        <v>1</v>
      </c>
      <c r="Z85">
        <v>1</v>
      </c>
      <c r="AA85">
        <v>1</v>
      </c>
      <c r="AB85">
        <v>1</v>
      </c>
      <c r="AC85">
        <v>4</v>
      </c>
      <c r="AD85">
        <v>5</v>
      </c>
      <c r="AE85">
        <v>5</v>
      </c>
      <c r="AF85">
        <v>5</v>
      </c>
      <c r="AG85" t="s">
        <v>71</v>
      </c>
      <c r="AH85" s="6">
        <f t="shared" si="5"/>
        <v>7.1062333737525005E-2</v>
      </c>
      <c r="AI85" s="3">
        <f t="shared" si="6"/>
        <v>10</v>
      </c>
      <c r="AJ85" s="3" t="str">
        <f t="shared" si="7"/>
        <v>passed</v>
      </c>
      <c r="AK85" s="3">
        <f t="shared" si="8"/>
        <v>1</v>
      </c>
      <c r="AL85" s="3">
        <v>2.7195875411733779</v>
      </c>
      <c r="AM85" s="3">
        <v>0.49130137271678481</v>
      </c>
      <c r="AN85" s="3">
        <v>-5.3908361639417182</v>
      </c>
    </row>
    <row r="86" spans="1:40" x14ac:dyDescent="0.2">
      <c r="A86">
        <v>45759</v>
      </c>
      <c r="B86" s="1">
        <v>43796.315046296295</v>
      </c>
      <c r="C86" t="s">
        <v>3</v>
      </c>
      <c r="D86">
        <v>43</v>
      </c>
      <c r="E86">
        <v>0.10285849771218999</v>
      </c>
      <c r="F86">
        <v>0.26908719905876999</v>
      </c>
      <c r="G86">
        <v>0.29592024224340002</v>
      </c>
      <c r="H86">
        <v>1</v>
      </c>
      <c r="I86">
        <v>1</v>
      </c>
      <c r="J86">
        <v>1</v>
      </c>
      <c r="K86">
        <v>0</v>
      </c>
      <c r="L86">
        <v>1</v>
      </c>
      <c r="M86">
        <v>1</v>
      </c>
      <c r="N86">
        <v>1</v>
      </c>
      <c r="O86">
        <v>0</v>
      </c>
      <c r="P86">
        <v>1</v>
      </c>
      <c r="Q86">
        <v>2</v>
      </c>
      <c r="R86">
        <v>1</v>
      </c>
      <c r="S86">
        <v>0</v>
      </c>
      <c r="T86">
        <v>0</v>
      </c>
      <c r="U86">
        <v>1</v>
      </c>
      <c r="V86">
        <v>0</v>
      </c>
      <c r="W86">
        <v>0</v>
      </c>
      <c r="X86">
        <v>0</v>
      </c>
      <c r="Y86">
        <v>1</v>
      </c>
      <c r="Z86">
        <v>1</v>
      </c>
      <c r="AA86">
        <v>1</v>
      </c>
      <c r="AB86">
        <v>1</v>
      </c>
      <c r="AC86">
        <v>5</v>
      </c>
      <c r="AD86">
        <v>5</v>
      </c>
      <c r="AE86">
        <v>5</v>
      </c>
      <c r="AF86">
        <v>4</v>
      </c>
      <c r="AH86" s="6">
        <f t="shared" si="5"/>
        <v>0.10285849771218999</v>
      </c>
      <c r="AI86" s="3">
        <f t="shared" si="6"/>
        <v>10</v>
      </c>
      <c r="AJ86" s="3" t="str">
        <f t="shared" si="7"/>
        <v>passed</v>
      </c>
      <c r="AK86" s="3">
        <f t="shared" si="8"/>
        <v>1</v>
      </c>
      <c r="AL86" s="3">
        <v>5.6607990640985539</v>
      </c>
      <c r="AM86" s="3">
        <v>1.1353592962998309</v>
      </c>
      <c r="AN86" s="3">
        <v>-4.8953142714379991</v>
      </c>
    </row>
    <row r="87" spans="1:40" x14ac:dyDescent="0.2">
      <c r="A87">
        <v>46746</v>
      </c>
      <c r="B87" s="1">
        <v>43811.093182870369</v>
      </c>
      <c r="C87" t="s">
        <v>3</v>
      </c>
      <c r="D87">
        <v>49</v>
      </c>
      <c r="E87">
        <v>7.4811884686079994E-2</v>
      </c>
      <c r="F87">
        <v>0.29352505460088002</v>
      </c>
      <c r="G87">
        <v>0.12287497283012</v>
      </c>
      <c r="H87">
        <v>1</v>
      </c>
      <c r="I87">
        <v>1</v>
      </c>
      <c r="J87">
        <v>1</v>
      </c>
      <c r="K87">
        <v>1</v>
      </c>
      <c r="L87">
        <v>1</v>
      </c>
      <c r="M87">
        <v>1</v>
      </c>
      <c r="N87">
        <v>0</v>
      </c>
      <c r="O87">
        <v>0</v>
      </c>
      <c r="P87">
        <v>0</v>
      </c>
      <c r="Q87">
        <v>1</v>
      </c>
      <c r="R87">
        <v>0</v>
      </c>
      <c r="S87">
        <v>1</v>
      </c>
      <c r="T87">
        <v>0</v>
      </c>
      <c r="U87">
        <v>1</v>
      </c>
      <c r="V87">
        <v>1</v>
      </c>
      <c r="W87">
        <v>1</v>
      </c>
      <c r="X87">
        <v>0</v>
      </c>
      <c r="Y87">
        <v>1</v>
      </c>
      <c r="Z87">
        <v>1</v>
      </c>
      <c r="AA87">
        <v>1</v>
      </c>
      <c r="AB87">
        <v>1</v>
      </c>
      <c r="AC87">
        <v>5</v>
      </c>
      <c r="AD87">
        <v>4</v>
      </c>
      <c r="AE87">
        <v>5</v>
      </c>
      <c r="AF87">
        <v>5</v>
      </c>
      <c r="AG87" t="s">
        <v>112</v>
      </c>
      <c r="AH87" s="6">
        <f t="shared" si="5"/>
        <v>7.4811884686079994E-2</v>
      </c>
      <c r="AI87" s="3">
        <f t="shared" si="6"/>
        <v>10</v>
      </c>
      <c r="AJ87" s="3" t="str">
        <f t="shared" si="7"/>
        <v>passed</v>
      </c>
      <c r="AK87" s="3">
        <f t="shared" si="8"/>
        <v>1</v>
      </c>
      <c r="AL87" s="3">
        <v>2.8079173989256399</v>
      </c>
      <c r="AM87" s="3">
        <v>0.49445779198261441</v>
      </c>
      <c r="AN87" s="3">
        <v>-5.5274799154862118</v>
      </c>
    </row>
    <row r="88" spans="1:40" x14ac:dyDescent="0.2">
      <c r="A88">
        <v>46868</v>
      </c>
      <c r="B88" s="1">
        <v>43814.753101851849</v>
      </c>
      <c r="C88" t="s">
        <v>3</v>
      </c>
      <c r="D88">
        <v>44</v>
      </c>
      <c r="E88">
        <v>0.11007002884106</v>
      </c>
      <c r="F88">
        <v>0.21493317328686001</v>
      </c>
      <c r="G88">
        <v>0.24462712621707999</v>
      </c>
      <c r="H88">
        <v>1</v>
      </c>
      <c r="I88">
        <v>1</v>
      </c>
      <c r="J88">
        <v>1</v>
      </c>
      <c r="K88">
        <v>1</v>
      </c>
      <c r="L88">
        <v>1</v>
      </c>
      <c r="M88">
        <v>1</v>
      </c>
      <c r="N88">
        <v>0</v>
      </c>
      <c r="O88">
        <v>1</v>
      </c>
      <c r="P88">
        <v>1</v>
      </c>
      <c r="Q88">
        <v>1</v>
      </c>
      <c r="R88">
        <v>0</v>
      </c>
      <c r="S88">
        <v>0</v>
      </c>
      <c r="T88">
        <v>0</v>
      </c>
      <c r="U88">
        <v>1</v>
      </c>
      <c r="V88">
        <v>1</v>
      </c>
      <c r="W88">
        <v>1</v>
      </c>
      <c r="X88">
        <v>0</v>
      </c>
      <c r="Y88">
        <v>1</v>
      </c>
      <c r="Z88">
        <v>1</v>
      </c>
      <c r="AA88">
        <v>1</v>
      </c>
      <c r="AB88">
        <v>1</v>
      </c>
      <c r="AC88">
        <v>5</v>
      </c>
      <c r="AD88">
        <v>4</v>
      </c>
      <c r="AE88">
        <v>5</v>
      </c>
      <c r="AF88">
        <v>5</v>
      </c>
      <c r="AG88" t="s">
        <v>115</v>
      </c>
      <c r="AH88" s="6">
        <f t="shared" si="5"/>
        <v>0.11007002884106</v>
      </c>
      <c r="AI88" s="3">
        <f t="shared" si="6"/>
        <v>10</v>
      </c>
      <c r="AJ88" s="3" t="str">
        <f t="shared" si="7"/>
        <v>passed</v>
      </c>
      <c r="AK88" s="3">
        <f t="shared" si="8"/>
        <v>1</v>
      </c>
      <c r="AL88" s="3">
        <v>5.0298278744573288</v>
      </c>
      <c r="AM88" s="3">
        <v>0.72183604773286325</v>
      </c>
      <c r="AN88" s="3">
        <v>-6.8156167332848048</v>
      </c>
    </row>
    <row r="89" spans="1:40" x14ac:dyDescent="0.2">
      <c r="A89">
        <v>48989</v>
      </c>
      <c r="B89" s="1">
        <v>43864.70789351852</v>
      </c>
      <c r="C89" t="s">
        <v>2</v>
      </c>
      <c r="D89">
        <v>24</v>
      </c>
      <c r="E89">
        <v>4.2147935528924999E-2</v>
      </c>
      <c r="F89">
        <v>0.22420635497451</v>
      </c>
      <c r="G89">
        <v>0.14028731285195001</v>
      </c>
      <c r="H89">
        <v>1</v>
      </c>
      <c r="I89">
        <v>1</v>
      </c>
      <c r="J89">
        <v>1</v>
      </c>
      <c r="K89">
        <v>1</v>
      </c>
      <c r="L89">
        <v>1</v>
      </c>
      <c r="M89">
        <v>1</v>
      </c>
      <c r="N89">
        <v>0</v>
      </c>
      <c r="O89">
        <v>0</v>
      </c>
      <c r="P89">
        <v>0</v>
      </c>
      <c r="Q89">
        <v>1</v>
      </c>
      <c r="R89">
        <v>1</v>
      </c>
      <c r="S89">
        <v>1</v>
      </c>
      <c r="T89">
        <v>0</v>
      </c>
      <c r="U89">
        <v>1</v>
      </c>
      <c r="V89">
        <v>1</v>
      </c>
      <c r="W89">
        <v>0</v>
      </c>
      <c r="X89">
        <v>0</v>
      </c>
      <c r="Y89">
        <v>1</v>
      </c>
      <c r="Z89">
        <v>1</v>
      </c>
      <c r="AA89">
        <v>1</v>
      </c>
      <c r="AB89">
        <v>1</v>
      </c>
      <c r="AC89">
        <v>4</v>
      </c>
      <c r="AD89">
        <v>5</v>
      </c>
      <c r="AE89">
        <v>5</v>
      </c>
      <c r="AF89">
        <v>5</v>
      </c>
      <c r="AH89" s="6">
        <f t="shared" si="5"/>
        <v>4.2147935528924999E-2</v>
      </c>
      <c r="AI89" s="3">
        <f t="shared" si="6"/>
        <v>10</v>
      </c>
      <c r="AJ89" s="3" t="str">
        <f t="shared" si="7"/>
        <v>passed</v>
      </c>
      <c r="AK89" s="3">
        <f t="shared" si="8"/>
        <v>1</v>
      </c>
      <c r="AL89" s="3">
        <v>2.650311656182466</v>
      </c>
      <c r="AM89" s="3">
        <v>0.46523916127649589</v>
      </c>
      <c r="AN89" s="3">
        <v>-5.6060708937257466</v>
      </c>
    </row>
    <row r="90" spans="1:40" x14ac:dyDescent="0.2">
      <c r="A90">
        <v>53432</v>
      </c>
      <c r="B90" s="1">
        <v>43918.034409722219</v>
      </c>
      <c r="C90" t="s">
        <v>3</v>
      </c>
      <c r="D90">
        <v>33</v>
      </c>
      <c r="E90">
        <v>0.17580717735776999</v>
      </c>
      <c r="F90">
        <v>0.21980183971375</v>
      </c>
      <c r="G90">
        <v>0.28330186049764999</v>
      </c>
      <c r="H90">
        <v>1</v>
      </c>
      <c r="I90">
        <v>1</v>
      </c>
      <c r="J90">
        <v>1</v>
      </c>
      <c r="K90">
        <v>1</v>
      </c>
      <c r="L90">
        <v>0</v>
      </c>
      <c r="M90">
        <v>0</v>
      </c>
      <c r="N90">
        <v>0</v>
      </c>
      <c r="O90">
        <v>0</v>
      </c>
      <c r="P90">
        <v>0</v>
      </c>
      <c r="Q90">
        <v>1</v>
      </c>
      <c r="R90">
        <v>0</v>
      </c>
      <c r="S90">
        <v>0</v>
      </c>
      <c r="T90">
        <v>0</v>
      </c>
      <c r="U90">
        <v>1</v>
      </c>
      <c r="V90">
        <v>1</v>
      </c>
      <c r="W90">
        <v>1</v>
      </c>
      <c r="X90">
        <v>0</v>
      </c>
      <c r="Y90">
        <v>2</v>
      </c>
      <c r="Z90">
        <v>1</v>
      </c>
      <c r="AA90">
        <v>1</v>
      </c>
      <c r="AB90">
        <v>1</v>
      </c>
      <c r="AC90">
        <v>5</v>
      </c>
      <c r="AD90">
        <v>5</v>
      </c>
      <c r="AE90">
        <v>5</v>
      </c>
      <c r="AF90">
        <v>5</v>
      </c>
      <c r="AG90" t="s">
        <v>124</v>
      </c>
      <c r="AH90" s="6">
        <f t="shared" si="5"/>
        <v>0.17580717735776999</v>
      </c>
      <c r="AI90" s="3">
        <f t="shared" si="6"/>
        <v>10</v>
      </c>
      <c r="AJ90" s="3" t="str">
        <f t="shared" si="7"/>
        <v>passed</v>
      </c>
      <c r="AK90" s="3">
        <f t="shared" si="8"/>
        <v>1</v>
      </c>
      <c r="AL90" s="3">
        <v>5.3672844337482566</v>
      </c>
      <c r="AM90" s="3">
        <v>0.91767496135461224</v>
      </c>
      <c r="AN90" s="3">
        <v>-5.6572070449946272</v>
      </c>
    </row>
    <row r="91" spans="1:40" x14ac:dyDescent="0.2">
      <c r="A91">
        <v>59750</v>
      </c>
      <c r="B91" s="1">
        <v>44221.618888888886</v>
      </c>
      <c r="C91" t="s">
        <v>3</v>
      </c>
      <c r="D91">
        <v>61</v>
      </c>
      <c r="E91">
        <v>3.958174364988E-2</v>
      </c>
      <c r="F91">
        <v>0.25843227058716001</v>
      </c>
      <c r="G91">
        <v>0.21207016866577</v>
      </c>
      <c r="H91">
        <v>1</v>
      </c>
      <c r="I91">
        <v>1</v>
      </c>
      <c r="J91">
        <v>1</v>
      </c>
      <c r="K91">
        <v>1</v>
      </c>
      <c r="L91">
        <v>1</v>
      </c>
      <c r="M91">
        <v>0</v>
      </c>
      <c r="N91">
        <v>0</v>
      </c>
      <c r="O91">
        <v>0</v>
      </c>
      <c r="P91">
        <v>0</v>
      </c>
      <c r="Q91">
        <v>3</v>
      </c>
      <c r="R91">
        <v>1</v>
      </c>
      <c r="S91">
        <v>1</v>
      </c>
      <c r="T91">
        <v>1</v>
      </c>
      <c r="U91">
        <v>0</v>
      </c>
      <c r="V91">
        <v>1</v>
      </c>
      <c r="W91">
        <v>0</v>
      </c>
      <c r="X91">
        <v>0</v>
      </c>
      <c r="Y91">
        <v>1</v>
      </c>
      <c r="Z91">
        <v>1</v>
      </c>
      <c r="AA91">
        <v>1</v>
      </c>
      <c r="AB91">
        <v>1</v>
      </c>
      <c r="AC91">
        <v>5</v>
      </c>
      <c r="AD91">
        <v>5</v>
      </c>
      <c r="AE91">
        <v>5</v>
      </c>
      <c r="AF91">
        <v>4</v>
      </c>
      <c r="AG91" t="s">
        <v>141</v>
      </c>
      <c r="AH91" s="6">
        <f t="shared" si="5"/>
        <v>3.958174364988E-2</v>
      </c>
      <c r="AI91" s="3">
        <f t="shared" si="6"/>
        <v>10</v>
      </c>
      <c r="AJ91" s="3" t="str">
        <f t="shared" si="7"/>
        <v>passed</v>
      </c>
      <c r="AK91" s="3">
        <f t="shared" si="8"/>
        <v>1</v>
      </c>
      <c r="AL91" s="3">
        <v>4.5919626163933769</v>
      </c>
      <c r="AM91" s="3">
        <v>0.77838644979368721</v>
      </c>
      <c r="AN91" s="3">
        <v>-5.8484842252201528</v>
      </c>
    </row>
    <row r="92" spans="1:40" x14ac:dyDescent="0.2">
      <c r="A92">
        <v>59791</v>
      </c>
      <c r="B92" s="1">
        <v>44221.74795138889</v>
      </c>
      <c r="C92" t="s">
        <v>3</v>
      </c>
      <c r="D92">
        <v>25</v>
      </c>
      <c r="E92">
        <v>0.16982034868759999</v>
      </c>
      <c r="F92">
        <v>0.30178646418994998</v>
      </c>
      <c r="G92">
        <v>0.30091672871799002</v>
      </c>
      <c r="H92">
        <v>1</v>
      </c>
      <c r="I92">
        <v>1</v>
      </c>
      <c r="J92">
        <v>1</v>
      </c>
      <c r="K92">
        <v>1</v>
      </c>
      <c r="L92">
        <v>0</v>
      </c>
      <c r="M92">
        <v>0</v>
      </c>
      <c r="N92">
        <v>0</v>
      </c>
      <c r="O92">
        <v>0</v>
      </c>
      <c r="P92">
        <v>0</v>
      </c>
      <c r="Q92">
        <v>2</v>
      </c>
      <c r="R92">
        <v>0</v>
      </c>
      <c r="S92">
        <v>0</v>
      </c>
      <c r="T92">
        <v>1</v>
      </c>
      <c r="U92">
        <v>1</v>
      </c>
      <c r="V92">
        <v>1</v>
      </c>
      <c r="W92">
        <v>0</v>
      </c>
      <c r="X92">
        <v>0</v>
      </c>
      <c r="Y92">
        <v>2</v>
      </c>
      <c r="Z92">
        <v>1</v>
      </c>
      <c r="AA92">
        <v>1</v>
      </c>
      <c r="AB92">
        <v>1</v>
      </c>
      <c r="AC92">
        <v>5</v>
      </c>
      <c r="AD92">
        <v>5</v>
      </c>
      <c r="AE92">
        <v>5</v>
      </c>
      <c r="AF92">
        <v>5</v>
      </c>
      <c r="AG92" t="s">
        <v>146</v>
      </c>
      <c r="AH92" s="6">
        <f t="shared" si="5"/>
        <v>0.16982034868759999</v>
      </c>
      <c r="AI92" s="3">
        <f t="shared" si="6"/>
        <v>10</v>
      </c>
      <c r="AJ92" s="3" t="str">
        <f t="shared" si="7"/>
        <v>passed</v>
      </c>
      <c r="AK92" s="3">
        <f t="shared" si="8"/>
        <v>1</v>
      </c>
      <c r="AL92" s="3">
        <v>7.7089033294050902</v>
      </c>
      <c r="AM92" s="3">
        <v>1.2051682959204</v>
      </c>
      <c r="AN92" s="3">
        <v>-6.2556267089318149</v>
      </c>
    </row>
    <row r="93" spans="1:40" x14ac:dyDescent="0.2">
      <c r="A93">
        <v>62624</v>
      </c>
      <c r="B93" s="1">
        <v>44341.140335648146</v>
      </c>
      <c r="C93" t="s">
        <v>3</v>
      </c>
      <c r="D93">
        <v>48</v>
      </c>
      <c r="E93">
        <v>0.20157854814775</v>
      </c>
      <c r="F93">
        <v>0.26969959213455003</v>
      </c>
      <c r="G93">
        <v>0.33395314381616997</v>
      </c>
      <c r="H93">
        <v>1</v>
      </c>
      <c r="I93">
        <v>1</v>
      </c>
      <c r="J93">
        <v>1</v>
      </c>
      <c r="K93">
        <v>0</v>
      </c>
      <c r="L93">
        <v>0</v>
      </c>
      <c r="M93">
        <v>0</v>
      </c>
      <c r="N93">
        <v>0</v>
      </c>
      <c r="O93">
        <v>0</v>
      </c>
      <c r="P93">
        <v>0</v>
      </c>
      <c r="Q93">
        <v>1</v>
      </c>
      <c r="R93">
        <v>1</v>
      </c>
      <c r="S93">
        <v>0</v>
      </c>
      <c r="T93">
        <v>1</v>
      </c>
      <c r="U93">
        <v>0</v>
      </c>
      <c r="V93">
        <v>0</v>
      </c>
      <c r="W93">
        <v>0</v>
      </c>
      <c r="X93">
        <v>0</v>
      </c>
      <c r="Y93">
        <v>1</v>
      </c>
      <c r="Z93">
        <v>1</v>
      </c>
      <c r="AA93">
        <v>1</v>
      </c>
      <c r="AB93">
        <v>1</v>
      </c>
      <c r="AC93">
        <v>4</v>
      </c>
      <c r="AD93">
        <v>5</v>
      </c>
      <c r="AE93">
        <v>5</v>
      </c>
      <c r="AF93">
        <v>5</v>
      </c>
      <c r="AG93" t="s">
        <v>157</v>
      </c>
      <c r="AH93" s="6">
        <f t="shared" si="5"/>
        <v>0.20157854814775</v>
      </c>
      <c r="AI93" s="3">
        <f t="shared" si="6"/>
        <v>10</v>
      </c>
      <c r="AJ93" s="3" t="str">
        <f t="shared" si="7"/>
        <v>passed</v>
      </c>
      <c r="AK93" s="3">
        <f t="shared" si="8"/>
        <v>1</v>
      </c>
      <c r="AL93" s="3">
        <v>8.2799594783774655</v>
      </c>
      <c r="AM93" s="3">
        <v>1.302643209036759</v>
      </c>
      <c r="AN93" s="3">
        <v>-6.2015299923939118</v>
      </c>
    </row>
    <row r="94" spans="1:40" x14ac:dyDescent="0.2">
      <c r="A94">
        <v>62811</v>
      </c>
      <c r="B94" s="1">
        <v>44357.780173611114</v>
      </c>
      <c r="C94" t="s">
        <v>3</v>
      </c>
      <c r="D94">
        <v>31</v>
      </c>
      <c r="E94">
        <v>0.27409937945898</v>
      </c>
      <c r="F94">
        <v>0.13056352629161999</v>
      </c>
      <c r="G94">
        <v>0.24464773945397</v>
      </c>
      <c r="H94">
        <v>1</v>
      </c>
      <c r="I94">
        <v>0</v>
      </c>
      <c r="J94">
        <v>1</v>
      </c>
      <c r="K94">
        <v>1</v>
      </c>
      <c r="L94">
        <v>1</v>
      </c>
      <c r="M94">
        <v>1</v>
      </c>
      <c r="N94">
        <v>0</v>
      </c>
      <c r="O94">
        <v>0</v>
      </c>
      <c r="P94">
        <v>0</v>
      </c>
      <c r="Q94">
        <v>1</v>
      </c>
      <c r="R94">
        <v>0</v>
      </c>
      <c r="S94">
        <v>0</v>
      </c>
      <c r="T94">
        <v>1</v>
      </c>
      <c r="U94">
        <v>1</v>
      </c>
      <c r="V94">
        <v>1</v>
      </c>
      <c r="W94">
        <v>1</v>
      </c>
      <c r="X94">
        <v>0</v>
      </c>
      <c r="Y94">
        <v>1</v>
      </c>
      <c r="Z94">
        <v>1</v>
      </c>
      <c r="AA94">
        <v>1</v>
      </c>
      <c r="AB94">
        <v>1</v>
      </c>
      <c r="AC94">
        <v>4</v>
      </c>
      <c r="AD94">
        <v>5</v>
      </c>
      <c r="AE94">
        <v>5</v>
      </c>
      <c r="AF94">
        <v>5</v>
      </c>
      <c r="AG94" t="s">
        <v>162</v>
      </c>
      <c r="AH94" s="6">
        <f t="shared" si="5"/>
        <v>0.27409937945898</v>
      </c>
      <c r="AI94" s="3">
        <f t="shared" si="6"/>
        <v>10</v>
      </c>
      <c r="AJ94" s="3" t="str">
        <f t="shared" si="7"/>
        <v>passed</v>
      </c>
      <c r="AK94" s="3">
        <f t="shared" si="8"/>
        <v>1</v>
      </c>
      <c r="AL94" s="3">
        <v>2.9132408881558889</v>
      </c>
      <c r="AM94" s="3">
        <v>0.4692139636045779</v>
      </c>
      <c r="AN94" s="3">
        <v>-5.6246013831783648</v>
      </c>
    </row>
    <row r="95" spans="1:40" x14ac:dyDescent="0.2">
      <c r="A95">
        <v>62886</v>
      </c>
      <c r="B95" s="1">
        <v>44361.596284722225</v>
      </c>
      <c r="C95" t="s">
        <v>2</v>
      </c>
      <c r="D95">
        <v>39</v>
      </c>
      <c r="E95">
        <v>6.6500928198479997E-2</v>
      </c>
      <c r="F95">
        <v>0.25728681987471003</v>
      </c>
      <c r="G95">
        <v>0.25990785579537001</v>
      </c>
      <c r="H95">
        <v>1</v>
      </c>
      <c r="I95">
        <v>1</v>
      </c>
      <c r="J95">
        <v>1</v>
      </c>
      <c r="K95">
        <v>1</v>
      </c>
      <c r="L95">
        <v>1</v>
      </c>
      <c r="M95">
        <v>1</v>
      </c>
      <c r="N95">
        <v>1</v>
      </c>
      <c r="O95">
        <v>1</v>
      </c>
      <c r="P95">
        <v>1</v>
      </c>
      <c r="Q95">
        <v>2</v>
      </c>
      <c r="R95">
        <v>0</v>
      </c>
      <c r="S95">
        <v>0</v>
      </c>
      <c r="T95">
        <v>0</v>
      </c>
      <c r="U95">
        <v>1</v>
      </c>
      <c r="V95">
        <v>1</v>
      </c>
      <c r="W95">
        <v>0</v>
      </c>
      <c r="X95">
        <v>0</v>
      </c>
      <c r="Y95">
        <v>1</v>
      </c>
      <c r="Z95">
        <v>1</v>
      </c>
      <c r="AA95">
        <v>1</v>
      </c>
      <c r="AB95">
        <v>1</v>
      </c>
      <c r="AC95">
        <v>4</v>
      </c>
      <c r="AD95">
        <v>5</v>
      </c>
      <c r="AE95">
        <v>5</v>
      </c>
      <c r="AF95">
        <v>5</v>
      </c>
      <c r="AG95" t="s">
        <v>168</v>
      </c>
      <c r="AH95" s="6">
        <f t="shared" si="5"/>
        <v>6.6500928198479997E-2</v>
      </c>
      <c r="AI95" s="3">
        <f t="shared" si="6"/>
        <v>10</v>
      </c>
      <c r="AJ95" s="3" t="str">
        <f t="shared" si="7"/>
        <v>passed</v>
      </c>
      <c r="AK95" s="3">
        <f t="shared" si="8"/>
        <v>1</v>
      </c>
      <c r="AL95" s="3">
        <v>5.0344309304356978</v>
      </c>
      <c r="AM95" s="3">
        <v>0.92371826602177765</v>
      </c>
      <c r="AN95" s="3">
        <v>-5.3781874679525856</v>
      </c>
    </row>
    <row r="96" spans="1:40" x14ac:dyDescent="0.2">
      <c r="A96">
        <v>63156</v>
      </c>
      <c r="B96" s="1">
        <v>44383.474189814813</v>
      </c>
      <c r="C96" t="s">
        <v>3</v>
      </c>
      <c r="D96">
        <v>47</v>
      </c>
      <c r="E96">
        <v>6.2230133297225002E-2</v>
      </c>
      <c r="F96">
        <v>0.22275020959839001</v>
      </c>
      <c r="G96">
        <v>0.30032687652061002</v>
      </c>
      <c r="H96">
        <v>1</v>
      </c>
      <c r="I96">
        <v>1</v>
      </c>
      <c r="J96">
        <v>1</v>
      </c>
      <c r="K96">
        <v>1</v>
      </c>
      <c r="L96">
        <v>1</v>
      </c>
      <c r="M96">
        <v>0</v>
      </c>
      <c r="N96">
        <v>0</v>
      </c>
      <c r="O96">
        <v>0</v>
      </c>
      <c r="P96">
        <v>0</v>
      </c>
      <c r="Q96">
        <v>1</v>
      </c>
      <c r="R96">
        <v>0</v>
      </c>
      <c r="S96">
        <v>0</v>
      </c>
      <c r="T96">
        <v>1</v>
      </c>
      <c r="U96">
        <v>0</v>
      </c>
      <c r="V96">
        <v>1</v>
      </c>
      <c r="W96">
        <v>0</v>
      </c>
      <c r="X96">
        <v>0</v>
      </c>
      <c r="Y96">
        <v>1</v>
      </c>
      <c r="Z96">
        <v>1</v>
      </c>
      <c r="AA96">
        <v>1</v>
      </c>
      <c r="AB96">
        <v>1</v>
      </c>
      <c r="AC96">
        <v>4</v>
      </c>
      <c r="AD96">
        <v>5</v>
      </c>
      <c r="AE96">
        <v>5</v>
      </c>
      <c r="AF96">
        <v>5</v>
      </c>
      <c r="AG96" t="s">
        <v>174</v>
      </c>
      <c r="AH96" s="6">
        <f t="shared" si="5"/>
        <v>6.2230133297225002E-2</v>
      </c>
      <c r="AI96" s="3">
        <f t="shared" si="6"/>
        <v>10</v>
      </c>
      <c r="AJ96" s="3" t="str">
        <f t="shared" si="7"/>
        <v>passed</v>
      </c>
      <c r="AK96" s="3">
        <f t="shared" si="8"/>
        <v>1</v>
      </c>
      <c r="AL96" s="3">
        <v>6.4605650228305347</v>
      </c>
      <c r="AM96" s="3">
        <v>0.95462571076496916</v>
      </c>
      <c r="AN96" s="3">
        <v>-6.7024539747689573</v>
      </c>
    </row>
    <row r="97" spans="1:40" x14ac:dyDescent="0.2">
      <c r="A97">
        <v>28563</v>
      </c>
      <c r="B97" s="1">
        <v>43384.675046296295</v>
      </c>
      <c r="C97" t="s">
        <v>3</v>
      </c>
      <c r="D97">
        <v>27</v>
      </c>
      <c r="E97">
        <v>8.1397578153028005E-2</v>
      </c>
      <c r="F97">
        <v>0.26104712209820002</v>
      </c>
      <c r="G97">
        <v>0.28865490473731997</v>
      </c>
      <c r="H97">
        <v>1</v>
      </c>
      <c r="I97">
        <v>1</v>
      </c>
      <c r="J97">
        <v>1</v>
      </c>
      <c r="K97">
        <v>1</v>
      </c>
      <c r="L97">
        <v>1</v>
      </c>
      <c r="M97">
        <v>1</v>
      </c>
      <c r="N97">
        <v>1</v>
      </c>
      <c r="O97">
        <v>1</v>
      </c>
      <c r="P97">
        <v>1</v>
      </c>
      <c r="Q97">
        <v>2</v>
      </c>
      <c r="R97">
        <v>0</v>
      </c>
      <c r="S97">
        <v>0</v>
      </c>
      <c r="T97">
        <v>0</v>
      </c>
      <c r="U97">
        <v>1</v>
      </c>
      <c r="V97">
        <v>0</v>
      </c>
      <c r="W97">
        <v>0</v>
      </c>
      <c r="X97">
        <v>0</v>
      </c>
      <c r="Y97">
        <v>1</v>
      </c>
      <c r="Z97">
        <v>1</v>
      </c>
      <c r="AA97">
        <v>1</v>
      </c>
      <c r="AB97">
        <v>1</v>
      </c>
      <c r="AC97">
        <v>4</v>
      </c>
      <c r="AD97">
        <v>5</v>
      </c>
      <c r="AE97">
        <v>5</v>
      </c>
      <c r="AF97">
        <v>4</v>
      </c>
      <c r="AH97" s="6">
        <f t="shared" si="5"/>
        <v>8.1397578153028005E-2</v>
      </c>
      <c r="AI97" s="3">
        <f t="shared" si="6"/>
        <v>11</v>
      </c>
      <c r="AJ97" s="3" t="str">
        <f t="shared" si="7"/>
        <v>passed</v>
      </c>
      <c r="AK97" s="3">
        <f t="shared" si="8"/>
        <v>1</v>
      </c>
      <c r="AL97" s="3">
        <v>5.7372667717513188</v>
      </c>
      <c r="AM97" s="3">
        <v>0.92907037560432104</v>
      </c>
      <c r="AN97" s="3">
        <v>-6.087664984387632</v>
      </c>
    </row>
    <row r="98" spans="1:40" x14ac:dyDescent="0.2">
      <c r="A98">
        <v>29058</v>
      </c>
      <c r="B98" s="1">
        <v>43390.792094907411</v>
      </c>
      <c r="C98" t="s">
        <v>3</v>
      </c>
      <c r="D98">
        <v>43</v>
      </c>
      <c r="E98">
        <v>3.1267966575634999E-2</v>
      </c>
      <c r="F98">
        <v>0.27520797898033</v>
      </c>
      <c r="G98">
        <v>0.20500365467727999</v>
      </c>
      <c r="H98">
        <v>1</v>
      </c>
      <c r="I98">
        <v>1</v>
      </c>
      <c r="J98">
        <v>1</v>
      </c>
      <c r="K98">
        <v>0</v>
      </c>
      <c r="L98">
        <v>0</v>
      </c>
      <c r="M98">
        <v>0</v>
      </c>
      <c r="N98">
        <v>0</v>
      </c>
      <c r="O98">
        <v>0</v>
      </c>
      <c r="P98">
        <v>0</v>
      </c>
      <c r="Q98">
        <v>2</v>
      </c>
      <c r="R98">
        <v>0</v>
      </c>
      <c r="S98">
        <v>0</v>
      </c>
      <c r="T98">
        <v>1</v>
      </c>
      <c r="U98">
        <v>0</v>
      </c>
      <c r="V98">
        <v>0</v>
      </c>
      <c r="W98">
        <v>1</v>
      </c>
      <c r="X98">
        <v>0</v>
      </c>
      <c r="Y98">
        <v>1</v>
      </c>
      <c r="Z98">
        <v>1</v>
      </c>
      <c r="AA98">
        <v>1</v>
      </c>
      <c r="AB98">
        <v>2</v>
      </c>
      <c r="AC98">
        <v>4</v>
      </c>
      <c r="AD98">
        <v>5</v>
      </c>
      <c r="AE98">
        <v>5</v>
      </c>
      <c r="AF98">
        <v>5</v>
      </c>
      <c r="AH98" s="6">
        <f t="shared" si="5"/>
        <v>3.1267966575634999E-2</v>
      </c>
      <c r="AI98" s="3">
        <f t="shared" si="6"/>
        <v>11</v>
      </c>
      <c r="AJ98" s="3" t="str">
        <f t="shared" si="7"/>
        <v>passed</v>
      </c>
      <c r="AK98" s="3">
        <f t="shared" si="8"/>
        <v>1</v>
      </c>
      <c r="AL98" s="3">
        <v>4.6718330144719857</v>
      </c>
      <c r="AM98" s="3">
        <v>0.77245328499519905</v>
      </c>
      <c r="AN98" s="3">
        <v>-6.0075672380954304</v>
      </c>
    </row>
    <row r="99" spans="1:40" x14ac:dyDescent="0.2">
      <c r="A99">
        <v>29306</v>
      </c>
      <c r="B99" s="1">
        <v>43392.728506944448</v>
      </c>
      <c r="C99" t="s">
        <v>3</v>
      </c>
      <c r="D99">
        <v>22</v>
      </c>
      <c r="E99">
        <v>0.17344876290667999</v>
      </c>
      <c r="F99">
        <v>0.30021381272463998</v>
      </c>
      <c r="G99">
        <v>0.22347690888113</v>
      </c>
      <c r="H99">
        <v>1</v>
      </c>
      <c r="I99">
        <v>1</v>
      </c>
      <c r="J99">
        <v>1</v>
      </c>
      <c r="K99">
        <v>1</v>
      </c>
      <c r="L99">
        <v>1</v>
      </c>
      <c r="M99">
        <v>0</v>
      </c>
      <c r="N99">
        <v>0</v>
      </c>
      <c r="O99">
        <v>0</v>
      </c>
      <c r="P99">
        <v>0</v>
      </c>
      <c r="Q99">
        <v>2</v>
      </c>
      <c r="R99">
        <v>1</v>
      </c>
      <c r="S99">
        <v>0</v>
      </c>
      <c r="T99">
        <v>0</v>
      </c>
      <c r="U99">
        <v>0</v>
      </c>
      <c r="V99">
        <v>1</v>
      </c>
      <c r="W99">
        <v>0</v>
      </c>
      <c r="X99">
        <v>0</v>
      </c>
      <c r="Y99">
        <v>2</v>
      </c>
      <c r="Z99">
        <v>1</v>
      </c>
      <c r="AA99">
        <v>1</v>
      </c>
      <c r="AB99">
        <v>1</v>
      </c>
      <c r="AC99">
        <v>4</v>
      </c>
      <c r="AD99">
        <v>5</v>
      </c>
      <c r="AE99">
        <v>5</v>
      </c>
      <c r="AF99">
        <v>5</v>
      </c>
      <c r="AG99" t="s">
        <v>30</v>
      </c>
      <c r="AH99" s="6">
        <f t="shared" si="5"/>
        <v>0.17344876290667999</v>
      </c>
      <c r="AI99" s="3">
        <f t="shared" si="6"/>
        <v>11</v>
      </c>
      <c r="AJ99" s="3" t="str">
        <f t="shared" si="7"/>
        <v>passed</v>
      </c>
      <c r="AK99" s="3">
        <f t="shared" si="8"/>
        <v>1</v>
      </c>
      <c r="AL99" s="3">
        <v>5.0471755297189986</v>
      </c>
      <c r="AM99" s="3">
        <v>0.88924092012429601</v>
      </c>
      <c r="AN99" s="3">
        <v>-5.4807720343448416</v>
      </c>
    </row>
    <row r="100" spans="1:40" x14ac:dyDescent="0.2">
      <c r="A100">
        <v>30648</v>
      </c>
      <c r="B100" s="1">
        <v>43413.472060185188</v>
      </c>
      <c r="C100" t="s">
        <v>3</v>
      </c>
      <c r="D100">
        <v>23</v>
      </c>
      <c r="E100">
        <v>0.32119732993611</v>
      </c>
      <c r="F100">
        <v>0.24827872472443999</v>
      </c>
      <c r="G100">
        <v>0.19142539873921</v>
      </c>
      <c r="H100">
        <v>1</v>
      </c>
      <c r="I100">
        <v>1</v>
      </c>
      <c r="J100">
        <v>1</v>
      </c>
      <c r="K100">
        <v>1</v>
      </c>
      <c r="L100">
        <v>1</v>
      </c>
      <c r="M100">
        <v>1</v>
      </c>
      <c r="N100">
        <v>1</v>
      </c>
      <c r="O100">
        <v>0</v>
      </c>
      <c r="P100">
        <v>0</v>
      </c>
      <c r="Q100">
        <v>2</v>
      </c>
      <c r="R100">
        <v>0</v>
      </c>
      <c r="S100">
        <v>0</v>
      </c>
      <c r="T100">
        <v>0</v>
      </c>
      <c r="U100">
        <v>1</v>
      </c>
      <c r="V100">
        <v>0</v>
      </c>
      <c r="W100">
        <v>0</v>
      </c>
      <c r="X100">
        <v>0</v>
      </c>
      <c r="Y100">
        <v>1</v>
      </c>
      <c r="Z100">
        <v>2</v>
      </c>
      <c r="AA100">
        <v>1</v>
      </c>
      <c r="AB100">
        <v>1</v>
      </c>
      <c r="AC100">
        <v>4</v>
      </c>
      <c r="AD100">
        <v>5</v>
      </c>
      <c r="AE100">
        <v>5</v>
      </c>
      <c r="AF100">
        <v>5</v>
      </c>
      <c r="AG100" t="s">
        <v>62</v>
      </c>
      <c r="AH100" s="6">
        <f t="shared" si="5"/>
        <v>0.32119732993611</v>
      </c>
      <c r="AI100" s="3">
        <f t="shared" si="6"/>
        <v>11</v>
      </c>
      <c r="AJ100" s="3" t="str">
        <f t="shared" si="7"/>
        <v>passed</v>
      </c>
      <c r="AK100" s="3">
        <f t="shared" si="8"/>
        <v>1</v>
      </c>
      <c r="AL100" s="3">
        <v>4.2212031301441444</v>
      </c>
      <c r="AM100" s="3">
        <v>0.65116076592456473</v>
      </c>
      <c r="AN100" s="3">
        <v>-5.989313245355814</v>
      </c>
    </row>
    <row r="101" spans="1:40" x14ac:dyDescent="0.2">
      <c r="A101">
        <v>30686</v>
      </c>
      <c r="B101" s="1">
        <v>43413.600335648145</v>
      </c>
      <c r="C101" t="s">
        <v>3</v>
      </c>
      <c r="D101">
        <v>50</v>
      </c>
      <c r="E101">
        <v>0.18279419542132</v>
      </c>
      <c r="F101">
        <v>0.26228097852497001</v>
      </c>
      <c r="G101">
        <v>0.21226445382225001</v>
      </c>
      <c r="H101">
        <v>1</v>
      </c>
      <c r="I101">
        <v>1</v>
      </c>
      <c r="J101">
        <v>1</v>
      </c>
      <c r="K101">
        <v>1</v>
      </c>
      <c r="L101">
        <v>0</v>
      </c>
      <c r="M101">
        <v>1</v>
      </c>
      <c r="N101">
        <v>0</v>
      </c>
      <c r="O101">
        <v>0</v>
      </c>
      <c r="P101">
        <v>0</v>
      </c>
      <c r="Q101">
        <v>2</v>
      </c>
      <c r="R101">
        <v>0</v>
      </c>
      <c r="S101">
        <v>0</v>
      </c>
      <c r="T101">
        <v>1</v>
      </c>
      <c r="U101">
        <v>1</v>
      </c>
      <c r="V101">
        <v>0</v>
      </c>
      <c r="W101">
        <v>1</v>
      </c>
      <c r="X101">
        <v>0</v>
      </c>
      <c r="Y101">
        <v>2</v>
      </c>
      <c r="Z101">
        <v>1</v>
      </c>
      <c r="AA101">
        <v>1</v>
      </c>
      <c r="AB101">
        <v>1</v>
      </c>
      <c r="AC101">
        <v>4</v>
      </c>
      <c r="AD101">
        <v>5</v>
      </c>
      <c r="AE101">
        <v>5</v>
      </c>
      <c r="AF101">
        <v>5</v>
      </c>
      <c r="AG101" t="s">
        <v>70</v>
      </c>
      <c r="AH101" s="6">
        <f t="shared" si="5"/>
        <v>0.18279419542132</v>
      </c>
      <c r="AI101" s="3">
        <f t="shared" si="6"/>
        <v>11</v>
      </c>
      <c r="AJ101" s="3" t="str">
        <f t="shared" si="7"/>
        <v>passed</v>
      </c>
      <c r="AK101" s="3">
        <f t="shared" si="8"/>
        <v>1</v>
      </c>
      <c r="AL101" s="3">
        <v>4.2146701004843488</v>
      </c>
      <c r="AM101" s="3">
        <v>0.90335963925895701</v>
      </c>
      <c r="AN101" s="3">
        <v>-4.4632012875519322</v>
      </c>
    </row>
    <row r="102" spans="1:40" x14ac:dyDescent="0.2">
      <c r="A102">
        <v>31406</v>
      </c>
      <c r="B102" s="1">
        <v>43424.978483796294</v>
      </c>
      <c r="C102" t="s">
        <v>3</v>
      </c>
      <c r="D102">
        <v>46</v>
      </c>
      <c r="E102">
        <v>0.10316756997720999</v>
      </c>
      <c r="F102">
        <v>0.26961219604612002</v>
      </c>
      <c r="G102">
        <v>0.20762009763157999</v>
      </c>
      <c r="H102">
        <v>1</v>
      </c>
      <c r="I102">
        <v>1</v>
      </c>
      <c r="J102">
        <v>1</v>
      </c>
      <c r="K102">
        <v>1</v>
      </c>
      <c r="L102">
        <v>1</v>
      </c>
      <c r="M102">
        <v>1</v>
      </c>
      <c r="N102">
        <v>1</v>
      </c>
      <c r="O102">
        <v>1</v>
      </c>
      <c r="P102">
        <v>1</v>
      </c>
      <c r="Q102">
        <v>2</v>
      </c>
      <c r="R102">
        <v>0</v>
      </c>
      <c r="S102">
        <v>1</v>
      </c>
      <c r="T102">
        <v>0</v>
      </c>
      <c r="U102">
        <v>1</v>
      </c>
      <c r="V102">
        <v>1</v>
      </c>
      <c r="W102">
        <v>0</v>
      </c>
      <c r="X102">
        <v>0</v>
      </c>
      <c r="Y102">
        <v>1</v>
      </c>
      <c r="Z102">
        <v>2</v>
      </c>
      <c r="AA102">
        <v>1</v>
      </c>
      <c r="AB102">
        <v>1</v>
      </c>
      <c r="AC102">
        <v>5</v>
      </c>
      <c r="AD102">
        <v>5</v>
      </c>
      <c r="AE102">
        <v>5</v>
      </c>
      <c r="AF102">
        <v>4</v>
      </c>
      <c r="AH102" s="6">
        <f t="shared" si="5"/>
        <v>0.10316756997720999</v>
      </c>
      <c r="AI102" s="3">
        <f t="shared" si="6"/>
        <v>11</v>
      </c>
      <c r="AJ102" s="3" t="str">
        <f t="shared" si="7"/>
        <v>passed</v>
      </c>
      <c r="AK102" s="3">
        <f t="shared" si="8"/>
        <v>1</v>
      </c>
      <c r="AL102" s="3">
        <v>4.9134573255460916</v>
      </c>
      <c r="AM102" s="3">
        <v>0.7536744134265142</v>
      </c>
      <c r="AN102" s="3">
        <v>-6.3824506575715141</v>
      </c>
    </row>
    <row r="103" spans="1:40" x14ac:dyDescent="0.2">
      <c r="A103">
        <v>33160</v>
      </c>
      <c r="B103" s="1">
        <v>43477.564525462964</v>
      </c>
      <c r="C103" t="s">
        <v>3</v>
      </c>
      <c r="D103">
        <v>20</v>
      </c>
      <c r="E103">
        <v>0.31806129667939997</v>
      </c>
      <c r="F103">
        <v>0.11533026697396</v>
      </c>
      <c r="G103">
        <v>0.24735973916160001</v>
      </c>
      <c r="H103">
        <v>1</v>
      </c>
      <c r="I103">
        <v>1</v>
      </c>
      <c r="J103">
        <v>1</v>
      </c>
      <c r="K103">
        <v>1</v>
      </c>
      <c r="L103">
        <v>0</v>
      </c>
      <c r="M103">
        <v>0</v>
      </c>
      <c r="N103">
        <v>0</v>
      </c>
      <c r="O103">
        <v>0</v>
      </c>
      <c r="P103">
        <v>0</v>
      </c>
      <c r="Q103">
        <v>1</v>
      </c>
      <c r="R103">
        <v>1</v>
      </c>
      <c r="S103">
        <v>0</v>
      </c>
      <c r="T103">
        <v>0</v>
      </c>
      <c r="U103">
        <v>1</v>
      </c>
      <c r="V103">
        <v>1</v>
      </c>
      <c r="W103">
        <v>1</v>
      </c>
      <c r="X103">
        <v>0</v>
      </c>
      <c r="Y103">
        <v>2</v>
      </c>
      <c r="Z103">
        <v>1</v>
      </c>
      <c r="AA103">
        <v>1</v>
      </c>
      <c r="AB103">
        <v>1</v>
      </c>
      <c r="AC103">
        <v>4</v>
      </c>
      <c r="AD103">
        <v>5</v>
      </c>
      <c r="AE103">
        <v>5</v>
      </c>
      <c r="AF103">
        <v>5</v>
      </c>
      <c r="AG103" t="s">
        <v>84</v>
      </c>
      <c r="AH103" s="6">
        <f t="shared" si="5"/>
        <v>0.31806129667939997</v>
      </c>
      <c r="AI103" s="3">
        <f t="shared" si="6"/>
        <v>11</v>
      </c>
      <c r="AJ103" s="3" t="str">
        <f t="shared" si="7"/>
        <v>passed</v>
      </c>
      <c r="AK103" s="3">
        <f t="shared" si="8"/>
        <v>1</v>
      </c>
      <c r="AL103" s="3">
        <v>2.447705272655929</v>
      </c>
      <c r="AM103" s="3">
        <v>0.3903191618178089</v>
      </c>
      <c r="AN103" s="3">
        <v>-5.4561604561207586</v>
      </c>
    </row>
    <row r="104" spans="1:40" x14ac:dyDescent="0.2">
      <c r="A104">
        <v>38791</v>
      </c>
      <c r="B104" s="1">
        <v>43587.697569444441</v>
      </c>
      <c r="C104" t="s">
        <v>3</v>
      </c>
      <c r="D104">
        <v>17</v>
      </c>
      <c r="E104">
        <v>9.9039733427578006E-2</v>
      </c>
      <c r="F104">
        <v>0.15506707636407999</v>
      </c>
      <c r="G104">
        <v>2.3079324055035998E-2</v>
      </c>
      <c r="H104">
        <v>1</v>
      </c>
      <c r="I104">
        <v>1</v>
      </c>
      <c r="J104">
        <v>1</v>
      </c>
      <c r="K104">
        <v>1</v>
      </c>
      <c r="L104">
        <v>1</v>
      </c>
      <c r="M104">
        <v>1</v>
      </c>
      <c r="N104">
        <v>1</v>
      </c>
      <c r="O104">
        <v>1</v>
      </c>
      <c r="P104">
        <v>1</v>
      </c>
      <c r="Q104">
        <v>1</v>
      </c>
      <c r="R104">
        <v>1</v>
      </c>
      <c r="S104">
        <v>1</v>
      </c>
      <c r="T104">
        <v>1</v>
      </c>
      <c r="U104">
        <v>1</v>
      </c>
      <c r="V104">
        <v>1</v>
      </c>
      <c r="W104">
        <v>1</v>
      </c>
      <c r="X104">
        <v>0</v>
      </c>
      <c r="Y104">
        <v>1</v>
      </c>
      <c r="Z104">
        <v>1</v>
      </c>
      <c r="AA104">
        <v>1</v>
      </c>
      <c r="AB104">
        <v>1</v>
      </c>
      <c r="AC104">
        <v>5</v>
      </c>
      <c r="AD104">
        <v>5</v>
      </c>
      <c r="AE104">
        <v>5</v>
      </c>
      <c r="AF104">
        <v>3</v>
      </c>
      <c r="AG104" t="s">
        <v>88</v>
      </c>
      <c r="AH104" s="6">
        <f t="shared" si="5"/>
        <v>9.9039733427578006E-2</v>
      </c>
      <c r="AI104" s="3">
        <f t="shared" si="6"/>
        <v>11</v>
      </c>
      <c r="AJ104" s="3" t="str">
        <f t="shared" si="7"/>
        <v>passed</v>
      </c>
      <c r="AK104" s="3">
        <f t="shared" si="8"/>
        <v>1</v>
      </c>
      <c r="AL104" s="3">
        <v>6.4880191851365676E-2</v>
      </c>
      <c r="AM104" s="3">
        <v>3.4928640328980298E-2</v>
      </c>
      <c r="AN104" s="3">
        <v>0.97798085623929232</v>
      </c>
    </row>
    <row r="105" spans="1:40" x14ac:dyDescent="0.2">
      <c r="A105">
        <v>39216</v>
      </c>
      <c r="B105" s="1">
        <v>43598.751840277779</v>
      </c>
      <c r="C105" t="s">
        <v>3</v>
      </c>
      <c r="D105">
        <v>40</v>
      </c>
      <c r="E105">
        <v>7.5609061358539002E-3</v>
      </c>
      <c r="F105">
        <v>0.24165887037195</v>
      </c>
      <c r="G105">
        <v>0.17579653550581001</v>
      </c>
      <c r="H105">
        <v>1</v>
      </c>
      <c r="I105">
        <v>1</v>
      </c>
      <c r="J105">
        <v>1</v>
      </c>
      <c r="K105">
        <v>1</v>
      </c>
      <c r="L105">
        <v>0</v>
      </c>
      <c r="M105">
        <v>0</v>
      </c>
      <c r="N105">
        <v>0</v>
      </c>
      <c r="O105">
        <v>0</v>
      </c>
      <c r="P105">
        <v>0</v>
      </c>
      <c r="Q105">
        <v>2</v>
      </c>
      <c r="R105">
        <v>0</v>
      </c>
      <c r="S105">
        <v>0</v>
      </c>
      <c r="T105">
        <v>0</v>
      </c>
      <c r="U105">
        <v>1</v>
      </c>
      <c r="V105">
        <v>1</v>
      </c>
      <c r="W105">
        <v>0</v>
      </c>
      <c r="X105">
        <v>0</v>
      </c>
      <c r="Y105">
        <v>1</v>
      </c>
      <c r="Z105">
        <v>2</v>
      </c>
      <c r="AA105">
        <v>2</v>
      </c>
      <c r="AB105">
        <v>1</v>
      </c>
      <c r="AC105">
        <v>5</v>
      </c>
      <c r="AD105">
        <v>5</v>
      </c>
      <c r="AE105">
        <v>5</v>
      </c>
      <c r="AF105">
        <v>5</v>
      </c>
      <c r="AH105" s="6">
        <f t="shared" si="5"/>
        <v>7.5609061358539002E-3</v>
      </c>
      <c r="AI105" s="3">
        <f t="shared" si="6"/>
        <v>11</v>
      </c>
      <c r="AJ105" s="3" t="str">
        <f t="shared" si="7"/>
        <v>passed</v>
      </c>
      <c r="AK105" s="3">
        <f t="shared" si="8"/>
        <v>1</v>
      </c>
      <c r="AL105" s="3">
        <v>3.1905591072075938</v>
      </c>
      <c r="AM105" s="3">
        <v>0.68258637358778418</v>
      </c>
      <c r="AN105" s="3">
        <v>-4.6631434851847224</v>
      </c>
    </row>
    <row r="106" spans="1:40" x14ac:dyDescent="0.2">
      <c r="A106">
        <v>45728</v>
      </c>
      <c r="B106" s="1">
        <v>43795.798773148148</v>
      </c>
      <c r="C106" t="s">
        <v>3</v>
      </c>
      <c r="D106">
        <v>27</v>
      </c>
      <c r="E106">
        <v>0.17910277096353999</v>
      </c>
      <c r="F106">
        <v>0.31290800679938002</v>
      </c>
      <c r="G106">
        <v>0.32401026906482</v>
      </c>
      <c r="H106">
        <v>1</v>
      </c>
      <c r="I106">
        <v>1</v>
      </c>
      <c r="J106">
        <v>1</v>
      </c>
      <c r="K106">
        <v>1</v>
      </c>
      <c r="L106">
        <v>1</v>
      </c>
      <c r="M106">
        <v>1</v>
      </c>
      <c r="N106">
        <v>0</v>
      </c>
      <c r="O106">
        <v>0</v>
      </c>
      <c r="P106">
        <v>0</v>
      </c>
      <c r="Q106">
        <v>2</v>
      </c>
      <c r="R106">
        <v>0</v>
      </c>
      <c r="S106">
        <v>0</v>
      </c>
      <c r="T106">
        <v>0</v>
      </c>
      <c r="U106">
        <v>0</v>
      </c>
      <c r="V106">
        <v>0</v>
      </c>
      <c r="W106">
        <v>1</v>
      </c>
      <c r="X106">
        <v>0</v>
      </c>
      <c r="Y106">
        <v>2</v>
      </c>
      <c r="Z106">
        <v>1</v>
      </c>
      <c r="AA106">
        <v>1</v>
      </c>
      <c r="AB106">
        <v>1</v>
      </c>
      <c r="AC106">
        <v>4</v>
      </c>
      <c r="AD106">
        <v>5</v>
      </c>
      <c r="AE106">
        <v>5</v>
      </c>
      <c r="AF106">
        <v>5</v>
      </c>
      <c r="AH106" s="6">
        <f t="shared" si="5"/>
        <v>0.17910277096353999</v>
      </c>
      <c r="AI106" s="3">
        <f t="shared" si="6"/>
        <v>11</v>
      </c>
      <c r="AJ106" s="3" t="str">
        <f t="shared" si="7"/>
        <v>passed</v>
      </c>
      <c r="AK106" s="3">
        <f t="shared" si="8"/>
        <v>1</v>
      </c>
      <c r="AL106" s="3">
        <v>7.7731231152309279</v>
      </c>
      <c r="AM106" s="3">
        <v>1.6398695228447531</v>
      </c>
      <c r="AN106" s="3">
        <v>-4.630868638313193</v>
      </c>
    </row>
    <row r="107" spans="1:40" x14ac:dyDescent="0.2">
      <c r="A107">
        <v>45731</v>
      </c>
      <c r="B107" s="1">
        <v>43795.805300925924</v>
      </c>
      <c r="C107" t="s">
        <v>3</v>
      </c>
      <c r="D107">
        <v>23</v>
      </c>
      <c r="E107">
        <v>0.19822806446826</v>
      </c>
      <c r="F107">
        <v>0.18495931953993</v>
      </c>
      <c r="G107">
        <v>0.18821813307901999</v>
      </c>
      <c r="H107">
        <v>1</v>
      </c>
      <c r="I107">
        <v>1</v>
      </c>
      <c r="J107">
        <v>1</v>
      </c>
      <c r="K107">
        <v>1</v>
      </c>
      <c r="L107">
        <v>1</v>
      </c>
      <c r="M107">
        <v>0</v>
      </c>
      <c r="N107">
        <v>0</v>
      </c>
      <c r="O107">
        <v>0</v>
      </c>
      <c r="P107">
        <v>0</v>
      </c>
      <c r="Q107">
        <v>1</v>
      </c>
      <c r="R107">
        <v>0</v>
      </c>
      <c r="S107">
        <v>1</v>
      </c>
      <c r="T107">
        <v>1</v>
      </c>
      <c r="U107">
        <v>0</v>
      </c>
      <c r="V107">
        <v>0</v>
      </c>
      <c r="W107">
        <v>1</v>
      </c>
      <c r="X107">
        <v>0</v>
      </c>
      <c r="Y107">
        <v>1</v>
      </c>
      <c r="Z107">
        <v>1</v>
      </c>
      <c r="AA107">
        <v>1</v>
      </c>
      <c r="AB107">
        <v>2</v>
      </c>
      <c r="AC107">
        <v>4</v>
      </c>
      <c r="AD107">
        <v>5</v>
      </c>
      <c r="AE107">
        <v>5</v>
      </c>
      <c r="AF107">
        <v>5</v>
      </c>
      <c r="AH107" s="6">
        <f t="shared" si="5"/>
        <v>0.19822806446826</v>
      </c>
      <c r="AI107" s="3">
        <f t="shared" si="6"/>
        <v>11</v>
      </c>
      <c r="AJ107" s="3" t="str">
        <f t="shared" si="7"/>
        <v>passed</v>
      </c>
      <c r="AK107" s="3">
        <f t="shared" si="8"/>
        <v>1</v>
      </c>
      <c r="AL107" s="3">
        <v>1.9142051776215909</v>
      </c>
      <c r="AM107" s="3">
        <v>0.3060736603889716</v>
      </c>
      <c r="AN107" s="3">
        <v>-5.6064187652494883</v>
      </c>
    </row>
    <row r="108" spans="1:40" x14ac:dyDescent="0.2">
      <c r="A108">
        <v>45775</v>
      </c>
      <c r="B108" s="1">
        <v>43796.669166666667</v>
      </c>
      <c r="C108" t="s">
        <v>14</v>
      </c>
      <c r="D108">
        <v>23</v>
      </c>
      <c r="E108">
        <v>5.3216282814630998E-2</v>
      </c>
      <c r="F108">
        <v>0.20971800531821999</v>
      </c>
      <c r="G108">
        <v>0.19241988834070001</v>
      </c>
      <c r="H108">
        <v>1</v>
      </c>
      <c r="I108">
        <v>1</v>
      </c>
      <c r="J108">
        <v>1</v>
      </c>
      <c r="K108">
        <v>1</v>
      </c>
      <c r="L108">
        <v>1</v>
      </c>
      <c r="M108">
        <v>1</v>
      </c>
      <c r="N108">
        <v>1</v>
      </c>
      <c r="O108">
        <v>0</v>
      </c>
      <c r="P108">
        <v>0</v>
      </c>
      <c r="Q108">
        <v>3</v>
      </c>
      <c r="R108">
        <v>0</v>
      </c>
      <c r="S108">
        <v>1</v>
      </c>
      <c r="T108">
        <v>1</v>
      </c>
      <c r="U108">
        <v>0</v>
      </c>
      <c r="V108">
        <v>1</v>
      </c>
      <c r="W108">
        <v>1</v>
      </c>
      <c r="X108">
        <v>0</v>
      </c>
      <c r="Y108">
        <v>1</v>
      </c>
      <c r="Z108">
        <v>2</v>
      </c>
      <c r="AA108">
        <v>1</v>
      </c>
      <c r="AB108">
        <v>1</v>
      </c>
      <c r="AC108">
        <v>4</v>
      </c>
      <c r="AD108">
        <v>5</v>
      </c>
      <c r="AE108">
        <v>5</v>
      </c>
      <c r="AF108">
        <v>5</v>
      </c>
      <c r="AG108" t="s">
        <v>102</v>
      </c>
      <c r="AH108" s="6">
        <f t="shared" si="5"/>
        <v>5.3216282814630998E-2</v>
      </c>
      <c r="AI108" s="3">
        <f t="shared" si="6"/>
        <v>11</v>
      </c>
      <c r="AJ108" s="3" t="str">
        <f t="shared" si="7"/>
        <v>passed</v>
      </c>
      <c r="AK108" s="3">
        <f t="shared" si="8"/>
        <v>1</v>
      </c>
      <c r="AL108" s="3">
        <v>3.247178932961353</v>
      </c>
      <c r="AM108" s="3">
        <v>0.59816304535032694</v>
      </c>
      <c r="AN108" s="3">
        <v>-5.3396188129209987</v>
      </c>
    </row>
    <row r="109" spans="1:40" x14ac:dyDescent="0.2">
      <c r="A109">
        <v>46583</v>
      </c>
      <c r="B109" s="1">
        <v>43809.701689814814</v>
      </c>
      <c r="C109" t="s">
        <v>3</v>
      </c>
      <c r="D109">
        <v>62</v>
      </c>
      <c r="E109">
        <v>0.12069824974535</v>
      </c>
      <c r="F109">
        <v>0.28320008790069001</v>
      </c>
      <c r="G109">
        <v>0.13342145356405999</v>
      </c>
      <c r="H109">
        <v>1</v>
      </c>
      <c r="I109">
        <v>1</v>
      </c>
      <c r="J109">
        <v>1</v>
      </c>
      <c r="K109">
        <v>1</v>
      </c>
      <c r="L109">
        <v>1</v>
      </c>
      <c r="M109">
        <v>1</v>
      </c>
      <c r="N109">
        <v>1</v>
      </c>
      <c r="O109">
        <v>1</v>
      </c>
      <c r="P109">
        <v>1</v>
      </c>
      <c r="Q109">
        <v>2</v>
      </c>
      <c r="R109">
        <v>0</v>
      </c>
      <c r="S109">
        <v>0</v>
      </c>
      <c r="T109">
        <v>0</v>
      </c>
      <c r="U109">
        <v>1</v>
      </c>
      <c r="V109">
        <v>1</v>
      </c>
      <c r="W109">
        <v>0</v>
      </c>
      <c r="X109">
        <v>0</v>
      </c>
      <c r="Y109">
        <v>1</v>
      </c>
      <c r="Z109">
        <v>1</v>
      </c>
      <c r="AA109">
        <v>1</v>
      </c>
      <c r="AB109">
        <v>1</v>
      </c>
      <c r="AC109">
        <v>4</v>
      </c>
      <c r="AD109">
        <v>5</v>
      </c>
      <c r="AE109">
        <v>5</v>
      </c>
      <c r="AF109">
        <v>4</v>
      </c>
      <c r="AG109" t="s">
        <v>107</v>
      </c>
      <c r="AH109" s="6">
        <f t="shared" si="5"/>
        <v>0.12069824974535</v>
      </c>
      <c r="AI109" s="3">
        <f t="shared" si="6"/>
        <v>11</v>
      </c>
      <c r="AJ109" s="3" t="str">
        <f t="shared" si="7"/>
        <v>passed</v>
      </c>
      <c r="AK109" s="3">
        <f t="shared" si="8"/>
        <v>1</v>
      </c>
      <c r="AL109" s="3">
        <v>2.4927621570445608</v>
      </c>
      <c r="AM109" s="3">
        <v>0.63105361364115553</v>
      </c>
      <c r="AN109" s="3">
        <v>-3.758894420416186</v>
      </c>
    </row>
    <row r="110" spans="1:40" x14ac:dyDescent="0.2">
      <c r="A110">
        <v>53751</v>
      </c>
      <c r="B110" s="1">
        <v>43929.191724537035</v>
      </c>
      <c r="C110" t="s">
        <v>3</v>
      </c>
      <c r="D110">
        <v>30</v>
      </c>
      <c r="E110">
        <v>5.8862018478315001E-2</v>
      </c>
      <c r="F110">
        <v>0.33871255203402001</v>
      </c>
      <c r="G110">
        <v>0.21569389838128999</v>
      </c>
      <c r="H110">
        <v>1</v>
      </c>
      <c r="I110">
        <v>1</v>
      </c>
      <c r="J110">
        <v>1</v>
      </c>
      <c r="K110">
        <v>1</v>
      </c>
      <c r="L110">
        <v>1</v>
      </c>
      <c r="M110">
        <v>1</v>
      </c>
      <c r="N110">
        <v>1</v>
      </c>
      <c r="O110">
        <v>1</v>
      </c>
      <c r="P110">
        <v>1</v>
      </c>
      <c r="Q110">
        <v>2</v>
      </c>
      <c r="R110">
        <v>0</v>
      </c>
      <c r="S110">
        <v>0</v>
      </c>
      <c r="T110">
        <v>1</v>
      </c>
      <c r="U110">
        <v>0</v>
      </c>
      <c r="V110">
        <v>0</v>
      </c>
      <c r="W110">
        <v>0</v>
      </c>
      <c r="X110">
        <v>1</v>
      </c>
      <c r="Y110">
        <v>1</v>
      </c>
      <c r="Z110">
        <v>1</v>
      </c>
      <c r="AA110">
        <v>1</v>
      </c>
      <c r="AB110">
        <v>1</v>
      </c>
      <c r="AC110">
        <v>4</v>
      </c>
      <c r="AD110">
        <v>5</v>
      </c>
      <c r="AE110">
        <v>5</v>
      </c>
      <c r="AF110">
        <v>4</v>
      </c>
      <c r="AG110" t="s">
        <v>132</v>
      </c>
      <c r="AH110" s="6">
        <f t="shared" si="5"/>
        <v>5.8862018478315001E-2</v>
      </c>
      <c r="AI110" s="3">
        <f t="shared" si="6"/>
        <v>11</v>
      </c>
      <c r="AJ110" s="3" t="str">
        <f t="shared" si="7"/>
        <v>passed</v>
      </c>
      <c r="AK110" s="3">
        <f t="shared" si="8"/>
        <v>1</v>
      </c>
      <c r="AL110" s="3">
        <v>5.1284964951784726</v>
      </c>
      <c r="AM110" s="3">
        <v>0.93454516551536748</v>
      </c>
      <c r="AN110" s="3">
        <v>-5.4247078298291109</v>
      </c>
    </row>
    <row r="111" spans="1:40" x14ac:dyDescent="0.2">
      <c r="A111">
        <v>53759</v>
      </c>
      <c r="B111" s="1">
        <v>43929.507974537039</v>
      </c>
      <c r="C111" t="s">
        <v>3</v>
      </c>
      <c r="D111">
        <v>40</v>
      </c>
      <c r="E111">
        <v>3.4930665344230998E-2</v>
      </c>
      <c r="F111">
        <v>0.24999908781748001</v>
      </c>
      <c r="G111">
        <v>0.19289325672739999</v>
      </c>
      <c r="H111">
        <v>1</v>
      </c>
      <c r="I111">
        <v>1</v>
      </c>
      <c r="J111">
        <v>1</v>
      </c>
      <c r="K111">
        <v>1</v>
      </c>
      <c r="L111">
        <v>1</v>
      </c>
      <c r="M111">
        <v>1</v>
      </c>
      <c r="N111">
        <v>0</v>
      </c>
      <c r="O111">
        <v>0</v>
      </c>
      <c r="P111">
        <v>1</v>
      </c>
      <c r="Q111">
        <v>2</v>
      </c>
      <c r="R111">
        <v>0</v>
      </c>
      <c r="S111">
        <v>0</v>
      </c>
      <c r="T111">
        <v>1</v>
      </c>
      <c r="U111">
        <v>1</v>
      </c>
      <c r="V111">
        <v>0</v>
      </c>
      <c r="W111">
        <v>0</v>
      </c>
      <c r="X111">
        <v>0</v>
      </c>
      <c r="Y111">
        <v>1</v>
      </c>
      <c r="Z111">
        <v>1</v>
      </c>
      <c r="AA111">
        <v>1</v>
      </c>
      <c r="AB111">
        <v>1</v>
      </c>
      <c r="AC111">
        <v>4</v>
      </c>
      <c r="AD111">
        <v>4</v>
      </c>
      <c r="AE111">
        <v>5</v>
      </c>
      <c r="AF111">
        <v>5</v>
      </c>
      <c r="AG111" t="s">
        <v>133</v>
      </c>
      <c r="AH111" s="6">
        <f t="shared" si="5"/>
        <v>3.4930665344230998E-2</v>
      </c>
      <c r="AI111" s="3">
        <f t="shared" si="6"/>
        <v>11</v>
      </c>
      <c r="AJ111" s="3" t="str">
        <f t="shared" si="7"/>
        <v>passed</v>
      </c>
      <c r="AK111" s="3">
        <f t="shared" si="8"/>
        <v>1</v>
      </c>
      <c r="AL111" s="3">
        <v>3.7625635785183751</v>
      </c>
      <c r="AM111" s="3">
        <v>0.66177811241627316</v>
      </c>
      <c r="AN111" s="3">
        <v>-5.6327534006283067</v>
      </c>
    </row>
    <row r="112" spans="1:40" x14ac:dyDescent="0.2">
      <c r="A112">
        <v>55774</v>
      </c>
      <c r="B112" s="1">
        <v>43999.742106481484</v>
      </c>
      <c r="C112" t="s">
        <v>3</v>
      </c>
      <c r="D112">
        <v>46</v>
      </c>
      <c r="E112">
        <v>0.47366668417371999</v>
      </c>
      <c r="F112">
        <v>0.14769203832503</v>
      </c>
      <c r="G112">
        <v>0.2208965434049</v>
      </c>
      <c r="H112">
        <v>1</v>
      </c>
      <c r="I112">
        <v>1</v>
      </c>
      <c r="J112">
        <v>1</v>
      </c>
      <c r="K112">
        <v>1</v>
      </c>
      <c r="L112">
        <v>0</v>
      </c>
      <c r="M112">
        <v>0</v>
      </c>
      <c r="N112">
        <v>0</v>
      </c>
      <c r="O112">
        <v>0</v>
      </c>
      <c r="P112">
        <v>0</v>
      </c>
      <c r="Q112">
        <v>3</v>
      </c>
      <c r="R112">
        <v>0</v>
      </c>
      <c r="S112">
        <v>0</v>
      </c>
      <c r="T112">
        <v>1</v>
      </c>
      <c r="U112">
        <v>0</v>
      </c>
      <c r="V112">
        <v>0</v>
      </c>
      <c r="W112">
        <v>0</v>
      </c>
      <c r="X112">
        <v>0</v>
      </c>
      <c r="Y112">
        <v>2</v>
      </c>
      <c r="Z112">
        <v>1</v>
      </c>
      <c r="AA112">
        <v>1</v>
      </c>
      <c r="AB112">
        <v>1</v>
      </c>
      <c r="AC112">
        <v>4</v>
      </c>
      <c r="AD112">
        <v>5</v>
      </c>
      <c r="AE112">
        <v>5</v>
      </c>
      <c r="AF112">
        <v>5</v>
      </c>
      <c r="AG112" t="s">
        <v>137</v>
      </c>
      <c r="AH112" s="6">
        <f t="shared" si="5"/>
        <v>0.47366668417371999</v>
      </c>
      <c r="AI112" s="3">
        <f t="shared" si="6"/>
        <v>11</v>
      </c>
      <c r="AJ112" s="3" t="str">
        <f t="shared" si="7"/>
        <v>passed</v>
      </c>
      <c r="AK112" s="3">
        <f t="shared" si="8"/>
        <v>1</v>
      </c>
      <c r="AL112" s="3">
        <v>3.1030074005349459</v>
      </c>
      <c r="AM112" s="3">
        <v>0.45947473320373988</v>
      </c>
      <c r="AN112" s="3">
        <v>-5.7224925036200496</v>
      </c>
    </row>
    <row r="113" spans="1:40" x14ac:dyDescent="0.2">
      <c r="A113">
        <v>59831</v>
      </c>
      <c r="B113" s="1">
        <v>44222.651643518519</v>
      </c>
      <c r="C113" t="s">
        <v>3</v>
      </c>
      <c r="D113">
        <v>32</v>
      </c>
      <c r="E113">
        <v>3.2693560054288001E-2</v>
      </c>
      <c r="F113">
        <v>0.14140276444839001</v>
      </c>
      <c r="G113">
        <v>0.17635289791444</v>
      </c>
      <c r="H113">
        <v>1</v>
      </c>
      <c r="I113">
        <v>1</v>
      </c>
      <c r="J113">
        <v>1</v>
      </c>
      <c r="K113">
        <v>1</v>
      </c>
      <c r="L113">
        <v>1</v>
      </c>
      <c r="M113">
        <v>1</v>
      </c>
      <c r="N113">
        <v>1</v>
      </c>
      <c r="O113">
        <v>1</v>
      </c>
      <c r="P113">
        <v>1</v>
      </c>
      <c r="Q113">
        <v>2</v>
      </c>
      <c r="R113">
        <v>0</v>
      </c>
      <c r="S113">
        <v>0</v>
      </c>
      <c r="T113">
        <v>1</v>
      </c>
      <c r="U113">
        <v>1</v>
      </c>
      <c r="V113">
        <v>1</v>
      </c>
      <c r="W113">
        <v>1</v>
      </c>
      <c r="X113">
        <v>0</v>
      </c>
      <c r="Y113">
        <v>1</v>
      </c>
      <c r="Z113">
        <v>1</v>
      </c>
      <c r="AA113">
        <v>1</v>
      </c>
      <c r="AB113">
        <v>1</v>
      </c>
      <c r="AC113">
        <v>3</v>
      </c>
      <c r="AD113">
        <v>5</v>
      </c>
      <c r="AE113">
        <v>5</v>
      </c>
      <c r="AF113">
        <v>5</v>
      </c>
      <c r="AG113" t="s">
        <v>153</v>
      </c>
      <c r="AH113" s="6">
        <f t="shared" si="5"/>
        <v>3.2693560054288001E-2</v>
      </c>
      <c r="AI113" s="3">
        <f t="shared" si="6"/>
        <v>11</v>
      </c>
      <c r="AJ113" s="3" t="str">
        <f t="shared" si="7"/>
        <v>passed</v>
      </c>
      <c r="AK113" s="3">
        <f t="shared" si="8"/>
        <v>1</v>
      </c>
      <c r="AL113" s="3">
        <v>2.2565382782525591</v>
      </c>
      <c r="AM113" s="3">
        <v>0.36347516610257169</v>
      </c>
      <c r="AN113" s="3">
        <v>-6.1182851693661764</v>
      </c>
    </row>
    <row r="114" spans="1:40" x14ac:dyDescent="0.2">
      <c r="A114">
        <v>62848</v>
      </c>
      <c r="B114" s="1">
        <v>44359.042916666665</v>
      </c>
      <c r="C114" t="s">
        <v>2</v>
      </c>
      <c r="D114">
        <v>53</v>
      </c>
      <c r="E114">
        <v>0.1044092377143</v>
      </c>
      <c r="F114">
        <v>0.30416941192197999</v>
      </c>
      <c r="G114">
        <v>0.25867612000878998</v>
      </c>
      <c r="H114">
        <v>1</v>
      </c>
      <c r="I114">
        <v>1</v>
      </c>
      <c r="J114">
        <v>1</v>
      </c>
      <c r="K114">
        <v>1</v>
      </c>
      <c r="L114">
        <v>1</v>
      </c>
      <c r="M114">
        <v>1</v>
      </c>
      <c r="N114">
        <v>1</v>
      </c>
      <c r="O114">
        <v>1</v>
      </c>
      <c r="P114">
        <v>1</v>
      </c>
      <c r="Q114">
        <v>2</v>
      </c>
      <c r="R114">
        <v>0</v>
      </c>
      <c r="S114">
        <v>1</v>
      </c>
      <c r="T114">
        <v>0</v>
      </c>
      <c r="U114">
        <v>1</v>
      </c>
      <c r="V114">
        <v>1</v>
      </c>
      <c r="W114">
        <v>1</v>
      </c>
      <c r="X114">
        <v>0</v>
      </c>
      <c r="Y114">
        <v>1</v>
      </c>
      <c r="Z114">
        <v>1</v>
      </c>
      <c r="AA114">
        <v>1</v>
      </c>
      <c r="AB114">
        <v>1</v>
      </c>
      <c r="AC114">
        <v>4</v>
      </c>
      <c r="AD114">
        <v>4</v>
      </c>
      <c r="AE114">
        <v>5</v>
      </c>
      <c r="AF114">
        <v>5</v>
      </c>
      <c r="AG114" t="s">
        <v>164</v>
      </c>
      <c r="AH114" s="6">
        <f t="shared" si="5"/>
        <v>0.1044092377143</v>
      </c>
      <c r="AI114" s="3">
        <f t="shared" si="6"/>
        <v>11</v>
      </c>
      <c r="AJ114" s="3" t="str">
        <f t="shared" si="7"/>
        <v>passed</v>
      </c>
      <c r="AK114" s="3">
        <f t="shared" si="8"/>
        <v>1</v>
      </c>
      <c r="AL114" s="3">
        <v>7.0980913006983002</v>
      </c>
      <c r="AM114" s="3">
        <v>1.062447965149643</v>
      </c>
      <c r="AN114" s="3">
        <v>-6.5826113771124426</v>
      </c>
    </row>
    <row r="115" spans="1:40" x14ac:dyDescent="0.2">
      <c r="A115">
        <v>29123</v>
      </c>
      <c r="B115" s="1">
        <v>43391.557523148149</v>
      </c>
      <c r="C115" t="s">
        <v>3</v>
      </c>
      <c r="D115">
        <v>20</v>
      </c>
      <c r="E115">
        <v>0.16444093217472</v>
      </c>
      <c r="F115">
        <v>0.22312232328928999</v>
      </c>
      <c r="G115">
        <v>0.28683150132228002</v>
      </c>
      <c r="H115">
        <v>1</v>
      </c>
      <c r="I115">
        <v>1</v>
      </c>
      <c r="J115">
        <v>1</v>
      </c>
      <c r="K115">
        <v>1</v>
      </c>
      <c r="L115">
        <v>1</v>
      </c>
      <c r="M115">
        <v>1</v>
      </c>
      <c r="N115">
        <v>1</v>
      </c>
      <c r="O115">
        <v>0</v>
      </c>
      <c r="P115">
        <v>0</v>
      </c>
      <c r="Q115">
        <v>2</v>
      </c>
      <c r="R115">
        <v>1</v>
      </c>
      <c r="S115">
        <v>0</v>
      </c>
      <c r="T115">
        <v>1</v>
      </c>
      <c r="U115">
        <v>0</v>
      </c>
      <c r="V115">
        <v>1</v>
      </c>
      <c r="W115">
        <v>1</v>
      </c>
      <c r="X115">
        <v>1</v>
      </c>
      <c r="Y115">
        <v>1</v>
      </c>
      <c r="Z115">
        <v>1</v>
      </c>
      <c r="AA115">
        <v>1</v>
      </c>
      <c r="AB115">
        <v>1</v>
      </c>
      <c r="AC115">
        <v>4</v>
      </c>
      <c r="AD115">
        <v>3</v>
      </c>
      <c r="AE115">
        <v>5</v>
      </c>
      <c r="AF115">
        <v>5</v>
      </c>
      <c r="AG115" t="s">
        <v>16</v>
      </c>
      <c r="AH115" s="6">
        <f t="shared" si="5"/>
        <v>0.16444093217472</v>
      </c>
      <c r="AI115" s="3">
        <f t="shared" si="6"/>
        <v>12</v>
      </c>
      <c r="AJ115" s="3" t="str">
        <f t="shared" si="7"/>
        <v>passed</v>
      </c>
      <c r="AK115" s="3">
        <f t="shared" si="8"/>
        <v>1</v>
      </c>
      <c r="AL115" s="3">
        <v>3.9136012245301002</v>
      </c>
      <c r="AM115" s="3">
        <v>0.81296454146747421</v>
      </c>
      <c r="AN115" s="3">
        <v>-4.6117144120305804</v>
      </c>
    </row>
    <row r="116" spans="1:40" x14ac:dyDescent="0.2">
      <c r="A116">
        <v>29818</v>
      </c>
      <c r="B116" s="1">
        <v>43399.491712962961</v>
      </c>
      <c r="C116" t="s">
        <v>3</v>
      </c>
      <c r="D116">
        <v>20</v>
      </c>
      <c r="E116">
        <v>3.8209492703558001E-2</v>
      </c>
      <c r="F116">
        <v>0.26271615624456002</v>
      </c>
      <c r="G116">
        <v>1.0429843649652999E-2</v>
      </c>
      <c r="H116">
        <v>1</v>
      </c>
      <c r="I116">
        <v>1</v>
      </c>
      <c r="J116">
        <v>1</v>
      </c>
      <c r="K116">
        <v>1</v>
      </c>
      <c r="L116">
        <v>1</v>
      </c>
      <c r="M116">
        <v>1</v>
      </c>
      <c r="N116">
        <v>1</v>
      </c>
      <c r="O116">
        <v>1</v>
      </c>
      <c r="P116">
        <v>1</v>
      </c>
      <c r="Q116">
        <v>2</v>
      </c>
      <c r="R116">
        <v>1</v>
      </c>
      <c r="S116">
        <v>0</v>
      </c>
      <c r="T116">
        <v>1</v>
      </c>
      <c r="U116">
        <v>0</v>
      </c>
      <c r="V116">
        <v>1</v>
      </c>
      <c r="W116">
        <v>1</v>
      </c>
      <c r="X116">
        <v>1</v>
      </c>
      <c r="Y116">
        <v>1</v>
      </c>
      <c r="Z116">
        <v>1</v>
      </c>
      <c r="AA116">
        <v>1</v>
      </c>
      <c r="AB116">
        <v>1</v>
      </c>
      <c r="AC116">
        <v>4</v>
      </c>
      <c r="AD116">
        <v>4</v>
      </c>
      <c r="AE116">
        <v>4</v>
      </c>
      <c r="AF116">
        <v>5</v>
      </c>
      <c r="AH116" s="6">
        <f t="shared" si="5"/>
        <v>3.8209492703558001E-2</v>
      </c>
      <c r="AI116" s="3">
        <f t="shared" si="6"/>
        <v>12</v>
      </c>
      <c r="AJ116" s="3" t="str">
        <f t="shared" si="7"/>
        <v>passed</v>
      </c>
      <c r="AK116" s="3">
        <f t="shared" si="8"/>
        <v>1</v>
      </c>
      <c r="AL116" s="3">
        <v>0.23960433256816371</v>
      </c>
      <c r="AM116" s="3">
        <v>3.7404421405673072E-2</v>
      </c>
      <c r="AN116" s="3">
        <v>-5.3842522433473956</v>
      </c>
    </row>
    <row r="117" spans="1:40" x14ac:dyDescent="0.2">
      <c r="A117">
        <v>29851</v>
      </c>
      <c r="B117" s="1">
        <v>43400.619247685187</v>
      </c>
      <c r="C117" t="s">
        <v>3</v>
      </c>
      <c r="D117">
        <v>37</v>
      </c>
      <c r="E117">
        <v>2.8111352074485001E-2</v>
      </c>
      <c r="F117">
        <v>0.30072881793554002</v>
      </c>
      <c r="G117">
        <v>2.0917360515991999E-2</v>
      </c>
      <c r="H117">
        <v>1</v>
      </c>
      <c r="I117">
        <v>0</v>
      </c>
      <c r="J117">
        <v>1</v>
      </c>
      <c r="K117">
        <v>0</v>
      </c>
      <c r="L117">
        <v>0</v>
      </c>
      <c r="M117">
        <v>0</v>
      </c>
      <c r="N117">
        <v>0</v>
      </c>
      <c r="O117">
        <v>0</v>
      </c>
      <c r="P117">
        <v>0</v>
      </c>
      <c r="Q117">
        <v>2</v>
      </c>
      <c r="R117">
        <v>0</v>
      </c>
      <c r="S117">
        <v>0</v>
      </c>
      <c r="T117">
        <v>1</v>
      </c>
      <c r="U117">
        <v>0</v>
      </c>
      <c r="V117">
        <v>1</v>
      </c>
      <c r="W117">
        <v>0</v>
      </c>
      <c r="X117">
        <v>0</v>
      </c>
      <c r="Y117">
        <v>2</v>
      </c>
      <c r="Z117">
        <v>2</v>
      </c>
      <c r="AA117">
        <v>1</v>
      </c>
      <c r="AB117">
        <v>1</v>
      </c>
      <c r="AC117">
        <v>5</v>
      </c>
      <c r="AD117">
        <v>5</v>
      </c>
      <c r="AE117">
        <v>5</v>
      </c>
      <c r="AF117">
        <v>4</v>
      </c>
      <c r="AG117" t="s">
        <v>57</v>
      </c>
      <c r="AH117" s="6">
        <f t="shared" si="5"/>
        <v>2.8111352074485001E-2</v>
      </c>
      <c r="AI117" s="3">
        <f t="shared" si="6"/>
        <v>12</v>
      </c>
      <c r="AJ117" s="3" t="str">
        <f t="shared" si="7"/>
        <v>passed</v>
      </c>
      <c r="AK117" s="3">
        <f t="shared" si="8"/>
        <v>1</v>
      </c>
      <c r="AL117" s="3">
        <v>0.55118065522790538</v>
      </c>
      <c r="AM117" s="3">
        <v>9.0144294986702928E-2</v>
      </c>
      <c r="AN117" s="3">
        <v>-5.8025780026409661</v>
      </c>
    </row>
    <row r="118" spans="1:40" x14ac:dyDescent="0.2">
      <c r="A118">
        <v>29863</v>
      </c>
      <c r="B118" s="1">
        <v>43401.376620370371</v>
      </c>
      <c r="C118" t="s">
        <v>3</v>
      </c>
      <c r="D118">
        <v>53</v>
      </c>
      <c r="E118">
        <v>0.47189168269024001</v>
      </c>
      <c r="F118">
        <v>0.27270256114024999</v>
      </c>
      <c r="G118">
        <v>0.25776076610514997</v>
      </c>
      <c r="H118">
        <v>1</v>
      </c>
      <c r="I118">
        <v>1</v>
      </c>
      <c r="J118">
        <v>1</v>
      </c>
      <c r="K118">
        <v>1</v>
      </c>
      <c r="L118">
        <v>1</v>
      </c>
      <c r="M118">
        <v>1</v>
      </c>
      <c r="N118">
        <v>1</v>
      </c>
      <c r="O118">
        <v>1</v>
      </c>
      <c r="P118">
        <v>0</v>
      </c>
      <c r="Q118">
        <v>2</v>
      </c>
      <c r="R118">
        <v>1</v>
      </c>
      <c r="S118">
        <v>1</v>
      </c>
      <c r="T118">
        <v>0</v>
      </c>
      <c r="U118">
        <v>0</v>
      </c>
      <c r="V118">
        <v>0</v>
      </c>
      <c r="W118">
        <v>0</v>
      </c>
      <c r="X118">
        <v>0</v>
      </c>
      <c r="Y118">
        <v>1</v>
      </c>
      <c r="Z118">
        <v>1</v>
      </c>
      <c r="AA118">
        <v>1</v>
      </c>
      <c r="AB118">
        <v>3</v>
      </c>
      <c r="AC118">
        <v>5</v>
      </c>
      <c r="AD118">
        <v>5</v>
      </c>
      <c r="AE118">
        <v>5</v>
      </c>
      <c r="AF118">
        <v>4</v>
      </c>
      <c r="AH118" s="6">
        <f t="shared" si="5"/>
        <v>0.47189168269024001</v>
      </c>
      <c r="AI118" s="3">
        <f t="shared" si="6"/>
        <v>12</v>
      </c>
      <c r="AJ118" s="3" t="str">
        <f t="shared" si="7"/>
        <v>passed</v>
      </c>
      <c r="AK118" s="3">
        <f t="shared" si="8"/>
        <v>1</v>
      </c>
      <c r="AL118" s="3">
        <v>6.3299035227995137</v>
      </c>
      <c r="AM118" s="3">
        <v>0.99152310897614082</v>
      </c>
      <c r="AN118" s="3">
        <v>-5.9080941100387774</v>
      </c>
    </row>
    <row r="119" spans="1:40" x14ac:dyDescent="0.2">
      <c r="A119">
        <v>30721</v>
      </c>
      <c r="B119" s="1">
        <v>43413.862962962965</v>
      </c>
      <c r="C119" t="s">
        <v>3</v>
      </c>
      <c r="D119">
        <v>39</v>
      </c>
      <c r="E119">
        <v>7.9805468116563999E-2</v>
      </c>
      <c r="F119">
        <v>0.25765293022932001</v>
      </c>
      <c r="G119">
        <v>8.0786208988474995E-2</v>
      </c>
      <c r="H119">
        <v>1</v>
      </c>
      <c r="I119">
        <v>1</v>
      </c>
      <c r="J119">
        <v>1</v>
      </c>
      <c r="K119">
        <v>1</v>
      </c>
      <c r="L119">
        <v>0</v>
      </c>
      <c r="M119">
        <v>1</v>
      </c>
      <c r="N119">
        <v>0</v>
      </c>
      <c r="O119">
        <v>0</v>
      </c>
      <c r="P119">
        <v>0</v>
      </c>
      <c r="Q119">
        <v>2</v>
      </c>
      <c r="R119">
        <v>0</v>
      </c>
      <c r="S119">
        <v>0</v>
      </c>
      <c r="T119">
        <v>1</v>
      </c>
      <c r="U119">
        <v>1</v>
      </c>
      <c r="V119">
        <v>1</v>
      </c>
      <c r="W119">
        <v>0</v>
      </c>
      <c r="X119">
        <v>0</v>
      </c>
      <c r="Y119">
        <v>1</v>
      </c>
      <c r="Z119">
        <v>2</v>
      </c>
      <c r="AA119">
        <v>1</v>
      </c>
      <c r="AB119">
        <v>2</v>
      </c>
      <c r="AC119">
        <v>5</v>
      </c>
      <c r="AD119">
        <v>4</v>
      </c>
      <c r="AE119">
        <v>5</v>
      </c>
      <c r="AF119">
        <v>5</v>
      </c>
      <c r="AH119" s="6">
        <f t="shared" si="5"/>
        <v>7.9805468116563999E-2</v>
      </c>
      <c r="AI119" s="3">
        <f t="shared" si="6"/>
        <v>12</v>
      </c>
      <c r="AJ119" s="3" t="str">
        <f t="shared" si="7"/>
        <v>passed</v>
      </c>
      <c r="AK119" s="3">
        <f t="shared" si="8"/>
        <v>1</v>
      </c>
      <c r="AL119" s="3">
        <v>1.474799379679973</v>
      </c>
      <c r="AM119" s="3">
        <v>0.28722295955354937</v>
      </c>
      <c r="AN119" s="3">
        <v>-4.8568328720369189</v>
      </c>
    </row>
    <row r="120" spans="1:40" x14ac:dyDescent="0.2">
      <c r="A120">
        <v>30892</v>
      </c>
      <c r="B120" s="1">
        <v>43416.727118055554</v>
      </c>
      <c r="C120" t="s">
        <v>2</v>
      </c>
      <c r="D120">
        <v>55</v>
      </c>
      <c r="E120">
        <v>0.27257188875375998</v>
      </c>
      <c r="F120">
        <v>0.28351711346698</v>
      </c>
      <c r="G120">
        <v>0.31379616557202</v>
      </c>
      <c r="H120">
        <v>1</v>
      </c>
      <c r="I120">
        <v>1</v>
      </c>
      <c r="J120">
        <v>1</v>
      </c>
      <c r="K120">
        <v>1</v>
      </c>
      <c r="L120">
        <v>1</v>
      </c>
      <c r="M120">
        <v>1</v>
      </c>
      <c r="N120">
        <v>1</v>
      </c>
      <c r="O120">
        <v>1</v>
      </c>
      <c r="P120">
        <v>1</v>
      </c>
      <c r="Q120">
        <v>2</v>
      </c>
      <c r="R120">
        <v>0</v>
      </c>
      <c r="S120">
        <v>0</v>
      </c>
      <c r="T120">
        <v>0</v>
      </c>
      <c r="U120">
        <v>1</v>
      </c>
      <c r="V120">
        <v>1</v>
      </c>
      <c r="W120">
        <v>0</v>
      </c>
      <c r="X120">
        <v>0</v>
      </c>
      <c r="Y120">
        <v>1</v>
      </c>
      <c r="Z120">
        <v>1</v>
      </c>
      <c r="AA120">
        <v>1</v>
      </c>
      <c r="AB120">
        <v>1</v>
      </c>
      <c r="AC120">
        <v>4</v>
      </c>
      <c r="AD120">
        <v>4</v>
      </c>
      <c r="AE120">
        <v>4</v>
      </c>
      <c r="AF120">
        <v>5</v>
      </c>
      <c r="AG120" t="s">
        <v>77</v>
      </c>
      <c r="AH120" s="6">
        <f t="shared" si="5"/>
        <v>0.27257188875375998</v>
      </c>
      <c r="AI120" s="3">
        <f t="shared" si="6"/>
        <v>12</v>
      </c>
      <c r="AJ120" s="3" t="str">
        <f t="shared" si="7"/>
        <v>passed</v>
      </c>
      <c r="AK120" s="3">
        <f t="shared" si="8"/>
        <v>1</v>
      </c>
      <c r="AL120" s="3">
        <v>7.3445023191656649</v>
      </c>
      <c r="AM120" s="3">
        <v>1.287113160179864</v>
      </c>
      <c r="AN120" s="3">
        <v>-5.4944123401113023</v>
      </c>
    </row>
    <row r="121" spans="1:40" x14ac:dyDescent="0.2">
      <c r="A121">
        <v>31887</v>
      </c>
      <c r="B121" s="1">
        <v>43432.897858796299</v>
      </c>
      <c r="C121" t="s">
        <v>3</v>
      </c>
      <c r="D121">
        <v>24</v>
      </c>
      <c r="E121">
        <v>2.2246993478201998E-2</v>
      </c>
      <c r="F121">
        <v>6.1411987132093997E-2</v>
      </c>
      <c r="G121">
        <v>7.7362305578175999E-2</v>
      </c>
      <c r="H121">
        <v>1</v>
      </c>
      <c r="I121">
        <v>1</v>
      </c>
      <c r="J121">
        <v>1</v>
      </c>
      <c r="K121">
        <v>1</v>
      </c>
      <c r="L121">
        <v>1</v>
      </c>
      <c r="M121">
        <v>1</v>
      </c>
      <c r="N121">
        <v>1</v>
      </c>
      <c r="O121">
        <v>1</v>
      </c>
      <c r="P121">
        <v>1</v>
      </c>
      <c r="Q121">
        <v>2</v>
      </c>
      <c r="R121">
        <v>0</v>
      </c>
      <c r="S121">
        <v>0</v>
      </c>
      <c r="T121">
        <v>0</v>
      </c>
      <c r="U121">
        <v>1</v>
      </c>
      <c r="V121">
        <v>1</v>
      </c>
      <c r="W121">
        <v>0</v>
      </c>
      <c r="X121">
        <v>0</v>
      </c>
      <c r="Y121">
        <v>1</v>
      </c>
      <c r="Z121">
        <v>1</v>
      </c>
      <c r="AA121">
        <v>1</v>
      </c>
      <c r="AB121">
        <v>1</v>
      </c>
      <c r="AC121">
        <v>2</v>
      </c>
      <c r="AD121">
        <v>5</v>
      </c>
      <c r="AE121">
        <v>5</v>
      </c>
      <c r="AF121">
        <v>5</v>
      </c>
      <c r="AG121" t="s">
        <v>83</v>
      </c>
      <c r="AH121" s="6">
        <f t="shared" si="5"/>
        <v>2.2246993478201998E-2</v>
      </c>
      <c r="AI121" s="3">
        <f t="shared" si="6"/>
        <v>12</v>
      </c>
      <c r="AJ121" s="3" t="str">
        <f t="shared" si="7"/>
        <v>passed</v>
      </c>
      <c r="AK121" s="3">
        <f t="shared" si="8"/>
        <v>1</v>
      </c>
      <c r="AL121" s="3">
        <v>0.13483083215165989</v>
      </c>
      <c r="AM121" s="3">
        <v>7.7498341942520962E-2</v>
      </c>
      <c r="AN121" s="3">
        <v>-1.45272577259728</v>
      </c>
    </row>
    <row r="122" spans="1:40" x14ac:dyDescent="0.2">
      <c r="A122">
        <v>32074</v>
      </c>
      <c r="B122" s="1">
        <v>43434.090648148151</v>
      </c>
      <c r="C122" t="s">
        <v>3</v>
      </c>
      <c r="D122">
        <v>28</v>
      </c>
      <c r="E122">
        <v>0.23631225537555001</v>
      </c>
      <c r="F122">
        <v>2.8640703298395999E-2</v>
      </c>
      <c r="G122">
        <v>6.0407261953539002E-2</v>
      </c>
      <c r="H122">
        <v>1</v>
      </c>
      <c r="I122">
        <v>1</v>
      </c>
      <c r="J122">
        <v>1</v>
      </c>
      <c r="K122">
        <v>1</v>
      </c>
      <c r="L122">
        <v>1</v>
      </c>
      <c r="M122">
        <v>1</v>
      </c>
      <c r="N122">
        <v>1</v>
      </c>
      <c r="O122">
        <v>1</v>
      </c>
      <c r="P122">
        <v>1</v>
      </c>
      <c r="Q122">
        <v>2</v>
      </c>
      <c r="R122">
        <v>0</v>
      </c>
      <c r="S122">
        <v>0</v>
      </c>
      <c r="T122">
        <v>0</v>
      </c>
      <c r="U122">
        <v>0</v>
      </c>
      <c r="V122">
        <v>1</v>
      </c>
      <c r="W122">
        <v>1</v>
      </c>
      <c r="X122">
        <v>0</v>
      </c>
      <c r="Y122">
        <v>2</v>
      </c>
      <c r="Z122">
        <v>1</v>
      </c>
      <c r="AA122">
        <v>1</v>
      </c>
      <c r="AB122">
        <v>1</v>
      </c>
      <c r="AC122">
        <v>5</v>
      </c>
      <c r="AD122">
        <v>5</v>
      </c>
      <c r="AE122">
        <v>5</v>
      </c>
      <c r="AF122">
        <v>3</v>
      </c>
      <c r="AH122" s="6">
        <f t="shared" si="5"/>
        <v>0.23631225537555001</v>
      </c>
      <c r="AI122" s="3">
        <f t="shared" si="6"/>
        <v>12</v>
      </c>
      <c r="AJ122" s="3" t="str">
        <f t="shared" si="7"/>
        <v>passed</v>
      </c>
      <c r="AK122" s="3">
        <f t="shared" si="8"/>
        <v>1</v>
      </c>
      <c r="AL122" s="3">
        <v>0.14847738936549371</v>
      </c>
      <c r="AM122" s="3">
        <v>2.3861005755403342E-2</v>
      </c>
      <c r="AN122" s="3">
        <v>3.6811049337331898</v>
      </c>
    </row>
    <row r="123" spans="1:40" x14ac:dyDescent="0.2">
      <c r="A123">
        <v>33168</v>
      </c>
      <c r="B123" s="1">
        <v>43477.678032407406</v>
      </c>
      <c r="C123" t="s">
        <v>3</v>
      </c>
      <c r="D123">
        <v>26</v>
      </c>
      <c r="E123" s="2">
        <v>3.6369374944617002E-15</v>
      </c>
      <c r="F123">
        <v>7.5312233953386001E-2</v>
      </c>
      <c r="G123">
        <v>5.1337370017973998E-2</v>
      </c>
      <c r="H123">
        <v>1</v>
      </c>
      <c r="I123">
        <v>1</v>
      </c>
      <c r="J123">
        <v>1</v>
      </c>
      <c r="K123">
        <v>1</v>
      </c>
      <c r="L123">
        <v>1</v>
      </c>
      <c r="M123">
        <v>1</v>
      </c>
      <c r="N123">
        <v>1</v>
      </c>
      <c r="O123">
        <v>1</v>
      </c>
      <c r="P123">
        <v>1</v>
      </c>
      <c r="Q123">
        <v>2</v>
      </c>
      <c r="R123">
        <v>1</v>
      </c>
      <c r="S123">
        <v>1</v>
      </c>
      <c r="T123">
        <v>1</v>
      </c>
      <c r="U123">
        <v>1</v>
      </c>
      <c r="V123">
        <v>1</v>
      </c>
      <c r="W123">
        <v>0</v>
      </c>
      <c r="X123">
        <v>0</v>
      </c>
      <c r="Y123">
        <v>1</v>
      </c>
      <c r="Z123">
        <v>1</v>
      </c>
      <c r="AA123">
        <v>1</v>
      </c>
      <c r="AB123">
        <v>1</v>
      </c>
      <c r="AC123">
        <v>4</v>
      </c>
      <c r="AD123">
        <v>4</v>
      </c>
      <c r="AE123">
        <v>4</v>
      </c>
      <c r="AF123">
        <v>5</v>
      </c>
      <c r="AH123" s="6">
        <f t="shared" si="5"/>
        <v>3.6369374944617002E-15</v>
      </c>
      <c r="AI123" s="3">
        <f t="shared" si="6"/>
        <v>12</v>
      </c>
      <c r="AJ123" s="3" t="str">
        <f t="shared" si="7"/>
        <v>passed</v>
      </c>
      <c r="AK123" s="3">
        <f t="shared" si="8"/>
        <v>1</v>
      </c>
      <c r="AL123" s="3">
        <v>3.7464651662701209</v>
      </c>
      <c r="AM123" s="3">
        <v>3.2968984046400629</v>
      </c>
      <c r="AN123" s="3">
        <v>-1.13636051417215</v>
      </c>
    </row>
    <row r="124" spans="1:40" x14ac:dyDescent="0.2">
      <c r="A124">
        <v>45727</v>
      </c>
      <c r="B124" s="1">
        <v>43795.794050925928</v>
      </c>
      <c r="C124" t="s">
        <v>3</v>
      </c>
      <c r="D124">
        <v>38</v>
      </c>
      <c r="E124">
        <v>8.8233701491828007E-2</v>
      </c>
      <c r="F124">
        <v>0.27284287428615001</v>
      </c>
      <c r="G124">
        <v>0.18351828841786</v>
      </c>
      <c r="H124">
        <v>1</v>
      </c>
      <c r="I124">
        <v>1</v>
      </c>
      <c r="J124">
        <v>1</v>
      </c>
      <c r="K124">
        <v>1</v>
      </c>
      <c r="L124">
        <v>1</v>
      </c>
      <c r="M124">
        <v>0</v>
      </c>
      <c r="N124">
        <v>0</v>
      </c>
      <c r="O124">
        <v>0</v>
      </c>
      <c r="P124">
        <v>0</v>
      </c>
      <c r="Q124">
        <v>1</v>
      </c>
      <c r="R124">
        <v>0</v>
      </c>
      <c r="S124">
        <v>0</v>
      </c>
      <c r="T124">
        <v>1</v>
      </c>
      <c r="U124">
        <v>1</v>
      </c>
      <c r="V124">
        <v>1</v>
      </c>
      <c r="W124">
        <v>0</v>
      </c>
      <c r="X124">
        <v>0</v>
      </c>
      <c r="Y124">
        <v>2</v>
      </c>
      <c r="Z124">
        <v>1</v>
      </c>
      <c r="AA124">
        <v>1</v>
      </c>
      <c r="AB124">
        <v>2</v>
      </c>
      <c r="AC124">
        <v>4</v>
      </c>
      <c r="AD124">
        <v>5</v>
      </c>
      <c r="AE124">
        <v>5</v>
      </c>
      <c r="AF124">
        <v>5</v>
      </c>
      <c r="AG124" t="s">
        <v>98</v>
      </c>
      <c r="AH124" s="6">
        <f t="shared" si="5"/>
        <v>8.8233701491828007E-2</v>
      </c>
      <c r="AI124" s="3">
        <f t="shared" si="6"/>
        <v>12</v>
      </c>
      <c r="AJ124" s="3" t="str">
        <f t="shared" si="7"/>
        <v>passed</v>
      </c>
      <c r="AK124" s="3">
        <f t="shared" si="8"/>
        <v>1</v>
      </c>
      <c r="AL124" s="3">
        <v>4.072495461340468</v>
      </c>
      <c r="AM124" s="3">
        <v>0.7080321563555062</v>
      </c>
      <c r="AN124" s="3">
        <v>-5.6272327804390327</v>
      </c>
    </row>
    <row r="125" spans="1:40" x14ac:dyDescent="0.2">
      <c r="A125">
        <v>45819</v>
      </c>
      <c r="B125" s="1">
        <v>43797.396053240744</v>
      </c>
      <c r="C125" t="s">
        <v>3</v>
      </c>
      <c r="D125">
        <v>33</v>
      </c>
      <c r="E125">
        <v>0.11944930854885</v>
      </c>
      <c r="F125">
        <v>0.26067928011535002</v>
      </c>
      <c r="G125">
        <v>0.14825884150707</v>
      </c>
      <c r="H125">
        <v>1</v>
      </c>
      <c r="I125">
        <v>1</v>
      </c>
      <c r="J125">
        <v>1</v>
      </c>
      <c r="K125">
        <v>1</v>
      </c>
      <c r="L125">
        <v>0</v>
      </c>
      <c r="M125">
        <v>0</v>
      </c>
      <c r="N125">
        <v>0</v>
      </c>
      <c r="O125">
        <v>0</v>
      </c>
      <c r="P125">
        <v>0</v>
      </c>
      <c r="Q125">
        <v>2</v>
      </c>
      <c r="R125">
        <v>0</v>
      </c>
      <c r="S125">
        <v>0</v>
      </c>
      <c r="T125">
        <v>0</v>
      </c>
      <c r="U125">
        <v>0</v>
      </c>
      <c r="V125">
        <v>1</v>
      </c>
      <c r="W125">
        <v>1</v>
      </c>
      <c r="X125">
        <v>0</v>
      </c>
      <c r="Y125">
        <v>3</v>
      </c>
      <c r="Z125">
        <v>1</v>
      </c>
      <c r="AA125">
        <v>1</v>
      </c>
      <c r="AB125">
        <v>1</v>
      </c>
      <c r="AC125">
        <v>4</v>
      </c>
      <c r="AD125">
        <v>5</v>
      </c>
      <c r="AE125">
        <v>5</v>
      </c>
      <c r="AF125">
        <v>5</v>
      </c>
      <c r="AH125" s="6">
        <f t="shared" si="5"/>
        <v>0.11944930854885</v>
      </c>
      <c r="AI125" s="3">
        <f t="shared" si="6"/>
        <v>12</v>
      </c>
      <c r="AJ125" s="3" t="str">
        <f t="shared" si="7"/>
        <v>passed</v>
      </c>
      <c r="AK125" s="3">
        <f t="shared" si="8"/>
        <v>1</v>
      </c>
      <c r="AL125" s="3">
        <v>3.3526607343301009</v>
      </c>
      <c r="AM125" s="3">
        <v>0.56068259690682731</v>
      </c>
      <c r="AN125" s="3">
        <v>-5.7665628354049598</v>
      </c>
    </row>
    <row r="126" spans="1:40" x14ac:dyDescent="0.2">
      <c r="A126">
        <v>46288</v>
      </c>
      <c r="B126" s="1">
        <v>43804.274560185186</v>
      </c>
      <c r="C126" t="s">
        <v>3</v>
      </c>
      <c r="D126">
        <v>44</v>
      </c>
      <c r="E126">
        <v>9.1850544758419E-2</v>
      </c>
      <c r="F126">
        <v>0.26430997375255999</v>
      </c>
      <c r="G126">
        <v>0.27919267179018997</v>
      </c>
      <c r="H126">
        <v>1</v>
      </c>
      <c r="I126">
        <v>1</v>
      </c>
      <c r="J126">
        <v>1</v>
      </c>
      <c r="K126">
        <v>1</v>
      </c>
      <c r="L126">
        <v>1</v>
      </c>
      <c r="M126">
        <v>1</v>
      </c>
      <c r="N126">
        <v>0</v>
      </c>
      <c r="O126">
        <v>0</v>
      </c>
      <c r="P126">
        <v>0</v>
      </c>
      <c r="Q126">
        <v>2</v>
      </c>
      <c r="R126">
        <v>0</v>
      </c>
      <c r="S126">
        <v>0</v>
      </c>
      <c r="T126">
        <v>0</v>
      </c>
      <c r="U126">
        <v>1</v>
      </c>
      <c r="V126">
        <v>1</v>
      </c>
      <c r="W126">
        <v>0</v>
      </c>
      <c r="X126">
        <v>0</v>
      </c>
      <c r="Y126">
        <v>3</v>
      </c>
      <c r="Z126">
        <v>1</v>
      </c>
      <c r="AA126">
        <v>1</v>
      </c>
      <c r="AB126">
        <v>1</v>
      </c>
      <c r="AC126">
        <v>4</v>
      </c>
      <c r="AD126">
        <v>5</v>
      </c>
      <c r="AE126">
        <v>5</v>
      </c>
      <c r="AF126">
        <v>5</v>
      </c>
      <c r="AG126" t="s">
        <v>106</v>
      </c>
      <c r="AH126" s="6">
        <f t="shared" si="5"/>
        <v>9.1850544758419E-2</v>
      </c>
      <c r="AI126" s="3">
        <f t="shared" si="6"/>
        <v>12</v>
      </c>
      <c r="AJ126" s="3" t="str">
        <f t="shared" si="7"/>
        <v>passed</v>
      </c>
      <c r="AK126" s="3">
        <f t="shared" si="8"/>
        <v>1</v>
      </c>
      <c r="AL126" s="3">
        <v>6.1140396357929383</v>
      </c>
      <c r="AM126" s="3">
        <v>1.0581086791683101</v>
      </c>
      <c r="AN126" s="3">
        <v>-5.6914655456451353</v>
      </c>
    </row>
    <row r="127" spans="1:40" x14ac:dyDescent="0.2">
      <c r="A127">
        <v>46742</v>
      </c>
      <c r="B127" s="1">
        <v>43811.007939814815</v>
      </c>
      <c r="C127" t="s">
        <v>3</v>
      </c>
      <c r="D127">
        <v>64</v>
      </c>
      <c r="E127">
        <v>8.7861576649772996E-2</v>
      </c>
      <c r="F127">
        <v>0.32044270754693999</v>
      </c>
      <c r="G127">
        <v>0.23800705767510999</v>
      </c>
      <c r="H127">
        <v>1</v>
      </c>
      <c r="I127">
        <v>1</v>
      </c>
      <c r="J127">
        <v>1</v>
      </c>
      <c r="K127">
        <v>1</v>
      </c>
      <c r="L127">
        <v>1</v>
      </c>
      <c r="M127">
        <v>1</v>
      </c>
      <c r="N127">
        <v>0</v>
      </c>
      <c r="O127">
        <v>1</v>
      </c>
      <c r="P127">
        <v>1</v>
      </c>
      <c r="Q127">
        <v>1</v>
      </c>
      <c r="R127">
        <v>1</v>
      </c>
      <c r="S127">
        <v>0</v>
      </c>
      <c r="T127">
        <v>0</v>
      </c>
      <c r="U127">
        <v>1</v>
      </c>
      <c r="V127">
        <v>1</v>
      </c>
      <c r="W127">
        <v>1</v>
      </c>
      <c r="X127">
        <v>0</v>
      </c>
      <c r="Y127">
        <v>1</v>
      </c>
      <c r="Z127">
        <v>1</v>
      </c>
      <c r="AA127">
        <v>1</v>
      </c>
      <c r="AB127">
        <v>1</v>
      </c>
      <c r="AC127">
        <v>4</v>
      </c>
      <c r="AD127">
        <v>4</v>
      </c>
      <c r="AE127">
        <v>4</v>
      </c>
      <c r="AF127">
        <v>5</v>
      </c>
      <c r="AG127" t="s">
        <v>111</v>
      </c>
      <c r="AH127" s="6">
        <f t="shared" si="5"/>
        <v>8.7861576649772996E-2</v>
      </c>
      <c r="AI127" s="3">
        <f t="shared" si="6"/>
        <v>12</v>
      </c>
      <c r="AJ127" s="3" t="str">
        <f t="shared" si="7"/>
        <v>passed</v>
      </c>
      <c r="AK127" s="3">
        <f t="shared" si="8"/>
        <v>1</v>
      </c>
      <c r="AL127" s="3">
        <v>5.8867694641160346</v>
      </c>
      <c r="AM127" s="3">
        <v>0.97582732553733365</v>
      </c>
      <c r="AN127" s="3">
        <v>-5.9425553432551457</v>
      </c>
    </row>
    <row r="128" spans="1:40" x14ac:dyDescent="0.2">
      <c r="A128">
        <v>53343</v>
      </c>
      <c r="B128" s="1">
        <v>43916.486886574072</v>
      </c>
      <c r="C128" t="s">
        <v>3</v>
      </c>
      <c r="D128">
        <v>20</v>
      </c>
      <c r="E128">
        <v>0.10026856260255</v>
      </c>
      <c r="F128">
        <v>0.21858126314334</v>
      </c>
      <c r="G128">
        <v>0.3525058166867</v>
      </c>
      <c r="H128">
        <v>1</v>
      </c>
      <c r="I128">
        <v>1</v>
      </c>
      <c r="J128">
        <v>1</v>
      </c>
      <c r="K128">
        <v>1</v>
      </c>
      <c r="L128">
        <v>0</v>
      </c>
      <c r="M128">
        <v>1</v>
      </c>
      <c r="N128">
        <v>0</v>
      </c>
      <c r="O128">
        <v>0</v>
      </c>
      <c r="P128">
        <v>0</v>
      </c>
      <c r="Q128">
        <v>1</v>
      </c>
      <c r="R128">
        <v>0</v>
      </c>
      <c r="S128">
        <v>0</v>
      </c>
      <c r="T128">
        <v>0</v>
      </c>
      <c r="U128">
        <v>1</v>
      </c>
      <c r="V128">
        <v>0</v>
      </c>
      <c r="W128">
        <v>1</v>
      </c>
      <c r="X128">
        <v>0</v>
      </c>
      <c r="Y128">
        <v>1</v>
      </c>
      <c r="Z128">
        <v>1</v>
      </c>
      <c r="AA128">
        <v>1</v>
      </c>
      <c r="AB128">
        <v>1</v>
      </c>
      <c r="AC128">
        <v>4</v>
      </c>
      <c r="AD128">
        <v>4</v>
      </c>
      <c r="AE128">
        <v>4</v>
      </c>
      <c r="AF128">
        <v>5</v>
      </c>
      <c r="AG128" t="s">
        <v>119</v>
      </c>
      <c r="AH128" s="6">
        <f t="shared" si="5"/>
        <v>0.10026856260255</v>
      </c>
      <c r="AI128" s="3">
        <f t="shared" si="6"/>
        <v>12</v>
      </c>
      <c r="AJ128" s="3" t="str">
        <f t="shared" si="7"/>
        <v>passed</v>
      </c>
      <c r="AK128" s="3">
        <f t="shared" si="8"/>
        <v>1</v>
      </c>
      <c r="AL128" s="3">
        <v>5.2828386975067714</v>
      </c>
      <c r="AM128" s="3">
        <v>1.1162368619180489</v>
      </c>
      <c r="AN128" s="3">
        <v>-4.6428946325951994</v>
      </c>
    </row>
    <row r="129" spans="1:40" x14ac:dyDescent="0.2">
      <c r="A129">
        <v>53351</v>
      </c>
      <c r="B129" s="1">
        <v>43916.496793981481</v>
      </c>
      <c r="C129" t="s">
        <v>3</v>
      </c>
      <c r="D129">
        <v>21</v>
      </c>
      <c r="E129">
        <v>0.163057782491</v>
      </c>
      <c r="F129">
        <v>0.25994650711257</v>
      </c>
      <c r="G129">
        <v>0.25319384444122001</v>
      </c>
      <c r="H129">
        <v>1</v>
      </c>
      <c r="I129">
        <v>1</v>
      </c>
      <c r="J129">
        <v>1</v>
      </c>
      <c r="K129">
        <v>1</v>
      </c>
      <c r="L129">
        <v>0</v>
      </c>
      <c r="M129">
        <v>0</v>
      </c>
      <c r="N129">
        <v>0</v>
      </c>
      <c r="O129">
        <v>0</v>
      </c>
      <c r="P129">
        <v>0</v>
      </c>
      <c r="Q129">
        <v>1</v>
      </c>
      <c r="R129">
        <v>1</v>
      </c>
      <c r="S129">
        <v>0</v>
      </c>
      <c r="T129">
        <v>0</v>
      </c>
      <c r="U129">
        <v>1</v>
      </c>
      <c r="V129">
        <v>1</v>
      </c>
      <c r="W129">
        <v>0</v>
      </c>
      <c r="X129">
        <v>0</v>
      </c>
      <c r="Y129">
        <v>1</v>
      </c>
      <c r="Z129">
        <v>1</v>
      </c>
      <c r="AA129">
        <v>1</v>
      </c>
      <c r="AB129">
        <v>1</v>
      </c>
      <c r="AC129">
        <v>3</v>
      </c>
      <c r="AD129">
        <v>4</v>
      </c>
      <c r="AE129">
        <v>5</v>
      </c>
      <c r="AF129">
        <v>5</v>
      </c>
      <c r="AH129" s="6">
        <f t="shared" si="5"/>
        <v>0.163057782491</v>
      </c>
      <c r="AI129" s="3">
        <f t="shared" si="6"/>
        <v>12</v>
      </c>
      <c r="AJ129" s="3" t="str">
        <f t="shared" si="7"/>
        <v>passed</v>
      </c>
      <c r="AK129" s="3">
        <f t="shared" si="8"/>
        <v>1</v>
      </c>
      <c r="AL129" s="3">
        <v>5.8328203617145133</v>
      </c>
      <c r="AM129" s="3">
        <v>0.87984462570607347</v>
      </c>
      <c r="AN129" s="3">
        <v>-6.4440497942162649</v>
      </c>
    </row>
    <row r="130" spans="1:40" x14ac:dyDescent="0.2">
      <c r="A130">
        <v>53417</v>
      </c>
      <c r="B130" s="1">
        <v>43917.731736111113</v>
      </c>
      <c r="C130" t="s">
        <v>2</v>
      </c>
      <c r="D130">
        <v>66</v>
      </c>
      <c r="E130">
        <v>0.86617489980339002</v>
      </c>
      <c r="F130">
        <v>0.26572684429707</v>
      </c>
      <c r="G130">
        <v>0.13014625384449</v>
      </c>
      <c r="H130">
        <v>1</v>
      </c>
      <c r="I130">
        <v>1</v>
      </c>
      <c r="J130">
        <v>1</v>
      </c>
      <c r="K130">
        <v>1</v>
      </c>
      <c r="L130">
        <v>1</v>
      </c>
      <c r="M130">
        <v>1</v>
      </c>
      <c r="N130">
        <v>1</v>
      </c>
      <c r="O130">
        <v>0</v>
      </c>
      <c r="P130">
        <v>0</v>
      </c>
      <c r="Q130">
        <v>2</v>
      </c>
      <c r="R130">
        <v>0</v>
      </c>
      <c r="S130">
        <v>0</v>
      </c>
      <c r="T130">
        <v>1</v>
      </c>
      <c r="U130">
        <v>0</v>
      </c>
      <c r="V130">
        <v>0</v>
      </c>
      <c r="W130">
        <v>1</v>
      </c>
      <c r="X130">
        <v>0</v>
      </c>
      <c r="Y130">
        <v>1</v>
      </c>
      <c r="Z130">
        <v>1</v>
      </c>
      <c r="AA130">
        <v>1</v>
      </c>
      <c r="AB130">
        <v>1</v>
      </c>
      <c r="AC130">
        <v>4</v>
      </c>
      <c r="AD130">
        <v>4</v>
      </c>
      <c r="AE130">
        <v>4</v>
      </c>
      <c r="AF130">
        <v>5</v>
      </c>
      <c r="AG130" t="s">
        <v>123</v>
      </c>
      <c r="AH130" s="6">
        <f t="shared" ref="AH130:AH193" si="9">E130</f>
        <v>0.86617489980339002</v>
      </c>
      <c r="AI130" s="3">
        <f t="shared" ref="AI130:AI193" si="10">H130+Y130+Z130+AA130+AB130+(6-AC130)+(6-AD130)+(6-AE130)+(6-AF130)</f>
        <v>12</v>
      </c>
      <c r="AJ130" s="3" t="str">
        <f t="shared" si="7"/>
        <v>passed</v>
      </c>
      <c r="AK130" s="3">
        <f t="shared" si="8"/>
        <v>1</v>
      </c>
      <c r="AL130" s="3">
        <v>3.1606290449904679</v>
      </c>
      <c r="AM130" s="3">
        <v>0.47995555801360368</v>
      </c>
      <c r="AN130" s="3">
        <v>-4.7805554220127338</v>
      </c>
    </row>
    <row r="131" spans="1:40" x14ac:dyDescent="0.2">
      <c r="A131">
        <v>53732</v>
      </c>
      <c r="B131" s="1">
        <v>43928.485335648147</v>
      </c>
      <c r="C131" t="s">
        <v>3</v>
      </c>
      <c r="D131">
        <v>23</v>
      </c>
      <c r="E131">
        <v>2.8041915838252999E-2</v>
      </c>
      <c r="F131">
        <v>0.24496987162582001</v>
      </c>
      <c r="G131">
        <v>0.31250435003739002</v>
      </c>
      <c r="H131">
        <v>1</v>
      </c>
      <c r="I131">
        <v>1</v>
      </c>
      <c r="J131">
        <v>1</v>
      </c>
      <c r="K131">
        <v>1</v>
      </c>
      <c r="L131">
        <v>1</v>
      </c>
      <c r="M131">
        <v>1</v>
      </c>
      <c r="N131">
        <v>1</v>
      </c>
      <c r="O131">
        <v>0</v>
      </c>
      <c r="P131">
        <v>1</v>
      </c>
      <c r="Q131">
        <v>2</v>
      </c>
      <c r="R131">
        <v>0</v>
      </c>
      <c r="S131">
        <v>0</v>
      </c>
      <c r="T131">
        <v>1</v>
      </c>
      <c r="U131">
        <v>1</v>
      </c>
      <c r="V131">
        <v>1</v>
      </c>
      <c r="W131">
        <v>1</v>
      </c>
      <c r="X131">
        <v>0</v>
      </c>
      <c r="Y131">
        <v>1</v>
      </c>
      <c r="Z131">
        <v>1</v>
      </c>
      <c r="AA131">
        <v>1</v>
      </c>
      <c r="AB131">
        <v>1</v>
      </c>
      <c r="AC131">
        <v>3</v>
      </c>
      <c r="AD131">
        <v>5</v>
      </c>
      <c r="AE131">
        <v>4</v>
      </c>
      <c r="AF131">
        <v>5</v>
      </c>
      <c r="AG131" t="s">
        <v>131</v>
      </c>
      <c r="AH131" s="6">
        <f t="shared" si="9"/>
        <v>2.8041915838252999E-2</v>
      </c>
      <c r="AI131" s="3">
        <f t="shared" si="10"/>
        <v>12</v>
      </c>
      <c r="AJ131" s="3" t="str">
        <f t="shared" ref="AJ131:AJ194" si="11">IF(AK131=1,"passed","failed")</f>
        <v>passed</v>
      </c>
      <c r="AK131" s="3">
        <f t="shared" ref="AK131:AK194" si="12">IF(AI131&lt;20,1,0)</f>
        <v>1</v>
      </c>
      <c r="AL131" s="3">
        <v>5.1081458216028528</v>
      </c>
      <c r="AM131" s="3">
        <v>0.924778873619443</v>
      </c>
      <c r="AN131" s="3">
        <v>-5.493317430448915</v>
      </c>
    </row>
    <row r="132" spans="1:40" x14ac:dyDescent="0.2">
      <c r="A132">
        <v>62874</v>
      </c>
      <c r="B132" s="1">
        <v>44360.859097222223</v>
      </c>
      <c r="C132" t="s">
        <v>3</v>
      </c>
      <c r="D132">
        <v>52</v>
      </c>
      <c r="E132">
        <v>0.11203525709474001</v>
      </c>
      <c r="F132">
        <v>0.20292695473538</v>
      </c>
      <c r="G132">
        <v>0.13919960338387</v>
      </c>
      <c r="H132">
        <v>1</v>
      </c>
      <c r="I132">
        <v>0</v>
      </c>
      <c r="J132">
        <v>1</v>
      </c>
      <c r="K132">
        <v>1</v>
      </c>
      <c r="L132">
        <v>1</v>
      </c>
      <c r="M132">
        <v>0</v>
      </c>
      <c r="N132">
        <v>0</v>
      </c>
      <c r="O132">
        <v>0</v>
      </c>
      <c r="P132">
        <v>0</v>
      </c>
      <c r="Q132">
        <v>1</v>
      </c>
      <c r="R132">
        <v>0</v>
      </c>
      <c r="S132">
        <v>0</v>
      </c>
      <c r="T132">
        <v>1</v>
      </c>
      <c r="U132">
        <v>0</v>
      </c>
      <c r="V132">
        <v>0</v>
      </c>
      <c r="W132">
        <v>0</v>
      </c>
      <c r="X132">
        <v>0</v>
      </c>
      <c r="Y132">
        <v>3</v>
      </c>
      <c r="Z132">
        <v>1</v>
      </c>
      <c r="AA132">
        <v>1</v>
      </c>
      <c r="AB132">
        <v>1</v>
      </c>
      <c r="AC132">
        <v>4</v>
      </c>
      <c r="AD132">
        <v>5</v>
      </c>
      <c r="AE132">
        <v>5</v>
      </c>
      <c r="AF132">
        <v>5</v>
      </c>
      <c r="AG132" t="s">
        <v>166</v>
      </c>
      <c r="AH132" s="6">
        <f t="shared" si="9"/>
        <v>0.11203525709474001</v>
      </c>
      <c r="AI132" s="3">
        <f t="shared" si="10"/>
        <v>12</v>
      </c>
      <c r="AJ132" s="3" t="str">
        <f t="shared" si="11"/>
        <v>passed</v>
      </c>
      <c r="AK132" s="3">
        <f t="shared" si="12"/>
        <v>1</v>
      </c>
      <c r="AL132" s="3">
        <v>2.4806379798758491</v>
      </c>
      <c r="AM132" s="3">
        <v>0.38573920278021978</v>
      </c>
      <c r="AN132" s="3">
        <v>-6.1404252036333791</v>
      </c>
    </row>
    <row r="133" spans="1:40" x14ac:dyDescent="0.2">
      <c r="A133">
        <v>63028</v>
      </c>
      <c r="B133" s="1">
        <v>44369.996261574073</v>
      </c>
      <c r="C133" t="s">
        <v>2</v>
      </c>
      <c r="D133">
        <v>22</v>
      </c>
      <c r="E133">
        <v>0.11037547362053</v>
      </c>
      <c r="F133">
        <v>0.27823061967358997</v>
      </c>
      <c r="G133">
        <v>0.15656467374206001</v>
      </c>
      <c r="H133">
        <v>1</v>
      </c>
      <c r="I133">
        <v>1</v>
      </c>
      <c r="J133">
        <v>1</v>
      </c>
      <c r="K133">
        <v>1</v>
      </c>
      <c r="L133">
        <v>1</v>
      </c>
      <c r="M133">
        <v>1</v>
      </c>
      <c r="N133">
        <v>1</v>
      </c>
      <c r="O133">
        <v>1</v>
      </c>
      <c r="P133">
        <v>1</v>
      </c>
      <c r="Q133">
        <v>1</v>
      </c>
      <c r="R133">
        <v>1</v>
      </c>
      <c r="S133">
        <v>0</v>
      </c>
      <c r="T133">
        <v>0</v>
      </c>
      <c r="U133">
        <v>1</v>
      </c>
      <c r="V133">
        <v>1</v>
      </c>
      <c r="W133">
        <v>1</v>
      </c>
      <c r="X133">
        <v>0</v>
      </c>
      <c r="Y133">
        <v>1</v>
      </c>
      <c r="Z133">
        <v>1</v>
      </c>
      <c r="AA133">
        <v>1</v>
      </c>
      <c r="AB133">
        <v>1</v>
      </c>
      <c r="AC133">
        <v>3</v>
      </c>
      <c r="AD133">
        <v>5</v>
      </c>
      <c r="AE133">
        <v>5</v>
      </c>
      <c r="AF133">
        <v>4</v>
      </c>
      <c r="AG133" t="s">
        <v>172</v>
      </c>
      <c r="AH133" s="6">
        <f t="shared" si="9"/>
        <v>0.11037547362053</v>
      </c>
      <c r="AI133" s="3">
        <f t="shared" si="10"/>
        <v>12</v>
      </c>
      <c r="AJ133" s="3" t="str">
        <f t="shared" si="11"/>
        <v>passed</v>
      </c>
      <c r="AK133" s="3">
        <f t="shared" si="12"/>
        <v>1</v>
      </c>
      <c r="AL133" s="3">
        <v>4.0430102531548169</v>
      </c>
      <c r="AM133" s="3">
        <v>0.63332146518492405</v>
      </c>
      <c r="AN133" s="3">
        <v>-6.2095396977994319</v>
      </c>
    </row>
    <row r="134" spans="1:40" x14ac:dyDescent="0.2">
      <c r="A134">
        <v>29063</v>
      </c>
      <c r="B134" s="1">
        <v>43390.810243055559</v>
      </c>
      <c r="C134" t="s">
        <v>3</v>
      </c>
      <c r="D134">
        <v>27</v>
      </c>
      <c r="E134">
        <v>4.6227201673578001E-2</v>
      </c>
      <c r="F134">
        <v>0.21138641886240001</v>
      </c>
      <c r="G134">
        <v>0.26718567421799</v>
      </c>
      <c r="H134">
        <v>1</v>
      </c>
      <c r="I134">
        <v>0</v>
      </c>
      <c r="J134">
        <v>1</v>
      </c>
      <c r="K134">
        <v>1</v>
      </c>
      <c r="L134">
        <v>0</v>
      </c>
      <c r="M134">
        <v>0</v>
      </c>
      <c r="N134">
        <v>0</v>
      </c>
      <c r="O134">
        <v>0</v>
      </c>
      <c r="P134">
        <v>0</v>
      </c>
      <c r="Q134">
        <v>2</v>
      </c>
      <c r="R134">
        <v>0</v>
      </c>
      <c r="S134">
        <v>0</v>
      </c>
      <c r="T134">
        <v>0</v>
      </c>
      <c r="U134">
        <v>0</v>
      </c>
      <c r="V134">
        <v>1</v>
      </c>
      <c r="W134">
        <v>0</v>
      </c>
      <c r="X134">
        <v>0</v>
      </c>
      <c r="Y134">
        <v>2</v>
      </c>
      <c r="Z134">
        <v>1</v>
      </c>
      <c r="AA134">
        <v>2</v>
      </c>
      <c r="AB134">
        <v>2</v>
      </c>
      <c r="AC134">
        <v>4</v>
      </c>
      <c r="AD134">
        <v>5</v>
      </c>
      <c r="AE134">
        <v>5</v>
      </c>
      <c r="AF134">
        <v>5</v>
      </c>
      <c r="AH134" s="6">
        <f t="shared" si="9"/>
        <v>4.6227201673578001E-2</v>
      </c>
      <c r="AI134" s="3">
        <f t="shared" si="10"/>
        <v>13</v>
      </c>
      <c r="AJ134" s="3" t="str">
        <f t="shared" si="11"/>
        <v>passed</v>
      </c>
      <c r="AK134" s="3">
        <f t="shared" si="12"/>
        <v>1</v>
      </c>
      <c r="AL134" s="3">
        <v>2.4841652562666412</v>
      </c>
      <c r="AM134" s="3">
        <v>0.4226665023809828</v>
      </c>
      <c r="AN134" s="3">
        <v>-5.7679944846813438</v>
      </c>
    </row>
    <row r="135" spans="1:40" x14ac:dyDescent="0.2">
      <c r="A135">
        <v>29207</v>
      </c>
      <c r="B135" s="1">
        <v>43391.78597222222</v>
      </c>
      <c r="C135" t="s">
        <v>3</v>
      </c>
      <c r="D135">
        <v>38</v>
      </c>
      <c r="E135">
        <v>3.8270311257256003E-2</v>
      </c>
      <c r="F135">
        <v>6.8587801694403996E-2</v>
      </c>
      <c r="G135">
        <v>9.1704369971728997E-2</v>
      </c>
      <c r="H135">
        <v>1</v>
      </c>
      <c r="I135">
        <v>1</v>
      </c>
      <c r="J135">
        <v>0</v>
      </c>
      <c r="K135">
        <v>0</v>
      </c>
      <c r="L135">
        <v>1</v>
      </c>
      <c r="M135">
        <v>1</v>
      </c>
      <c r="N135">
        <v>0</v>
      </c>
      <c r="O135">
        <v>0</v>
      </c>
      <c r="P135">
        <v>1</v>
      </c>
      <c r="Q135">
        <v>3</v>
      </c>
      <c r="R135">
        <v>1</v>
      </c>
      <c r="S135">
        <v>0</v>
      </c>
      <c r="T135">
        <v>0</v>
      </c>
      <c r="U135">
        <v>1</v>
      </c>
      <c r="V135">
        <v>1</v>
      </c>
      <c r="W135">
        <v>0</v>
      </c>
      <c r="X135">
        <v>0</v>
      </c>
      <c r="Y135">
        <v>1</v>
      </c>
      <c r="Z135">
        <v>3</v>
      </c>
      <c r="AA135">
        <v>3</v>
      </c>
      <c r="AB135">
        <v>1</v>
      </c>
      <c r="AC135">
        <v>5</v>
      </c>
      <c r="AD135">
        <v>5</v>
      </c>
      <c r="AE135">
        <v>5</v>
      </c>
      <c r="AF135">
        <v>5</v>
      </c>
      <c r="AG135" t="s">
        <v>25</v>
      </c>
      <c r="AH135" s="6">
        <f t="shared" si="9"/>
        <v>3.8270311257256003E-2</v>
      </c>
      <c r="AI135" s="3">
        <f t="shared" si="10"/>
        <v>13</v>
      </c>
      <c r="AJ135" s="3" t="str">
        <f t="shared" si="11"/>
        <v>passed</v>
      </c>
      <c r="AK135" s="3">
        <f t="shared" si="12"/>
        <v>1</v>
      </c>
      <c r="AL135" s="3">
        <v>0.58864649417970227</v>
      </c>
      <c r="AM135" s="3">
        <v>8.2896428221229945E-2</v>
      </c>
      <c r="AN135" s="3">
        <v>-6.639323246275799</v>
      </c>
    </row>
    <row r="136" spans="1:40" x14ac:dyDescent="0.2">
      <c r="A136">
        <v>29289</v>
      </c>
      <c r="B136" s="1">
        <v>43392.630219907405</v>
      </c>
      <c r="C136" t="s">
        <v>3</v>
      </c>
      <c r="D136">
        <v>20</v>
      </c>
      <c r="E136">
        <v>0.16443221818987999</v>
      </c>
      <c r="F136">
        <v>0.23228746468552999</v>
      </c>
      <c r="G136">
        <v>5.3345179830640001E-2</v>
      </c>
      <c r="H136">
        <v>1</v>
      </c>
      <c r="I136">
        <v>0</v>
      </c>
      <c r="J136">
        <v>1</v>
      </c>
      <c r="K136">
        <v>1</v>
      </c>
      <c r="L136">
        <v>1</v>
      </c>
      <c r="M136">
        <v>1</v>
      </c>
      <c r="N136">
        <v>1</v>
      </c>
      <c r="O136">
        <v>0</v>
      </c>
      <c r="P136">
        <v>0</v>
      </c>
      <c r="Q136">
        <v>2</v>
      </c>
      <c r="R136">
        <v>0</v>
      </c>
      <c r="S136">
        <v>1</v>
      </c>
      <c r="T136">
        <v>1</v>
      </c>
      <c r="U136">
        <v>0</v>
      </c>
      <c r="V136">
        <v>0</v>
      </c>
      <c r="W136">
        <v>1</v>
      </c>
      <c r="X136">
        <v>0</v>
      </c>
      <c r="Y136">
        <v>3</v>
      </c>
      <c r="Z136">
        <v>1</v>
      </c>
      <c r="AA136">
        <v>1</v>
      </c>
      <c r="AB136">
        <v>1</v>
      </c>
      <c r="AC136">
        <v>3</v>
      </c>
      <c r="AD136">
        <v>5</v>
      </c>
      <c r="AE136">
        <v>5</v>
      </c>
      <c r="AF136">
        <v>5</v>
      </c>
      <c r="AG136" t="s">
        <v>27</v>
      </c>
      <c r="AH136" s="6">
        <f t="shared" si="9"/>
        <v>0.16443221818987999</v>
      </c>
      <c r="AI136" s="3">
        <f t="shared" si="10"/>
        <v>13</v>
      </c>
      <c r="AJ136" s="3" t="str">
        <f t="shared" si="11"/>
        <v>passed</v>
      </c>
      <c r="AK136" s="3">
        <f t="shared" si="12"/>
        <v>1</v>
      </c>
      <c r="AL136" s="3">
        <v>0.90216162243606068</v>
      </c>
      <c r="AM136" s="3">
        <v>0.16776242295508259</v>
      </c>
      <c r="AN136" s="3">
        <v>-4.3974651250936336</v>
      </c>
    </row>
    <row r="137" spans="1:40" x14ac:dyDescent="0.2">
      <c r="A137">
        <v>29457</v>
      </c>
      <c r="B137" s="1">
        <v>43395.555289351854</v>
      </c>
      <c r="C137" t="s">
        <v>3</v>
      </c>
      <c r="D137">
        <v>23</v>
      </c>
      <c r="E137">
        <v>0.11328440923462001</v>
      </c>
      <c r="F137">
        <v>0.24892630087093001</v>
      </c>
      <c r="G137">
        <v>0.20500539823951999</v>
      </c>
      <c r="H137">
        <v>1</v>
      </c>
      <c r="I137">
        <v>1</v>
      </c>
      <c r="J137">
        <v>1</v>
      </c>
      <c r="K137">
        <v>1</v>
      </c>
      <c r="L137">
        <v>1</v>
      </c>
      <c r="M137">
        <v>1</v>
      </c>
      <c r="N137">
        <v>1</v>
      </c>
      <c r="O137">
        <v>1</v>
      </c>
      <c r="P137">
        <v>1</v>
      </c>
      <c r="Q137">
        <v>2</v>
      </c>
      <c r="R137">
        <v>0</v>
      </c>
      <c r="S137">
        <v>0</v>
      </c>
      <c r="T137">
        <v>1</v>
      </c>
      <c r="U137">
        <v>1</v>
      </c>
      <c r="V137">
        <v>1</v>
      </c>
      <c r="W137">
        <v>1</v>
      </c>
      <c r="X137">
        <v>0</v>
      </c>
      <c r="Y137">
        <v>1</v>
      </c>
      <c r="Z137">
        <v>1</v>
      </c>
      <c r="AA137">
        <v>1</v>
      </c>
      <c r="AB137">
        <v>1</v>
      </c>
      <c r="AC137">
        <v>4</v>
      </c>
      <c r="AD137">
        <v>4</v>
      </c>
      <c r="AE137">
        <v>4</v>
      </c>
      <c r="AF137">
        <v>4</v>
      </c>
      <c r="AH137" s="6">
        <f t="shared" si="9"/>
        <v>0.11328440923462001</v>
      </c>
      <c r="AI137" s="3">
        <f t="shared" si="10"/>
        <v>13</v>
      </c>
      <c r="AJ137" s="3" t="str">
        <f t="shared" si="11"/>
        <v>passed</v>
      </c>
      <c r="AK137" s="3">
        <f t="shared" si="12"/>
        <v>1</v>
      </c>
      <c r="AL137" s="3">
        <v>4.1871874042656181</v>
      </c>
      <c r="AM137" s="3">
        <v>0.70693437549181704</v>
      </c>
      <c r="AN137" s="3">
        <v>-5.7627739380996612</v>
      </c>
    </row>
    <row r="138" spans="1:40" x14ac:dyDescent="0.2">
      <c r="A138">
        <v>30679</v>
      </c>
      <c r="B138" s="1">
        <v>43413.549224537041</v>
      </c>
      <c r="C138" t="s">
        <v>3</v>
      </c>
      <c r="D138">
        <v>38</v>
      </c>
      <c r="E138">
        <v>9.9111030938275002E-2</v>
      </c>
      <c r="F138">
        <v>0.22337702755912001</v>
      </c>
      <c r="G138">
        <v>0.21260628230146</v>
      </c>
      <c r="H138">
        <v>1</v>
      </c>
      <c r="I138">
        <v>1</v>
      </c>
      <c r="J138">
        <v>1</v>
      </c>
      <c r="K138">
        <v>1</v>
      </c>
      <c r="L138">
        <v>1</v>
      </c>
      <c r="M138">
        <v>1</v>
      </c>
      <c r="N138">
        <v>1</v>
      </c>
      <c r="O138">
        <v>1</v>
      </c>
      <c r="P138">
        <v>0</v>
      </c>
      <c r="Q138">
        <v>2</v>
      </c>
      <c r="R138">
        <v>1</v>
      </c>
      <c r="S138">
        <v>1</v>
      </c>
      <c r="T138">
        <v>1</v>
      </c>
      <c r="U138">
        <v>1</v>
      </c>
      <c r="V138">
        <v>0</v>
      </c>
      <c r="W138">
        <v>1</v>
      </c>
      <c r="X138">
        <v>0</v>
      </c>
      <c r="Y138">
        <v>1</v>
      </c>
      <c r="Z138">
        <v>1</v>
      </c>
      <c r="AA138">
        <v>1</v>
      </c>
      <c r="AB138">
        <v>1</v>
      </c>
      <c r="AC138">
        <v>3</v>
      </c>
      <c r="AD138">
        <v>3</v>
      </c>
      <c r="AE138">
        <v>5</v>
      </c>
      <c r="AF138">
        <v>5</v>
      </c>
      <c r="AG138" t="s">
        <v>68</v>
      </c>
      <c r="AH138" s="6">
        <f t="shared" si="9"/>
        <v>9.9111030938275002E-2</v>
      </c>
      <c r="AI138" s="3">
        <f t="shared" si="10"/>
        <v>13</v>
      </c>
      <c r="AJ138" s="3" t="str">
        <f t="shared" si="11"/>
        <v>passed</v>
      </c>
      <c r="AK138" s="3">
        <f t="shared" si="12"/>
        <v>1</v>
      </c>
      <c r="AL138" s="3">
        <v>4.0549249069121043</v>
      </c>
      <c r="AM138" s="3">
        <v>0.64622215287111495</v>
      </c>
      <c r="AN138" s="3">
        <v>-6.1214457882609787</v>
      </c>
    </row>
    <row r="139" spans="1:40" x14ac:dyDescent="0.2">
      <c r="A139">
        <v>30799</v>
      </c>
      <c r="B139" s="1">
        <v>43414.992754629631</v>
      </c>
      <c r="C139" t="s">
        <v>2</v>
      </c>
      <c r="D139">
        <v>48</v>
      </c>
      <c r="E139">
        <v>0.20427349803726999</v>
      </c>
      <c r="F139">
        <v>5.2176190493086999E-2</v>
      </c>
      <c r="G139">
        <v>0.34032465948405</v>
      </c>
      <c r="H139">
        <v>1</v>
      </c>
      <c r="I139">
        <v>1</v>
      </c>
      <c r="J139">
        <v>1</v>
      </c>
      <c r="K139">
        <v>1</v>
      </c>
      <c r="L139">
        <v>1</v>
      </c>
      <c r="M139">
        <v>1</v>
      </c>
      <c r="N139">
        <v>1</v>
      </c>
      <c r="O139">
        <v>1</v>
      </c>
      <c r="P139">
        <v>1</v>
      </c>
      <c r="Q139">
        <v>1</v>
      </c>
      <c r="R139">
        <v>1</v>
      </c>
      <c r="S139">
        <v>1</v>
      </c>
      <c r="T139">
        <v>0</v>
      </c>
      <c r="U139">
        <v>0</v>
      </c>
      <c r="V139">
        <v>1</v>
      </c>
      <c r="W139">
        <v>0</v>
      </c>
      <c r="X139">
        <v>0</v>
      </c>
      <c r="Y139">
        <v>2</v>
      </c>
      <c r="Z139">
        <v>2</v>
      </c>
      <c r="AA139">
        <v>2</v>
      </c>
      <c r="AB139">
        <v>2</v>
      </c>
      <c r="AC139">
        <v>5</v>
      </c>
      <c r="AD139">
        <v>5</v>
      </c>
      <c r="AE139">
        <v>5</v>
      </c>
      <c r="AF139">
        <v>5</v>
      </c>
      <c r="AG139" t="s">
        <v>74</v>
      </c>
      <c r="AH139" s="6">
        <f t="shared" si="9"/>
        <v>0.20427349803726999</v>
      </c>
      <c r="AI139" s="3">
        <f t="shared" si="10"/>
        <v>13</v>
      </c>
      <c r="AJ139" s="3" t="str">
        <f t="shared" si="11"/>
        <v>passed</v>
      </c>
      <c r="AK139" s="3">
        <f t="shared" si="12"/>
        <v>1</v>
      </c>
      <c r="AL139" s="3">
        <v>1.103486074831818</v>
      </c>
      <c r="AM139" s="3">
        <v>0.24320612484842269</v>
      </c>
      <c r="AN139" s="3">
        <v>-3.6973270198477892</v>
      </c>
    </row>
    <row r="140" spans="1:40" x14ac:dyDescent="0.2">
      <c r="A140">
        <v>30937</v>
      </c>
      <c r="B140" s="1">
        <v>43417.538287037038</v>
      </c>
      <c r="C140" t="s">
        <v>3</v>
      </c>
      <c r="D140">
        <v>28</v>
      </c>
      <c r="E140">
        <v>0.23131181078242</v>
      </c>
      <c r="F140">
        <v>0.29141916528897999</v>
      </c>
      <c r="G140">
        <v>0.15526985735302001</v>
      </c>
      <c r="H140">
        <v>1</v>
      </c>
      <c r="I140">
        <v>1</v>
      </c>
      <c r="J140">
        <v>1</v>
      </c>
      <c r="K140">
        <v>1</v>
      </c>
      <c r="L140">
        <v>1</v>
      </c>
      <c r="M140">
        <v>1</v>
      </c>
      <c r="N140">
        <v>0</v>
      </c>
      <c r="O140">
        <v>0</v>
      </c>
      <c r="P140">
        <v>1</v>
      </c>
      <c r="Q140">
        <v>2</v>
      </c>
      <c r="R140">
        <v>0</v>
      </c>
      <c r="S140">
        <v>0</v>
      </c>
      <c r="T140">
        <v>1</v>
      </c>
      <c r="U140">
        <v>0</v>
      </c>
      <c r="V140">
        <v>0</v>
      </c>
      <c r="W140">
        <v>1</v>
      </c>
      <c r="X140">
        <v>0</v>
      </c>
      <c r="Y140">
        <v>4</v>
      </c>
      <c r="Z140">
        <v>1</v>
      </c>
      <c r="AA140">
        <v>1</v>
      </c>
      <c r="AB140">
        <v>1</v>
      </c>
      <c r="AC140">
        <v>4</v>
      </c>
      <c r="AD140">
        <v>5</v>
      </c>
      <c r="AE140">
        <v>5</v>
      </c>
      <c r="AF140">
        <v>5</v>
      </c>
      <c r="AH140" s="6">
        <f t="shared" si="9"/>
        <v>0.23131181078242</v>
      </c>
      <c r="AI140" s="3">
        <f t="shared" si="10"/>
        <v>13</v>
      </c>
      <c r="AJ140" s="3" t="str">
        <f t="shared" si="11"/>
        <v>passed</v>
      </c>
      <c r="AK140" s="3">
        <f t="shared" si="12"/>
        <v>1</v>
      </c>
      <c r="AL140" s="3">
        <v>3.3307243399151378</v>
      </c>
      <c r="AM140" s="3">
        <v>0.63593275766432644</v>
      </c>
      <c r="AN140" s="3">
        <v>-4.8738054326943789</v>
      </c>
    </row>
    <row r="141" spans="1:40" x14ac:dyDescent="0.2">
      <c r="A141">
        <v>31076</v>
      </c>
      <c r="B141" s="1">
        <v>43419.030995370369</v>
      </c>
      <c r="C141" t="s">
        <v>3</v>
      </c>
      <c r="D141">
        <v>49</v>
      </c>
      <c r="E141">
        <v>0.18790888495118999</v>
      </c>
      <c r="F141">
        <v>0.20178668562157001</v>
      </c>
      <c r="G141">
        <v>0.21844119432279999</v>
      </c>
      <c r="H141">
        <v>5</v>
      </c>
      <c r="I141">
        <v>1</v>
      </c>
      <c r="J141">
        <v>1</v>
      </c>
      <c r="K141">
        <v>1</v>
      </c>
      <c r="L141">
        <v>1</v>
      </c>
      <c r="M141">
        <v>1</v>
      </c>
      <c r="N141">
        <v>0</v>
      </c>
      <c r="O141">
        <v>0</v>
      </c>
      <c r="P141">
        <v>0</v>
      </c>
      <c r="Q141">
        <v>2</v>
      </c>
      <c r="R141">
        <v>0</v>
      </c>
      <c r="S141">
        <v>0</v>
      </c>
      <c r="T141">
        <v>0</v>
      </c>
      <c r="U141">
        <v>1</v>
      </c>
      <c r="V141">
        <v>1</v>
      </c>
      <c r="W141">
        <v>1</v>
      </c>
      <c r="X141">
        <v>0</v>
      </c>
      <c r="Y141">
        <v>1</v>
      </c>
      <c r="Z141">
        <v>1</v>
      </c>
      <c r="AA141">
        <v>1</v>
      </c>
      <c r="AB141">
        <v>1</v>
      </c>
      <c r="AC141">
        <v>5</v>
      </c>
      <c r="AD141">
        <v>5</v>
      </c>
      <c r="AE141">
        <v>5</v>
      </c>
      <c r="AF141">
        <v>5</v>
      </c>
      <c r="AG141" t="s">
        <v>80</v>
      </c>
      <c r="AH141" s="6">
        <f t="shared" si="9"/>
        <v>0.18790888495118999</v>
      </c>
      <c r="AI141" s="3">
        <f t="shared" si="10"/>
        <v>13</v>
      </c>
      <c r="AJ141" s="3" t="str">
        <f t="shared" si="11"/>
        <v>passed</v>
      </c>
      <c r="AK141" s="3">
        <f t="shared" si="12"/>
        <v>1</v>
      </c>
      <c r="AL141" s="3">
        <v>3.8689010153529209</v>
      </c>
      <c r="AM141" s="3">
        <v>0.63500294627821507</v>
      </c>
      <c r="AN141" s="3">
        <v>-5.7968111045408701</v>
      </c>
    </row>
    <row r="142" spans="1:40" x14ac:dyDescent="0.2">
      <c r="A142">
        <v>39188</v>
      </c>
      <c r="B142" s="1">
        <v>43597.990057870367</v>
      </c>
      <c r="C142" t="s">
        <v>3</v>
      </c>
      <c r="D142">
        <v>53</v>
      </c>
      <c r="E142">
        <v>0.26700142013016998</v>
      </c>
      <c r="F142">
        <v>0.17694737835266999</v>
      </c>
      <c r="G142">
        <v>0.17126341761349001</v>
      </c>
      <c r="H142">
        <v>1</v>
      </c>
      <c r="I142">
        <v>1</v>
      </c>
      <c r="J142">
        <v>1</v>
      </c>
      <c r="K142">
        <v>1</v>
      </c>
      <c r="L142">
        <v>0</v>
      </c>
      <c r="M142">
        <v>1</v>
      </c>
      <c r="N142">
        <v>0</v>
      </c>
      <c r="O142">
        <v>0</v>
      </c>
      <c r="P142">
        <v>0</v>
      </c>
      <c r="Q142">
        <v>2</v>
      </c>
      <c r="R142">
        <v>1</v>
      </c>
      <c r="S142">
        <v>0</v>
      </c>
      <c r="T142">
        <v>0</v>
      </c>
      <c r="U142">
        <v>1</v>
      </c>
      <c r="V142">
        <v>1</v>
      </c>
      <c r="W142">
        <v>0</v>
      </c>
      <c r="X142">
        <v>0</v>
      </c>
      <c r="Y142">
        <v>1</v>
      </c>
      <c r="Z142">
        <v>1</v>
      </c>
      <c r="AA142">
        <v>1</v>
      </c>
      <c r="AB142">
        <v>2</v>
      </c>
      <c r="AC142">
        <v>4</v>
      </c>
      <c r="AD142">
        <v>4</v>
      </c>
      <c r="AE142">
        <v>4</v>
      </c>
      <c r="AF142">
        <v>5</v>
      </c>
      <c r="AG142" t="s">
        <v>92</v>
      </c>
      <c r="AH142" s="6">
        <f t="shared" si="9"/>
        <v>0.26700142013016998</v>
      </c>
      <c r="AI142" s="3">
        <f t="shared" si="10"/>
        <v>13</v>
      </c>
      <c r="AJ142" s="3" t="str">
        <f t="shared" si="11"/>
        <v>passed</v>
      </c>
      <c r="AK142" s="3">
        <f t="shared" si="12"/>
        <v>1</v>
      </c>
      <c r="AL142" s="3">
        <v>2.5492341852924949</v>
      </c>
      <c r="AM142" s="3">
        <v>0.45382343990314072</v>
      </c>
      <c r="AN142" s="3">
        <v>-5.0289001503523574</v>
      </c>
    </row>
    <row r="143" spans="1:40" x14ac:dyDescent="0.2">
      <c r="A143">
        <v>39236</v>
      </c>
      <c r="B143" s="1">
        <v>43599.698240740741</v>
      </c>
      <c r="C143" t="s">
        <v>2</v>
      </c>
      <c r="D143">
        <v>32</v>
      </c>
      <c r="E143">
        <v>0.17226846674671001</v>
      </c>
      <c r="F143">
        <v>0.23293222462438001</v>
      </c>
      <c r="G143">
        <v>0.23197202852425999</v>
      </c>
      <c r="H143">
        <v>1</v>
      </c>
      <c r="I143">
        <v>1</v>
      </c>
      <c r="J143">
        <v>1</v>
      </c>
      <c r="K143">
        <v>1</v>
      </c>
      <c r="L143">
        <v>1</v>
      </c>
      <c r="M143">
        <v>1</v>
      </c>
      <c r="N143">
        <v>1</v>
      </c>
      <c r="O143">
        <v>1</v>
      </c>
      <c r="P143">
        <v>1</v>
      </c>
      <c r="Q143">
        <v>2</v>
      </c>
      <c r="R143">
        <v>1</v>
      </c>
      <c r="S143">
        <v>1</v>
      </c>
      <c r="T143">
        <v>1</v>
      </c>
      <c r="U143">
        <v>1</v>
      </c>
      <c r="V143">
        <v>0</v>
      </c>
      <c r="W143">
        <v>0</v>
      </c>
      <c r="X143">
        <v>0</v>
      </c>
      <c r="Y143">
        <v>1</v>
      </c>
      <c r="Z143">
        <v>1</v>
      </c>
      <c r="AA143">
        <v>1</v>
      </c>
      <c r="AB143">
        <v>1</v>
      </c>
      <c r="AC143">
        <v>1</v>
      </c>
      <c r="AD143">
        <v>5</v>
      </c>
      <c r="AE143">
        <v>5</v>
      </c>
      <c r="AF143">
        <v>5</v>
      </c>
      <c r="AH143" s="6">
        <f t="shared" si="9"/>
        <v>0.17226846674671001</v>
      </c>
      <c r="AI143" s="3">
        <f t="shared" si="10"/>
        <v>13</v>
      </c>
      <c r="AJ143" s="3" t="str">
        <f t="shared" si="11"/>
        <v>passed</v>
      </c>
      <c r="AK143" s="3">
        <f t="shared" si="12"/>
        <v>1</v>
      </c>
      <c r="AL143" s="3">
        <v>4.868102128119018</v>
      </c>
      <c r="AM143" s="3">
        <v>0.77097198016301183</v>
      </c>
      <c r="AN143" s="3">
        <v>-6.0907967892418542</v>
      </c>
    </row>
    <row r="144" spans="1:40" x14ac:dyDescent="0.2">
      <c r="A144">
        <v>53357</v>
      </c>
      <c r="B144" s="1">
        <v>43916.545694444445</v>
      </c>
      <c r="C144" t="s">
        <v>3</v>
      </c>
      <c r="D144">
        <v>40</v>
      </c>
      <c r="E144">
        <v>0.1293553880077</v>
      </c>
      <c r="F144">
        <v>0.20270151094151001</v>
      </c>
      <c r="G144">
        <v>0.27613086131482001</v>
      </c>
      <c r="H144">
        <v>1</v>
      </c>
      <c r="I144">
        <v>1</v>
      </c>
      <c r="J144">
        <v>1</v>
      </c>
      <c r="K144">
        <v>1</v>
      </c>
      <c r="L144">
        <v>0</v>
      </c>
      <c r="M144">
        <v>1</v>
      </c>
      <c r="N144">
        <v>1</v>
      </c>
      <c r="O144">
        <v>1</v>
      </c>
      <c r="P144">
        <v>1</v>
      </c>
      <c r="Q144">
        <v>2</v>
      </c>
      <c r="R144">
        <v>0</v>
      </c>
      <c r="S144">
        <v>0</v>
      </c>
      <c r="T144">
        <v>1</v>
      </c>
      <c r="U144">
        <v>1</v>
      </c>
      <c r="V144">
        <v>1</v>
      </c>
      <c r="W144">
        <v>0</v>
      </c>
      <c r="X144">
        <v>0</v>
      </c>
      <c r="Y144">
        <v>1</v>
      </c>
      <c r="Z144">
        <v>1</v>
      </c>
      <c r="AA144">
        <v>1</v>
      </c>
      <c r="AB144">
        <v>1</v>
      </c>
      <c r="AC144">
        <v>3</v>
      </c>
      <c r="AD144">
        <v>4</v>
      </c>
      <c r="AE144">
        <v>4</v>
      </c>
      <c r="AF144">
        <v>5</v>
      </c>
      <c r="AG144" t="s">
        <v>121</v>
      </c>
      <c r="AH144" s="6">
        <f t="shared" si="9"/>
        <v>0.1293553880077</v>
      </c>
      <c r="AI144" s="3">
        <f t="shared" si="10"/>
        <v>13</v>
      </c>
      <c r="AJ144" s="3" t="str">
        <f t="shared" si="11"/>
        <v>passed</v>
      </c>
      <c r="AK144" s="3">
        <f t="shared" si="12"/>
        <v>1</v>
      </c>
      <c r="AL144" s="3">
        <v>4.8882883974901556</v>
      </c>
      <c r="AM144" s="3">
        <v>0.72216317821604969</v>
      </c>
      <c r="AN144" s="3">
        <v>-6.589830599281429</v>
      </c>
    </row>
    <row r="145" spans="1:40" x14ac:dyDescent="0.2">
      <c r="A145">
        <v>53725</v>
      </c>
      <c r="B145" s="1">
        <v>43928.305787037039</v>
      </c>
      <c r="C145" t="s">
        <v>2</v>
      </c>
      <c r="D145">
        <v>34</v>
      </c>
      <c r="E145">
        <v>0.1196420425303</v>
      </c>
      <c r="F145">
        <v>0.21537427497344999</v>
      </c>
      <c r="G145">
        <v>0.23747225380445999</v>
      </c>
      <c r="H145">
        <v>1</v>
      </c>
      <c r="I145">
        <v>1</v>
      </c>
      <c r="J145">
        <v>1</v>
      </c>
      <c r="K145">
        <v>1</v>
      </c>
      <c r="L145">
        <v>1</v>
      </c>
      <c r="M145">
        <v>1</v>
      </c>
      <c r="N145">
        <v>0</v>
      </c>
      <c r="O145">
        <v>0</v>
      </c>
      <c r="P145">
        <v>0</v>
      </c>
      <c r="Q145">
        <v>2</v>
      </c>
      <c r="R145">
        <v>0</v>
      </c>
      <c r="S145">
        <v>0</v>
      </c>
      <c r="T145">
        <v>1</v>
      </c>
      <c r="U145">
        <v>0</v>
      </c>
      <c r="V145">
        <v>0</v>
      </c>
      <c r="W145">
        <v>1</v>
      </c>
      <c r="X145">
        <v>0</v>
      </c>
      <c r="Y145">
        <v>2</v>
      </c>
      <c r="Z145">
        <v>1</v>
      </c>
      <c r="AA145">
        <v>1</v>
      </c>
      <c r="AB145">
        <v>1</v>
      </c>
      <c r="AC145">
        <v>2</v>
      </c>
      <c r="AD145">
        <v>5</v>
      </c>
      <c r="AE145">
        <v>5</v>
      </c>
      <c r="AF145">
        <v>5</v>
      </c>
      <c r="AG145" t="s">
        <v>128</v>
      </c>
      <c r="AH145" s="6">
        <f t="shared" si="9"/>
        <v>0.1196420425303</v>
      </c>
      <c r="AI145" s="3">
        <f t="shared" si="10"/>
        <v>13</v>
      </c>
      <c r="AJ145" s="3" t="str">
        <f t="shared" si="11"/>
        <v>passed</v>
      </c>
      <c r="AK145" s="3">
        <f t="shared" si="12"/>
        <v>1</v>
      </c>
      <c r="AL145" s="3">
        <v>4.5033997058935338</v>
      </c>
      <c r="AM145" s="3">
        <v>0.72805733201741574</v>
      </c>
      <c r="AN145" s="3">
        <v>-6.0211709580838004</v>
      </c>
    </row>
    <row r="146" spans="1:40" x14ac:dyDescent="0.2">
      <c r="A146">
        <v>53730</v>
      </c>
      <c r="B146" s="1">
        <v>43928.430578703701</v>
      </c>
      <c r="C146" t="s">
        <v>2</v>
      </c>
      <c r="D146">
        <v>36</v>
      </c>
      <c r="E146">
        <v>0.19753100856780001</v>
      </c>
      <c r="F146">
        <v>0.31283928472179001</v>
      </c>
      <c r="G146">
        <v>0.1182620816041</v>
      </c>
      <c r="H146">
        <v>1</v>
      </c>
      <c r="I146">
        <v>1</v>
      </c>
      <c r="J146">
        <v>1</v>
      </c>
      <c r="K146">
        <v>1</v>
      </c>
      <c r="L146">
        <v>1</v>
      </c>
      <c r="M146">
        <v>1</v>
      </c>
      <c r="N146">
        <v>0</v>
      </c>
      <c r="O146">
        <v>1</v>
      </c>
      <c r="P146">
        <v>0</v>
      </c>
      <c r="Q146">
        <v>3</v>
      </c>
      <c r="R146">
        <v>0</v>
      </c>
      <c r="S146">
        <v>0</v>
      </c>
      <c r="T146">
        <v>1</v>
      </c>
      <c r="U146">
        <v>0</v>
      </c>
      <c r="V146">
        <v>0</v>
      </c>
      <c r="W146">
        <v>0</v>
      </c>
      <c r="X146">
        <v>0</v>
      </c>
      <c r="Y146">
        <v>2</v>
      </c>
      <c r="Z146">
        <v>1</v>
      </c>
      <c r="AA146">
        <v>1</v>
      </c>
      <c r="AB146">
        <v>1</v>
      </c>
      <c r="AC146">
        <v>4</v>
      </c>
      <c r="AD146">
        <v>5</v>
      </c>
      <c r="AE146">
        <v>4</v>
      </c>
      <c r="AF146">
        <v>4</v>
      </c>
      <c r="AG146" t="s">
        <v>130</v>
      </c>
      <c r="AH146" s="6">
        <f t="shared" si="9"/>
        <v>0.19753100856780001</v>
      </c>
      <c r="AI146" s="3">
        <f t="shared" si="10"/>
        <v>13</v>
      </c>
      <c r="AJ146" s="3" t="str">
        <f t="shared" si="11"/>
        <v>passed</v>
      </c>
      <c r="AK146" s="3">
        <f t="shared" si="12"/>
        <v>1</v>
      </c>
      <c r="AL146" s="3">
        <v>2.1611243699021929</v>
      </c>
      <c r="AM146" s="3">
        <v>0.53473120187559153</v>
      </c>
      <c r="AN146" s="3">
        <v>-3.6721129315944361</v>
      </c>
    </row>
    <row r="147" spans="1:40" x14ac:dyDescent="0.2">
      <c r="A147">
        <v>59738</v>
      </c>
      <c r="B147" s="1">
        <v>44221.587071759262</v>
      </c>
      <c r="C147" t="s">
        <v>3</v>
      </c>
      <c r="D147">
        <v>39</v>
      </c>
      <c r="E147">
        <v>0.12804166963215999</v>
      </c>
      <c r="F147">
        <v>0.32112222681227998</v>
      </c>
      <c r="G147">
        <v>4.5524534946388001E-2</v>
      </c>
      <c r="H147">
        <v>1</v>
      </c>
      <c r="I147">
        <v>1</v>
      </c>
      <c r="J147">
        <v>1</v>
      </c>
      <c r="K147">
        <v>1</v>
      </c>
      <c r="L147">
        <v>1</v>
      </c>
      <c r="M147">
        <v>0</v>
      </c>
      <c r="N147">
        <v>1</v>
      </c>
      <c r="O147">
        <v>1</v>
      </c>
      <c r="P147">
        <v>1</v>
      </c>
      <c r="Q147">
        <v>2</v>
      </c>
      <c r="R147">
        <v>0</v>
      </c>
      <c r="S147">
        <v>0</v>
      </c>
      <c r="T147">
        <v>1</v>
      </c>
      <c r="U147">
        <v>0</v>
      </c>
      <c r="V147">
        <v>0</v>
      </c>
      <c r="W147">
        <v>1</v>
      </c>
      <c r="X147">
        <v>0</v>
      </c>
      <c r="Y147">
        <v>2</v>
      </c>
      <c r="Z147">
        <v>1</v>
      </c>
      <c r="AA147">
        <v>1</v>
      </c>
      <c r="AB147">
        <v>1</v>
      </c>
      <c r="AC147">
        <v>2</v>
      </c>
      <c r="AD147">
        <v>5</v>
      </c>
      <c r="AE147">
        <v>5</v>
      </c>
      <c r="AF147">
        <v>5</v>
      </c>
      <c r="AH147" s="6">
        <f t="shared" si="9"/>
        <v>0.12804166963215999</v>
      </c>
      <c r="AI147" s="3">
        <f t="shared" si="10"/>
        <v>13</v>
      </c>
      <c r="AJ147" s="3" t="str">
        <f t="shared" si="11"/>
        <v>passed</v>
      </c>
      <c r="AK147" s="3">
        <f t="shared" si="12"/>
        <v>1</v>
      </c>
      <c r="AL147" s="3">
        <v>0.70038130315647129</v>
      </c>
      <c r="AM147" s="3">
        <v>0.20301749628822291</v>
      </c>
      <c r="AN147" s="3">
        <v>-2.8191640818570809</v>
      </c>
    </row>
    <row r="148" spans="1:40" x14ac:dyDescent="0.2">
      <c r="A148">
        <v>59830</v>
      </c>
      <c r="B148" s="1">
        <v>44222.543796296297</v>
      </c>
      <c r="C148" t="s">
        <v>3</v>
      </c>
      <c r="D148">
        <v>84</v>
      </c>
      <c r="E148">
        <v>0.21416145930554001</v>
      </c>
      <c r="F148">
        <v>0.18839704212551001</v>
      </c>
      <c r="G148">
        <v>0.29584252324141003</v>
      </c>
      <c r="H148">
        <v>1</v>
      </c>
      <c r="I148">
        <v>1</v>
      </c>
      <c r="J148">
        <v>1</v>
      </c>
      <c r="K148">
        <v>1</v>
      </c>
      <c r="L148">
        <v>1</v>
      </c>
      <c r="M148">
        <v>1</v>
      </c>
      <c r="N148">
        <v>0</v>
      </c>
      <c r="O148">
        <v>0</v>
      </c>
      <c r="P148">
        <v>0</v>
      </c>
      <c r="Q148">
        <v>1</v>
      </c>
      <c r="R148">
        <v>0</v>
      </c>
      <c r="S148">
        <v>0</v>
      </c>
      <c r="T148">
        <v>0</v>
      </c>
      <c r="U148">
        <v>0</v>
      </c>
      <c r="V148">
        <v>1</v>
      </c>
      <c r="W148">
        <v>0</v>
      </c>
      <c r="X148">
        <v>0</v>
      </c>
      <c r="Y148">
        <v>1</v>
      </c>
      <c r="Z148">
        <v>1</v>
      </c>
      <c r="AA148">
        <v>1</v>
      </c>
      <c r="AB148">
        <v>1</v>
      </c>
      <c r="AC148">
        <v>5</v>
      </c>
      <c r="AD148">
        <v>5</v>
      </c>
      <c r="AE148">
        <v>5</v>
      </c>
      <c r="AF148">
        <v>1</v>
      </c>
      <c r="AG148" t="s">
        <v>152</v>
      </c>
      <c r="AH148" s="6">
        <f t="shared" si="9"/>
        <v>0.21416145930554001</v>
      </c>
      <c r="AI148" s="3">
        <f t="shared" si="10"/>
        <v>13</v>
      </c>
      <c r="AJ148" s="3" t="str">
        <f t="shared" si="11"/>
        <v>passed</v>
      </c>
      <c r="AK148" s="3">
        <f t="shared" si="12"/>
        <v>1</v>
      </c>
      <c r="AL148" s="3">
        <v>4.6308628725920729</v>
      </c>
      <c r="AM148" s="3">
        <v>0.7547356851394561</v>
      </c>
      <c r="AN148" s="3">
        <v>-5.8519843439898276</v>
      </c>
    </row>
    <row r="149" spans="1:40" x14ac:dyDescent="0.2">
      <c r="A149">
        <v>29043</v>
      </c>
      <c r="B149" s="1">
        <v>43390.728622685187</v>
      </c>
      <c r="C149" t="s">
        <v>3</v>
      </c>
      <c r="D149">
        <v>20</v>
      </c>
      <c r="E149">
        <v>0.15145913967051</v>
      </c>
      <c r="F149">
        <v>0.30287783153702003</v>
      </c>
      <c r="G149">
        <v>2.5967828433472E-2</v>
      </c>
      <c r="H149">
        <v>2</v>
      </c>
      <c r="I149">
        <v>1</v>
      </c>
      <c r="J149">
        <v>1</v>
      </c>
      <c r="K149">
        <v>1</v>
      </c>
      <c r="L149">
        <v>1</v>
      </c>
      <c r="M149">
        <v>1</v>
      </c>
      <c r="N149">
        <v>0</v>
      </c>
      <c r="O149">
        <v>0</v>
      </c>
      <c r="P149">
        <v>0</v>
      </c>
      <c r="Q149">
        <v>2</v>
      </c>
      <c r="R149">
        <v>0</v>
      </c>
      <c r="S149">
        <v>0</v>
      </c>
      <c r="T149">
        <v>1</v>
      </c>
      <c r="U149">
        <v>0</v>
      </c>
      <c r="V149">
        <v>0</v>
      </c>
      <c r="W149">
        <v>1</v>
      </c>
      <c r="X149">
        <v>0</v>
      </c>
      <c r="Y149">
        <v>2</v>
      </c>
      <c r="Z149">
        <v>2</v>
      </c>
      <c r="AA149">
        <v>2</v>
      </c>
      <c r="AB149">
        <v>2</v>
      </c>
      <c r="AC149">
        <v>5</v>
      </c>
      <c r="AD149">
        <v>5</v>
      </c>
      <c r="AE149">
        <v>5</v>
      </c>
      <c r="AF149">
        <v>5</v>
      </c>
      <c r="AH149" s="6">
        <f t="shared" si="9"/>
        <v>0.15145913967051</v>
      </c>
      <c r="AI149" s="3">
        <f t="shared" si="10"/>
        <v>14</v>
      </c>
      <c r="AJ149" s="3" t="str">
        <f t="shared" si="11"/>
        <v>passed</v>
      </c>
      <c r="AK149" s="3">
        <f t="shared" si="12"/>
        <v>1</v>
      </c>
      <c r="AL149" s="3">
        <v>0.69908203588118767</v>
      </c>
      <c r="AM149" s="3">
        <v>0.1089962429707383</v>
      </c>
      <c r="AN149" s="3">
        <v>-5.0242364441652532</v>
      </c>
    </row>
    <row r="150" spans="1:40" x14ac:dyDescent="0.2">
      <c r="A150">
        <v>29151</v>
      </c>
      <c r="B150" s="1">
        <v>43391.637083333335</v>
      </c>
      <c r="C150" t="s">
        <v>3</v>
      </c>
      <c r="D150">
        <v>26</v>
      </c>
      <c r="E150">
        <v>1.6617540237197002E-2</v>
      </c>
      <c r="F150">
        <v>0.15080889435606001</v>
      </c>
      <c r="G150">
        <v>0.37631337328467002</v>
      </c>
      <c r="H150">
        <v>1</v>
      </c>
      <c r="I150">
        <v>1</v>
      </c>
      <c r="J150">
        <v>1</v>
      </c>
      <c r="K150">
        <v>1</v>
      </c>
      <c r="L150">
        <v>1</v>
      </c>
      <c r="M150">
        <v>1</v>
      </c>
      <c r="N150">
        <v>1</v>
      </c>
      <c r="O150">
        <v>1</v>
      </c>
      <c r="P150">
        <v>1</v>
      </c>
      <c r="Q150">
        <v>2</v>
      </c>
      <c r="R150">
        <v>1</v>
      </c>
      <c r="S150">
        <v>0</v>
      </c>
      <c r="T150">
        <v>1</v>
      </c>
      <c r="U150">
        <v>0</v>
      </c>
      <c r="V150">
        <v>1</v>
      </c>
      <c r="W150">
        <v>1</v>
      </c>
      <c r="X150">
        <v>0</v>
      </c>
      <c r="Y150">
        <v>1</v>
      </c>
      <c r="Z150">
        <v>2</v>
      </c>
      <c r="AA150">
        <v>1</v>
      </c>
      <c r="AB150">
        <v>1</v>
      </c>
      <c r="AC150">
        <v>4</v>
      </c>
      <c r="AD150">
        <v>4</v>
      </c>
      <c r="AE150">
        <v>4</v>
      </c>
      <c r="AF150">
        <v>4</v>
      </c>
      <c r="AG150" t="s">
        <v>18</v>
      </c>
      <c r="AH150" s="6">
        <f t="shared" si="9"/>
        <v>1.6617540237197002E-2</v>
      </c>
      <c r="AI150" s="3">
        <f t="shared" si="10"/>
        <v>14</v>
      </c>
      <c r="AJ150" s="3" t="str">
        <f t="shared" si="11"/>
        <v>passed</v>
      </c>
      <c r="AK150" s="3">
        <f t="shared" si="12"/>
        <v>1</v>
      </c>
      <c r="AL150" s="3">
        <v>5.0666912168262783</v>
      </c>
      <c r="AM150" s="3">
        <v>0.8410638523189371</v>
      </c>
      <c r="AN150" s="3">
        <v>-6.0043879696711313</v>
      </c>
    </row>
    <row r="151" spans="1:40" x14ac:dyDescent="0.2">
      <c r="A151">
        <v>29216</v>
      </c>
      <c r="B151" s="1">
        <v>43391.818055555559</v>
      </c>
      <c r="C151" t="s">
        <v>3</v>
      </c>
      <c r="D151">
        <v>29</v>
      </c>
      <c r="E151">
        <v>0.28552707770104002</v>
      </c>
      <c r="F151">
        <v>0.16210926551564001</v>
      </c>
      <c r="G151">
        <v>0.18985478899592001</v>
      </c>
      <c r="H151">
        <v>1</v>
      </c>
      <c r="I151">
        <v>0</v>
      </c>
      <c r="J151">
        <v>1</v>
      </c>
      <c r="K151">
        <v>1</v>
      </c>
      <c r="L151">
        <v>1</v>
      </c>
      <c r="M151">
        <v>0</v>
      </c>
      <c r="N151">
        <v>0</v>
      </c>
      <c r="O151">
        <v>0</v>
      </c>
      <c r="P151">
        <v>0</v>
      </c>
      <c r="Q151">
        <v>2</v>
      </c>
      <c r="R151">
        <v>1</v>
      </c>
      <c r="S151">
        <v>0</v>
      </c>
      <c r="T151">
        <v>0</v>
      </c>
      <c r="U151">
        <v>1</v>
      </c>
      <c r="V151">
        <v>1</v>
      </c>
      <c r="W151">
        <v>1</v>
      </c>
      <c r="X151">
        <v>0</v>
      </c>
      <c r="Y151">
        <v>2</v>
      </c>
      <c r="Z151">
        <v>1</v>
      </c>
      <c r="AA151">
        <v>1</v>
      </c>
      <c r="AB151">
        <v>2</v>
      </c>
      <c r="AC151">
        <v>3</v>
      </c>
      <c r="AD151">
        <v>5</v>
      </c>
      <c r="AE151">
        <v>5</v>
      </c>
      <c r="AF151">
        <v>4</v>
      </c>
      <c r="AH151" s="6">
        <f t="shared" si="9"/>
        <v>0.28552707770104002</v>
      </c>
      <c r="AI151" s="3">
        <f t="shared" si="10"/>
        <v>14</v>
      </c>
      <c r="AJ151" s="3" t="str">
        <f t="shared" si="11"/>
        <v>passed</v>
      </c>
      <c r="AK151" s="3">
        <f t="shared" si="12"/>
        <v>1</v>
      </c>
      <c r="AL151" s="3">
        <v>2.6437063180334159</v>
      </c>
      <c r="AM151" s="3">
        <v>0.39514737770510122</v>
      </c>
      <c r="AN151" s="3">
        <v>-5.9678473738785334</v>
      </c>
    </row>
    <row r="152" spans="1:40" x14ac:dyDescent="0.2">
      <c r="A152">
        <v>29291</v>
      </c>
      <c r="B152" s="1">
        <v>43392.639606481483</v>
      </c>
      <c r="C152" t="s">
        <v>3</v>
      </c>
      <c r="D152">
        <v>51</v>
      </c>
      <c r="E152">
        <v>7.4290646900423002E-2</v>
      </c>
      <c r="F152">
        <v>0.12186584303744</v>
      </c>
      <c r="G152">
        <v>0.25349050613100998</v>
      </c>
      <c r="H152">
        <v>1</v>
      </c>
      <c r="I152">
        <v>1</v>
      </c>
      <c r="J152">
        <v>1</v>
      </c>
      <c r="K152">
        <v>1</v>
      </c>
      <c r="L152">
        <v>1</v>
      </c>
      <c r="M152">
        <v>1</v>
      </c>
      <c r="N152">
        <v>1</v>
      </c>
      <c r="O152">
        <v>1</v>
      </c>
      <c r="P152">
        <v>1</v>
      </c>
      <c r="Q152">
        <v>2</v>
      </c>
      <c r="R152">
        <v>0</v>
      </c>
      <c r="S152">
        <v>0</v>
      </c>
      <c r="T152">
        <v>0</v>
      </c>
      <c r="U152">
        <v>1</v>
      </c>
      <c r="V152">
        <v>1</v>
      </c>
      <c r="W152">
        <v>0</v>
      </c>
      <c r="X152">
        <v>0</v>
      </c>
      <c r="Y152">
        <v>1</v>
      </c>
      <c r="Z152">
        <v>1</v>
      </c>
      <c r="AA152">
        <v>1</v>
      </c>
      <c r="AB152">
        <v>1</v>
      </c>
      <c r="AC152">
        <v>4</v>
      </c>
      <c r="AD152">
        <v>4</v>
      </c>
      <c r="AE152">
        <v>4</v>
      </c>
      <c r="AF152">
        <v>3</v>
      </c>
      <c r="AG152" t="s">
        <v>28</v>
      </c>
      <c r="AH152" s="6">
        <f t="shared" si="9"/>
        <v>7.4290646900423002E-2</v>
      </c>
      <c r="AI152" s="3">
        <f t="shared" si="10"/>
        <v>14</v>
      </c>
      <c r="AJ152" s="3" t="str">
        <f t="shared" si="11"/>
        <v>passed</v>
      </c>
      <c r="AK152" s="3">
        <f t="shared" si="12"/>
        <v>1</v>
      </c>
      <c r="AL152" s="3">
        <v>2.6273035793581658</v>
      </c>
      <c r="AM152" s="3">
        <v>0.40331460122710078</v>
      </c>
      <c r="AN152" s="3">
        <v>-6.3300781193889328</v>
      </c>
    </row>
    <row r="153" spans="1:40" x14ac:dyDescent="0.2">
      <c r="A153">
        <v>29346</v>
      </c>
      <c r="B153" s="1">
        <v>43393.497615740744</v>
      </c>
      <c r="C153" t="s">
        <v>3</v>
      </c>
      <c r="D153">
        <v>36</v>
      </c>
      <c r="E153">
        <v>5.9976015752694997E-2</v>
      </c>
      <c r="F153">
        <v>0.34968727528116</v>
      </c>
      <c r="G153">
        <v>0.12051776555817</v>
      </c>
      <c r="H153">
        <v>1</v>
      </c>
      <c r="I153">
        <v>0</v>
      </c>
      <c r="J153">
        <v>1</v>
      </c>
      <c r="K153">
        <v>1</v>
      </c>
      <c r="L153">
        <v>1</v>
      </c>
      <c r="M153">
        <v>1</v>
      </c>
      <c r="N153">
        <v>1</v>
      </c>
      <c r="O153">
        <v>0</v>
      </c>
      <c r="P153">
        <v>0</v>
      </c>
      <c r="Q153">
        <v>1</v>
      </c>
      <c r="R153">
        <v>1</v>
      </c>
      <c r="S153">
        <v>1</v>
      </c>
      <c r="T153">
        <v>1</v>
      </c>
      <c r="U153">
        <v>1</v>
      </c>
      <c r="V153">
        <v>1</v>
      </c>
      <c r="W153">
        <v>1</v>
      </c>
      <c r="X153">
        <v>0</v>
      </c>
      <c r="Y153">
        <v>3</v>
      </c>
      <c r="Z153">
        <v>1</v>
      </c>
      <c r="AA153">
        <v>1</v>
      </c>
      <c r="AB153">
        <v>1</v>
      </c>
      <c r="AC153">
        <v>2</v>
      </c>
      <c r="AD153">
        <v>5</v>
      </c>
      <c r="AE153">
        <v>5</v>
      </c>
      <c r="AF153">
        <v>5</v>
      </c>
      <c r="AG153" t="s">
        <v>34</v>
      </c>
      <c r="AH153" s="6">
        <f t="shared" si="9"/>
        <v>5.9976015752694997E-2</v>
      </c>
      <c r="AI153" s="3">
        <f t="shared" si="10"/>
        <v>14</v>
      </c>
      <c r="AJ153" s="3" t="str">
        <f t="shared" si="11"/>
        <v>passed</v>
      </c>
      <c r="AK153" s="3">
        <f t="shared" si="12"/>
        <v>1</v>
      </c>
      <c r="AL153" s="3">
        <v>3.499085466193387</v>
      </c>
      <c r="AM153" s="3">
        <v>0.60954833722246116</v>
      </c>
      <c r="AN153" s="3">
        <v>-5.64206190129521</v>
      </c>
    </row>
    <row r="154" spans="1:40" x14ac:dyDescent="0.2">
      <c r="A154">
        <v>29403</v>
      </c>
      <c r="B154" s="1">
        <v>43394.634375000001</v>
      </c>
      <c r="C154" t="s">
        <v>3</v>
      </c>
      <c r="D154">
        <v>35</v>
      </c>
      <c r="E154">
        <v>0.26621601497852998</v>
      </c>
      <c r="F154">
        <v>0.27463462673569</v>
      </c>
      <c r="G154">
        <v>0.22444864618586</v>
      </c>
      <c r="H154">
        <v>1</v>
      </c>
      <c r="I154">
        <v>1</v>
      </c>
      <c r="J154">
        <v>1</v>
      </c>
      <c r="K154">
        <v>1</v>
      </c>
      <c r="L154">
        <v>0</v>
      </c>
      <c r="M154">
        <v>1</v>
      </c>
      <c r="N154">
        <v>1</v>
      </c>
      <c r="O154">
        <v>1</v>
      </c>
      <c r="P154">
        <v>1</v>
      </c>
      <c r="Q154">
        <v>1</v>
      </c>
      <c r="R154">
        <v>0</v>
      </c>
      <c r="S154">
        <v>1</v>
      </c>
      <c r="T154">
        <v>1</v>
      </c>
      <c r="U154">
        <v>1</v>
      </c>
      <c r="V154">
        <v>0</v>
      </c>
      <c r="W154">
        <v>1</v>
      </c>
      <c r="X154">
        <v>0</v>
      </c>
      <c r="Y154">
        <v>1</v>
      </c>
      <c r="Z154">
        <v>1</v>
      </c>
      <c r="AA154">
        <v>1</v>
      </c>
      <c r="AB154">
        <v>3</v>
      </c>
      <c r="AC154">
        <v>4</v>
      </c>
      <c r="AD154">
        <v>4</v>
      </c>
      <c r="AE154">
        <v>5</v>
      </c>
      <c r="AF154">
        <v>4</v>
      </c>
      <c r="AG154" t="s">
        <v>38</v>
      </c>
      <c r="AH154" s="6">
        <f t="shared" si="9"/>
        <v>0.26621601497852998</v>
      </c>
      <c r="AI154" s="3">
        <f t="shared" si="10"/>
        <v>14</v>
      </c>
      <c r="AJ154" s="3" t="str">
        <f t="shared" si="11"/>
        <v>passed</v>
      </c>
      <c r="AK154" s="3">
        <f t="shared" si="12"/>
        <v>1</v>
      </c>
      <c r="AL154" s="3">
        <v>5.4885289094213459</v>
      </c>
      <c r="AM154" s="3">
        <v>0.88830603679899489</v>
      </c>
      <c r="AN154" s="3">
        <v>-5.8789568888458579</v>
      </c>
    </row>
    <row r="155" spans="1:40" x14ac:dyDescent="0.2">
      <c r="A155">
        <v>29514</v>
      </c>
      <c r="B155" s="1">
        <v>43396.49423611111</v>
      </c>
      <c r="C155" t="s">
        <v>3</v>
      </c>
      <c r="D155">
        <v>38</v>
      </c>
      <c r="E155">
        <v>1.2468013207092E-2</v>
      </c>
      <c r="F155">
        <v>0.30233991288239997</v>
      </c>
      <c r="G155">
        <v>6.6012098594305998E-3</v>
      </c>
      <c r="H155">
        <v>2</v>
      </c>
      <c r="I155">
        <v>1</v>
      </c>
      <c r="J155">
        <v>1</v>
      </c>
      <c r="K155">
        <v>1</v>
      </c>
      <c r="L155">
        <v>1</v>
      </c>
      <c r="M155">
        <v>1</v>
      </c>
      <c r="N155">
        <v>0</v>
      </c>
      <c r="O155">
        <v>0</v>
      </c>
      <c r="P155">
        <v>0</v>
      </c>
      <c r="Q155">
        <v>2</v>
      </c>
      <c r="R155">
        <v>1</v>
      </c>
      <c r="S155">
        <v>0</v>
      </c>
      <c r="T155">
        <v>1</v>
      </c>
      <c r="U155">
        <v>1</v>
      </c>
      <c r="V155">
        <v>0</v>
      </c>
      <c r="W155">
        <v>0</v>
      </c>
      <c r="X155">
        <v>0</v>
      </c>
      <c r="Y155">
        <v>2</v>
      </c>
      <c r="Z155">
        <v>2</v>
      </c>
      <c r="AA155">
        <v>2</v>
      </c>
      <c r="AB155">
        <v>2</v>
      </c>
      <c r="AC155">
        <v>5</v>
      </c>
      <c r="AD155">
        <v>5</v>
      </c>
      <c r="AE155">
        <v>5</v>
      </c>
      <c r="AF155">
        <v>5</v>
      </c>
      <c r="AH155" s="6">
        <f t="shared" si="9"/>
        <v>1.2468013207092E-2</v>
      </c>
      <c r="AI155" s="3">
        <f t="shared" si="10"/>
        <v>14</v>
      </c>
      <c r="AJ155" s="3" t="str">
        <f t="shared" si="11"/>
        <v>passed</v>
      </c>
      <c r="AK155" s="3">
        <f t="shared" si="12"/>
        <v>1</v>
      </c>
      <c r="AL155" s="3">
        <v>0.17383423138787071</v>
      </c>
      <c r="AM155" s="3">
        <v>2.646536850605568E-2</v>
      </c>
      <c r="AN155" s="3">
        <v>-6.0972594484696394</v>
      </c>
    </row>
    <row r="156" spans="1:40" x14ac:dyDescent="0.2">
      <c r="A156">
        <v>29578</v>
      </c>
      <c r="B156" s="1">
        <v>43397.037847222222</v>
      </c>
      <c r="C156" t="s">
        <v>3</v>
      </c>
      <c r="D156">
        <v>29</v>
      </c>
      <c r="E156">
        <v>0.17117066741475001</v>
      </c>
      <c r="F156">
        <v>0.19440161283497001</v>
      </c>
      <c r="G156">
        <v>0.25245657710949998</v>
      </c>
      <c r="H156">
        <v>1</v>
      </c>
      <c r="I156">
        <v>1</v>
      </c>
      <c r="J156">
        <v>1</v>
      </c>
      <c r="K156">
        <v>1</v>
      </c>
      <c r="L156">
        <v>1</v>
      </c>
      <c r="M156">
        <v>1</v>
      </c>
      <c r="N156">
        <v>1</v>
      </c>
      <c r="O156">
        <v>0</v>
      </c>
      <c r="P156">
        <v>1</v>
      </c>
      <c r="Q156">
        <v>2</v>
      </c>
      <c r="R156">
        <v>1</v>
      </c>
      <c r="S156">
        <v>0</v>
      </c>
      <c r="T156">
        <v>0</v>
      </c>
      <c r="U156">
        <v>1</v>
      </c>
      <c r="V156">
        <v>1</v>
      </c>
      <c r="W156">
        <v>1</v>
      </c>
      <c r="X156">
        <v>0</v>
      </c>
      <c r="Y156">
        <v>1</v>
      </c>
      <c r="Z156">
        <v>1</v>
      </c>
      <c r="AA156">
        <v>1</v>
      </c>
      <c r="AB156">
        <v>1</v>
      </c>
      <c r="AC156">
        <v>3</v>
      </c>
      <c r="AD156">
        <v>4</v>
      </c>
      <c r="AE156">
        <v>4</v>
      </c>
      <c r="AF156">
        <v>4</v>
      </c>
      <c r="AG156" t="s">
        <v>49</v>
      </c>
      <c r="AH156" s="6">
        <f t="shared" si="9"/>
        <v>0.17117066741475001</v>
      </c>
      <c r="AI156" s="3">
        <f t="shared" si="10"/>
        <v>14</v>
      </c>
      <c r="AJ156" s="3" t="str">
        <f t="shared" si="11"/>
        <v>passed</v>
      </c>
      <c r="AK156" s="3">
        <f t="shared" si="12"/>
        <v>1</v>
      </c>
      <c r="AL156" s="3">
        <v>4.2270448390855142</v>
      </c>
      <c r="AM156" s="3">
        <v>0.61464919972185705</v>
      </c>
      <c r="AN156" s="3">
        <v>-6.598681286018329</v>
      </c>
    </row>
    <row r="157" spans="1:40" x14ac:dyDescent="0.2">
      <c r="A157">
        <v>29696</v>
      </c>
      <c r="B157" s="1">
        <v>43397.894826388889</v>
      </c>
      <c r="C157" t="s">
        <v>3</v>
      </c>
      <c r="D157">
        <v>30</v>
      </c>
      <c r="E157">
        <v>1.2669594691405E-2</v>
      </c>
      <c r="F157">
        <v>6.0260118667449E-2</v>
      </c>
      <c r="G157">
        <v>6.9728520764157004E-2</v>
      </c>
      <c r="H157">
        <v>1</v>
      </c>
      <c r="I157">
        <v>0</v>
      </c>
      <c r="J157">
        <v>1</v>
      </c>
      <c r="K157">
        <v>1</v>
      </c>
      <c r="L157">
        <v>1</v>
      </c>
      <c r="M157">
        <v>1</v>
      </c>
      <c r="N157">
        <v>0</v>
      </c>
      <c r="O157">
        <v>0</v>
      </c>
      <c r="P157">
        <v>0</v>
      </c>
      <c r="Q157">
        <v>1</v>
      </c>
      <c r="R157">
        <v>0</v>
      </c>
      <c r="S157">
        <v>0</v>
      </c>
      <c r="T157">
        <v>1</v>
      </c>
      <c r="U157">
        <v>0</v>
      </c>
      <c r="V157">
        <v>1</v>
      </c>
      <c r="W157">
        <v>0</v>
      </c>
      <c r="X157">
        <v>0</v>
      </c>
      <c r="Y157">
        <v>4</v>
      </c>
      <c r="Z157">
        <v>1</v>
      </c>
      <c r="AA157">
        <v>1</v>
      </c>
      <c r="AB157">
        <v>1</v>
      </c>
      <c r="AC157">
        <v>3</v>
      </c>
      <c r="AD157">
        <v>5</v>
      </c>
      <c r="AE157">
        <v>5</v>
      </c>
      <c r="AF157">
        <v>5</v>
      </c>
      <c r="AG157" t="s">
        <v>51</v>
      </c>
      <c r="AH157" s="6">
        <f t="shared" si="9"/>
        <v>1.2669594691405E-2</v>
      </c>
      <c r="AI157" s="3">
        <f t="shared" si="10"/>
        <v>14</v>
      </c>
      <c r="AJ157" s="3" t="str">
        <f t="shared" si="11"/>
        <v>passed</v>
      </c>
      <c r="AK157" s="3">
        <f t="shared" si="12"/>
        <v>1</v>
      </c>
      <c r="AL157" s="3">
        <v>0.35170130550032719</v>
      </c>
      <c r="AM157" s="3">
        <v>5.8368707823327891E-2</v>
      </c>
      <c r="AN157" s="3">
        <v>-5.8084498261484878</v>
      </c>
    </row>
    <row r="158" spans="1:40" x14ac:dyDescent="0.2">
      <c r="A158">
        <v>29775</v>
      </c>
      <c r="B158" s="1">
        <v>43398.658425925925</v>
      </c>
      <c r="C158" t="s">
        <v>3</v>
      </c>
      <c r="D158">
        <v>33</v>
      </c>
      <c r="E158">
        <v>7.8671393472514006E-2</v>
      </c>
      <c r="F158">
        <v>0.17226247946329001</v>
      </c>
      <c r="G158">
        <v>0.19584661430051001</v>
      </c>
      <c r="H158">
        <v>1</v>
      </c>
      <c r="I158">
        <v>0</v>
      </c>
      <c r="J158">
        <v>1</v>
      </c>
      <c r="K158">
        <v>1</v>
      </c>
      <c r="L158">
        <v>0</v>
      </c>
      <c r="M158">
        <v>0</v>
      </c>
      <c r="N158">
        <v>0</v>
      </c>
      <c r="O158">
        <v>0</v>
      </c>
      <c r="P158">
        <v>1</v>
      </c>
      <c r="Q158">
        <v>2</v>
      </c>
      <c r="R158">
        <v>1</v>
      </c>
      <c r="S158">
        <v>0</v>
      </c>
      <c r="T158">
        <v>1</v>
      </c>
      <c r="U158">
        <v>1</v>
      </c>
      <c r="V158">
        <v>1</v>
      </c>
      <c r="W158">
        <v>0</v>
      </c>
      <c r="X158">
        <v>0</v>
      </c>
      <c r="Y158">
        <v>2</v>
      </c>
      <c r="Z158">
        <v>1</v>
      </c>
      <c r="AA158">
        <v>1</v>
      </c>
      <c r="AB158">
        <v>2</v>
      </c>
      <c r="AC158">
        <v>2</v>
      </c>
      <c r="AD158">
        <v>5</v>
      </c>
      <c r="AE158">
        <v>5</v>
      </c>
      <c r="AF158">
        <v>5</v>
      </c>
      <c r="AG158" t="s">
        <v>54</v>
      </c>
      <c r="AH158" s="6">
        <f t="shared" si="9"/>
        <v>7.8671393472514006E-2</v>
      </c>
      <c r="AI158" s="3">
        <f t="shared" si="10"/>
        <v>14</v>
      </c>
      <c r="AJ158" s="3" t="str">
        <f t="shared" si="11"/>
        <v>passed</v>
      </c>
      <c r="AK158" s="3">
        <f t="shared" si="12"/>
        <v>1</v>
      </c>
      <c r="AL158" s="3">
        <v>2.9455056104088948</v>
      </c>
      <c r="AM158" s="3">
        <v>0.43347519059652351</v>
      </c>
      <c r="AN158" s="3">
        <v>-6.6136062204418424</v>
      </c>
    </row>
    <row r="159" spans="1:40" x14ac:dyDescent="0.2">
      <c r="A159">
        <v>45791</v>
      </c>
      <c r="B159" s="1">
        <v>43796.733634259261</v>
      </c>
      <c r="C159" t="s">
        <v>3</v>
      </c>
      <c r="D159">
        <v>29</v>
      </c>
      <c r="E159">
        <v>1.9225278991575001E-2</v>
      </c>
      <c r="F159">
        <v>0.14761318109453</v>
      </c>
      <c r="G159">
        <v>0.13547569803692</v>
      </c>
      <c r="H159">
        <v>1</v>
      </c>
      <c r="I159">
        <v>0</v>
      </c>
      <c r="J159">
        <v>1</v>
      </c>
      <c r="K159">
        <v>1</v>
      </c>
      <c r="L159">
        <v>0</v>
      </c>
      <c r="M159">
        <v>0</v>
      </c>
      <c r="N159">
        <v>1</v>
      </c>
      <c r="O159">
        <v>0</v>
      </c>
      <c r="P159">
        <v>0</v>
      </c>
      <c r="Q159">
        <v>2</v>
      </c>
      <c r="R159">
        <v>0</v>
      </c>
      <c r="S159">
        <v>1</v>
      </c>
      <c r="T159">
        <v>0</v>
      </c>
      <c r="U159">
        <v>1</v>
      </c>
      <c r="V159">
        <v>1</v>
      </c>
      <c r="W159">
        <v>0</v>
      </c>
      <c r="X159">
        <v>0</v>
      </c>
      <c r="Y159">
        <v>3</v>
      </c>
      <c r="Z159">
        <v>1</v>
      </c>
      <c r="AA159">
        <v>1</v>
      </c>
      <c r="AB159">
        <v>1</v>
      </c>
      <c r="AC159">
        <v>2</v>
      </c>
      <c r="AD159">
        <v>5</v>
      </c>
      <c r="AE159">
        <v>5</v>
      </c>
      <c r="AF159">
        <v>5</v>
      </c>
      <c r="AG159" t="s">
        <v>104</v>
      </c>
      <c r="AH159" s="6">
        <f t="shared" si="9"/>
        <v>1.9225278991575001E-2</v>
      </c>
      <c r="AI159" s="3">
        <f t="shared" si="10"/>
        <v>14</v>
      </c>
      <c r="AJ159" s="3" t="str">
        <f t="shared" si="11"/>
        <v>passed</v>
      </c>
      <c r="AK159" s="3">
        <f t="shared" si="12"/>
        <v>1</v>
      </c>
      <c r="AL159" s="3">
        <v>1.8851813263396779</v>
      </c>
      <c r="AM159" s="3">
        <v>0.28428076361256821</v>
      </c>
      <c r="AN159" s="3">
        <v>-6.563778792613344</v>
      </c>
    </row>
    <row r="160" spans="1:40" x14ac:dyDescent="0.2">
      <c r="A160">
        <v>46125</v>
      </c>
      <c r="B160" s="1">
        <v>43801.676215277781</v>
      </c>
      <c r="C160" t="s">
        <v>3</v>
      </c>
      <c r="D160">
        <v>49</v>
      </c>
      <c r="E160">
        <v>0.11438448515147</v>
      </c>
      <c r="F160">
        <v>0.23251990380144</v>
      </c>
      <c r="G160">
        <v>4.6711146855654001E-2</v>
      </c>
      <c r="H160">
        <v>1</v>
      </c>
      <c r="I160">
        <v>1</v>
      </c>
      <c r="J160">
        <v>1</v>
      </c>
      <c r="K160">
        <v>0</v>
      </c>
      <c r="L160">
        <v>1</v>
      </c>
      <c r="M160">
        <v>0</v>
      </c>
      <c r="N160">
        <v>0</v>
      </c>
      <c r="O160">
        <v>0</v>
      </c>
      <c r="P160">
        <v>0</v>
      </c>
      <c r="Q160">
        <v>1</v>
      </c>
      <c r="R160">
        <v>1</v>
      </c>
      <c r="S160">
        <v>0</v>
      </c>
      <c r="T160">
        <v>0</v>
      </c>
      <c r="U160">
        <v>1</v>
      </c>
      <c r="V160">
        <v>0</v>
      </c>
      <c r="W160">
        <v>1</v>
      </c>
      <c r="X160">
        <v>0</v>
      </c>
      <c r="Y160">
        <v>2</v>
      </c>
      <c r="Z160">
        <v>1</v>
      </c>
      <c r="AA160">
        <v>1</v>
      </c>
      <c r="AB160">
        <v>2</v>
      </c>
      <c r="AC160">
        <v>3</v>
      </c>
      <c r="AD160">
        <v>4</v>
      </c>
      <c r="AE160">
        <v>5</v>
      </c>
      <c r="AF160">
        <v>5</v>
      </c>
      <c r="AH160" s="6">
        <f t="shared" si="9"/>
        <v>0.11438448515147</v>
      </c>
      <c r="AI160" s="3">
        <f t="shared" si="10"/>
        <v>14</v>
      </c>
      <c r="AJ160" s="3" t="str">
        <f t="shared" si="11"/>
        <v>passed</v>
      </c>
      <c r="AK160" s="3">
        <f t="shared" si="12"/>
        <v>1</v>
      </c>
      <c r="AL160" s="3">
        <v>0.84173271145719253</v>
      </c>
      <c r="AM160" s="3">
        <v>0.15408154968440069</v>
      </c>
      <c r="AN160" s="3">
        <v>-4.7205406993602894</v>
      </c>
    </row>
    <row r="161" spans="1:40" x14ac:dyDescent="0.2">
      <c r="A161">
        <v>46473</v>
      </c>
      <c r="B161" s="1">
        <v>43808.556921296295</v>
      </c>
      <c r="C161" t="s">
        <v>3</v>
      </c>
      <c r="D161">
        <v>50</v>
      </c>
      <c r="E161">
        <v>0.11674343433388</v>
      </c>
      <c r="F161">
        <v>0.28357638623737003</v>
      </c>
      <c r="G161">
        <v>0.22734427351882999</v>
      </c>
      <c r="H161">
        <v>1</v>
      </c>
      <c r="I161">
        <v>0</v>
      </c>
      <c r="J161">
        <v>1</v>
      </c>
      <c r="K161">
        <v>1</v>
      </c>
      <c r="L161">
        <v>1</v>
      </c>
      <c r="M161">
        <v>0</v>
      </c>
      <c r="N161">
        <v>0</v>
      </c>
      <c r="O161">
        <v>0</v>
      </c>
      <c r="P161">
        <v>0</v>
      </c>
      <c r="Q161">
        <v>1</v>
      </c>
      <c r="R161">
        <v>0</v>
      </c>
      <c r="S161">
        <v>1</v>
      </c>
      <c r="T161">
        <v>0</v>
      </c>
      <c r="U161">
        <v>0</v>
      </c>
      <c r="V161">
        <v>0</v>
      </c>
      <c r="W161">
        <v>1</v>
      </c>
      <c r="X161">
        <v>0</v>
      </c>
      <c r="Y161">
        <v>4</v>
      </c>
      <c r="Z161">
        <v>1</v>
      </c>
      <c r="AA161">
        <v>1</v>
      </c>
      <c r="AB161">
        <v>1</v>
      </c>
      <c r="AC161">
        <v>3</v>
      </c>
      <c r="AD161">
        <v>5</v>
      </c>
      <c r="AE161">
        <v>5</v>
      </c>
      <c r="AF161">
        <v>5</v>
      </c>
      <c r="AH161" s="6">
        <f t="shared" si="9"/>
        <v>0.11674343433388</v>
      </c>
      <c r="AI161" s="3">
        <f t="shared" si="10"/>
        <v>14</v>
      </c>
      <c r="AJ161" s="3" t="str">
        <f t="shared" si="11"/>
        <v>passed</v>
      </c>
      <c r="AK161" s="3">
        <f t="shared" si="12"/>
        <v>1</v>
      </c>
      <c r="AL161" s="3">
        <v>5.598570204169663</v>
      </c>
      <c r="AM161" s="3">
        <v>0.89746968431042662</v>
      </c>
      <c r="AN161" s="3">
        <v>-6.1080912989810514</v>
      </c>
    </row>
    <row r="162" spans="1:40" x14ac:dyDescent="0.2">
      <c r="A162">
        <v>53745</v>
      </c>
      <c r="B162" s="1">
        <v>43928.890590277777</v>
      </c>
      <c r="C162" t="s">
        <v>3</v>
      </c>
      <c r="D162">
        <v>53</v>
      </c>
      <c r="E162" s="2">
        <v>3.3435232778411002E-5</v>
      </c>
      <c r="F162">
        <v>9.8100831740971992E-3</v>
      </c>
      <c r="G162">
        <v>2.8565621673076998E-3</v>
      </c>
      <c r="H162">
        <v>1</v>
      </c>
      <c r="I162">
        <v>0</v>
      </c>
      <c r="J162">
        <v>1</v>
      </c>
      <c r="K162">
        <v>1</v>
      </c>
      <c r="L162">
        <v>0</v>
      </c>
      <c r="M162">
        <v>1</v>
      </c>
      <c r="N162">
        <v>0</v>
      </c>
      <c r="O162">
        <v>0</v>
      </c>
      <c r="P162">
        <v>0</v>
      </c>
      <c r="Q162">
        <v>2</v>
      </c>
      <c r="R162">
        <v>0</v>
      </c>
      <c r="S162">
        <v>0</v>
      </c>
      <c r="T162">
        <v>1</v>
      </c>
      <c r="U162">
        <v>1</v>
      </c>
      <c r="V162">
        <v>1</v>
      </c>
      <c r="W162">
        <v>0</v>
      </c>
      <c r="X162">
        <v>0</v>
      </c>
      <c r="Y162">
        <v>2</v>
      </c>
      <c r="Z162">
        <v>1</v>
      </c>
      <c r="AA162">
        <v>1</v>
      </c>
      <c r="AB162">
        <v>2</v>
      </c>
      <c r="AC162">
        <v>3</v>
      </c>
      <c r="AD162">
        <v>5</v>
      </c>
      <c r="AE162">
        <v>5</v>
      </c>
      <c r="AF162">
        <v>4</v>
      </c>
      <c r="AH162" s="6">
        <f t="shared" si="9"/>
        <v>3.3435232778411002E-5</v>
      </c>
      <c r="AI162" s="3">
        <f t="shared" si="10"/>
        <v>14</v>
      </c>
      <c r="AJ162" s="3" t="str">
        <f t="shared" si="11"/>
        <v>passed</v>
      </c>
      <c r="AK162" s="3">
        <f t="shared" si="12"/>
        <v>1</v>
      </c>
      <c r="AL162" s="3">
        <v>8.1903782093226124E-5</v>
      </c>
      <c r="AM162" s="3">
        <v>9.8474845443479283E-5</v>
      </c>
      <c r="AN162" s="3">
        <v>-0.49219218468621839</v>
      </c>
    </row>
    <row r="163" spans="1:40" x14ac:dyDescent="0.2">
      <c r="A163">
        <v>59774</v>
      </c>
      <c r="B163" s="1">
        <v>44221.710717592592</v>
      </c>
      <c r="C163" t="s">
        <v>3</v>
      </c>
      <c r="D163">
        <v>35</v>
      </c>
      <c r="E163">
        <v>0.57123090986045</v>
      </c>
      <c r="F163">
        <v>0.23216880257384001</v>
      </c>
      <c r="G163">
        <v>0.22050390367445999</v>
      </c>
      <c r="H163">
        <v>1</v>
      </c>
      <c r="I163">
        <v>1</v>
      </c>
      <c r="J163">
        <v>1</v>
      </c>
      <c r="K163">
        <v>1</v>
      </c>
      <c r="L163">
        <v>1</v>
      </c>
      <c r="M163">
        <v>0</v>
      </c>
      <c r="N163">
        <v>0</v>
      </c>
      <c r="O163">
        <v>0</v>
      </c>
      <c r="P163">
        <v>0</v>
      </c>
      <c r="Q163">
        <v>2</v>
      </c>
      <c r="R163">
        <v>0</v>
      </c>
      <c r="S163">
        <v>1</v>
      </c>
      <c r="T163">
        <v>0</v>
      </c>
      <c r="U163">
        <v>1</v>
      </c>
      <c r="V163">
        <v>1</v>
      </c>
      <c r="W163">
        <v>1</v>
      </c>
      <c r="X163">
        <v>0</v>
      </c>
      <c r="Y163">
        <v>2</v>
      </c>
      <c r="Z163">
        <v>1</v>
      </c>
      <c r="AA163">
        <v>1</v>
      </c>
      <c r="AB163">
        <v>1</v>
      </c>
      <c r="AC163">
        <v>4</v>
      </c>
      <c r="AD163">
        <v>4</v>
      </c>
      <c r="AE163">
        <v>4</v>
      </c>
      <c r="AF163">
        <v>4</v>
      </c>
      <c r="AG163" t="s">
        <v>143</v>
      </c>
      <c r="AH163" s="6">
        <f t="shared" si="9"/>
        <v>0.57123090986045</v>
      </c>
      <c r="AI163" s="3">
        <f t="shared" si="10"/>
        <v>14</v>
      </c>
      <c r="AJ163" s="3" t="str">
        <f t="shared" si="11"/>
        <v>passed</v>
      </c>
      <c r="AK163" s="3">
        <f t="shared" si="12"/>
        <v>1</v>
      </c>
      <c r="AL163" s="3">
        <v>4.5801682597160331</v>
      </c>
      <c r="AM163" s="3">
        <v>0.76322232717841909</v>
      </c>
      <c r="AN163" s="3">
        <v>-5.2526468462687079</v>
      </c>
    </row>
    <row r="164" spans="1:40" x14ac:dyDescent="0.2">
      <c r="A164">
        <v>62868</v>
      </c>
      <c r="B164" s="1">
        <v>44360.68546296296</v>
      </c>
      <c r="C164" t="s">
        <v>2</v>
      </c>
      <c r="D164">
        <v>69</v>
      </c>
      <c r="E164">
        <v>0.30744941013826999</v>
      </c>
      <c r="F164">
        <v>0.25063751215763003</v>
      </c>
      <c r="G164">
        <v>0.26109012449416003</v>
      </c>
      <c r="H164">
        <v>1</v>
      </c>
      <c r="I164">
        <v>1</v>
      </c>
      <c r="J164">
        <v>1</v>
      </c>
      <c r="K164">
        <v>0</v>
      </c>
      <c r="L164">
        <v>0</v>
      </c>
      <c r="M164">
        <v>0</v>
      </c>
      <c r="N164">
        <v>0</v>
      </c>
      <c r="O164">
        <v>0</v>
      </c>
      <c r="P164">
        <v>0</v>
      </c>
      <c r="Q164">
        <v>3</v>
      </c>
      <c r="R164">
        <v>1</v>
      </c>
      <c r="S164">
        <v>0</v>
      </c>
      <c r="T164">
        <v>0</v>
      </c>
      <c r="U164">
        <v>0</v>
      </c>
      <c r="V164">
        <v>0</v>
      </c>
      <c r="W164">
        <v>1</v>
      </c>
      <c r="X164">
        <v>0</v>
      </c>
      <c r="Y164">
        <v>1</v>
      </c>
      <c r="Z164">
        <v>1</v>
      </c>
      <c r="AA164">
        <v>3</v>
      </c>
      <c r="AB164">
        <v>2</v>
      </c>
      <c r="AC164">
        <v>5</v>
      </c>
      <c r="AD164">
        <v>5</v>
      </c>
      <c r="AE164">
        <v>3</v>
      </c>
      <c r="AF164">
        <v>5</v>
      </c>
      <c r="AG164" t="s">
        <v>165</v>
      </c>
      <c r="AH164" s="6">
        <f t="shared" si="9"/>
        <v>0.30744941013826999</v>
      </c>
      <c r="AI164" s="3">
        <f t="shared" si="10"/>
        <v>14</v>
      </c>
      <c r="AJ164" s="3" t="str">
        <f t="shared" si="11"/>
        <v>passed</v>
      </c>
      <c r="AK164" s="3">
        <f t="shared" si="12"/>
        <v>1</v>
      </c>
      <c r="AL164" s="3">
        <v>5.8562797175838064</v>
      </c>
      <c r="AM164" s="3">
        <v>0.90023380802611797</v>
      </c>
      <c r="AN164" s="3">
        <v>-6.1637657439372173</v>
      </c>
    </row>
    <row r="165" spans="1:40" x14ac:dyDescent="0.2">
      <c r="A165">
        <v>28307</v>
      </c>
      <c r="B165" s="1">
        <v>43383.615601851852</v>
      </c>
      <c r="C165" t="s">
        <v>3</v>
      </c>
      <c r="D165">
        <v>27</v>
      </c>
      <c r="E165">
        <v>3.3773696765245997E-2</v>
      </c>
      <c r="F165">
        <v>0.30994403568140999</v>
      </c>
      <c r="G165">
        <v>8.6204131124549999E-2</v>
      </c>
      <c r="H165">
        <v>1</v>
      </c>
      <c r="I165">
        <v>1</v>
      </c>
      <c r="J165">
        <v>1</v>
      </c>
      <c r="K165">
        <v>0</v>
      </c>
      <c r="L165">
        <v>0</v>
      </c>
      <c r="M165">
        <v>0</v>
      </c>
      <c r="N165">
        <v>0</v>
      </c>
      <c r="O165">
        <v>0</v>
      </c>
      <c r="P165">
        <v>0</v>
      </c>
      <c r="Q165">
        <v>2</v>
      </c>
      <c r="R165">
        <v>1</v>
      </c>
      <c r="S165">
        <v>0</v>
      </c>
      <c r="T165">
        <v>1</v>
      </c>
      <c r="U165">
        <v>0</v>
      </c>
      <c r="V165">
        <v>0</v>
      </c>
      <c r="W165">
        <v>1</v>
      </c>
      <c r="X165">
        <v>0</v>
      </c>
      <c r="Y165">
        <v>5</v>
      </c>
      <c r="Z165">
        <v>1</v>
      </c>
      <c r="AA165">
        <v>1</v>
      </c>
      <c r="AB165">
        <v>1</v>
      </c>
      <c r="AC165">
        <v>3</v>
      </c>
      <c r="AD165">
        <v>5</v>
      </c>
      <c r="AE165">
        <v>5</v>
      </c>
      <c r="AF165">
        <v>5</v>
      </c>
      <c r="AG165" t="s">
        <v>5</v>
      </c>
      <c r="AH165" s="6">
        <f t="shared" si="9"/>
        <v>3.3773696765245997E-2</v>
      </c>
      <c r="AI165" s="3">
        <f t="shared" si="10"/>
        <v>15</v>
      </c>
      <c r="AJ165" s="3" t="str">
        <f t="shared" si="11"/>
        <v>passed</v>
      </c>
      <c r="AK165" s="3">
        <f t="shared" si="12"/>
        <v>1</v>
      </c>
      <c r="AL165" s="3">
        <v>1.458210992327635</v>
      </c>
      <c r="AM165" s="3">
        <v>0.34221558183351042</v>
      </c>
      <c r="AN165" s="3">
        <v>-4.1623975387987624</v>
      </c>
    </row>
    <row r="166" spans="1:40" x14ac:dyDescent="0.2">
      <c r="A166">
        <v>28777</v>
      </c>
      <c r="B166" s="1">
        <v>43388.392199074071</v>
      </c>
      <c r="C166" t="s">
        <v>2</v>
      </c>
      <c r="D166">
        <v>32</v>
      </c>
      <c r="E166">
        <v>3.9782523510973E-2</v>
      </c>
      <c r="F166">
        <v>0.20498692330189</v>
      </c>
      <c r="G166">
        <v>0.19403145022512999</v>
      </c>
      <c r="H166">
        <v>1</v>
      </c>
      <c r="I166">
        <v>1</v>
      </c>
      <c r="J166">
        <v>0</v>
      </c>
      <c r="K166">
        <v>1</v>
      </c>
      <c r="L166">
        <v>1</v>
      </c>
      <c r="M166">
        <v>1</v>
      </c>
      <c r="N166">
        <v>0</v>
      </c>
      <c r="O166">
        <v>0</v>
      </c>
      <c r="P166">
        <v>0</v>
      </c>
      <c r="Q166">
        <v>2</v>
      </c>
      <c r="R166">
        <v>0</v>
      </c>
      <c r="S166">
        <v>0</v>
      </c>
      <c r="T166">
        <v>0</v>
      </c>
      <c r="U166">
        <v>1</v>
      </c>
      <c r="V166">
        <v>1</v>
      </c>
      <c r="W166">
        <v>0</v>
      </c>
      <c r="X166">
        <v>0</v>
      </c>
      <c r="Y166">
        <v>1</v>
      </c>
      <c r="Z166">
        <v>2</v>
      </c>
      <c r="AA166">
        <v>1</v>
      </c>
      <c r="AB166">
        <v>2</v>
      </c>
      <c r="AC166">
        <v>4</v>
      </c>
      <c r="AD166">
        <v>2</v>
      </c>
      <c r="AE166">
        <v>5</v>
      </c>
      <c r="AF166">
        <v>5</v>
      </c>
      <c r="AG166" t="s">
        <v>8</v>
      </c>
      <c r="AH166" s="6">
        <f t="shared" si="9"/>
        <v>3.9782523510973E-2</v>
      </c>
      <c r="AI166" s="3">
        <f t="shared" si="10"/>
        <v>15</v>
      </c>
      <c r="AJ166" s="3" t="str">
        <f t="shared" si="11"/>
        <v>passed</v>
      </c>
      <c r="AK166" s="3">
        <f t="shared" si="12"/>
        <v>1</v>
      </c>
      <c r="AL166" s="3">
        <v>2.4957780907131659</v>
      </c>
      <c r="AM166" s="3">
        <v>0.43187555848315562</v>
      </c>
      <c r="AN166" s="3">
        <v>-5.6868130621427273</v>
      </c>
    </row>
    <row r="167" spans="1:40" x14ac:dyDescent="0.2">
      <c r="A167">
        <v>28796</v>
      </c>
      <c r="B167" s="1">
        <v>43388.587476851855</v>
      </c>
      <c r="C167" t="s">
        <v>3</v>
      </c>
      <c r="D167">
        <v>55</v>
      </c>
      <c r="E167">
        <v>0.54432146829811001</v>
      </c>
      <c r="F167">
        <v>0.29486470072903997</v>
      </c>
      <c r="G167">
        <v>0.30281390623163001</v>
      </c>
      <c r="H167">
        <v>1</v>
      </c>
      <c r="I167">
        <v>1</v>
      </c>
      <c r="J167">
        <v>1</v>
      </c>
      <c r="K167">
        <v>1</v>
      </c>
      <c r="L167">
        <v>1</v>
      </c>
      <c r="M167">
        <v>0</v>
      </c>
      <c r="N167">
        <v>0</v>
      </c>
      <c r="O167">
        <v>0</v>
      </c>
      <c r="P167">
        <v>0</v>
      </c>
      <c r="Q167">
        <v>2</v>
      </c>
      <c r="R167">
        <v>0</v>
      </c>
      <c r="S167">
        <v>0</v>
      </c>
      <c r="T167">
        <v>0</v>
      </c>
      <c r="U167">
        <v>1</v>
      </c>
      <c r="V167">
        <v>1</v>
      </c>
      <c r="W167">
        <v>0</v>
      </c>
      <c r="X167">
        <v>0</v>
      </c>
      <c r="Y167">
        <v>1</v>
      </c>
      <c r="Z167">
        <v>1</v>
      </c>
      <c r="AA167">
        <v>1</v>
      </c>
      <c r="AB167">
        <v>2</v>
      </c>
      <c r="AC167">
        <v>2</v>
      </c>
      <c r="AD167">
        <v>4</v>
      </c>
      <c r="AE167">
        <v>5</v>
      </c>
      <c r="AF167">
        <v>4</v>
      </c>
      <c r="AG167" t="s">
        <v>9</v>
      </c>
      <c r="AH167" s="6">
        <f t="shared" si="9"/>
        <v>0.54432146829811001</v>
      </c>
      <c r="AI167" s="3">
        <f t="shared" si="10"/>
        <v>15</v>
      </c>
      <c r="AJ167" s="3" t="str">
        <f t="shared" si="11"/>
        <v>passed</v>
      </c>
      <c r="AK167" s="3">
        <f t="shared" si="12"/>
        <v>1</v>
      </c>
      <c r="AL167" s="3">
        <v>8.2802287319243604</v>
      </c>
      <c r="AM167" s="3">
        <v>1.1730207577107841</v>
      </c>
      <c r="AN167" s="3">
        <v>-6.5948596499888961</v>
      </c>
    </row>
    <row r="168" spans="1:40" x14ac:dyDescent="0.2">
      <c r="A168">
        <v>29128</v>
      </c>
      <c r="B168" s="1">
        <v>43391.564143518517</v>
      </c>
      <c r="C168" t="s">
        <v>3</v>
      </c>
      <c r="D168">
        <v>30</v>
      </c>
      <c r="E168">
        <v>0.1265512799304</v>
      </c>
      <c r="F168">
        <v>0.22418213262268</v>
      </c>
      <c r="G168">
        <v>0.22398217955715</v>
      </c>
      <c r="H168">
        <v>1</v>
      </c>
      <c r="I168">
        <v>1</v>
      </c>
      <c r="J168">
        <v>0</v>
      </c>
      <c r="K168">
        <v>1</v>
      </c>
      <c r="L168">
        <v>1</v>
      </c>
      <c r="M168">
        <v>0</v>
      </c>
      <c r="N168">
        <v>0</v>
      </c>
      <c r="O168">
        <v>0</v>
      </c>
      <c r="P168">
        <v>0</v>
      </c>
      <c r="Q168">
        <v>2</v>
      </c>
      <c r="R168">
        <v>1</v>
      </c>
      <c r="S168">
        <v>0</v>
      </c>
      <c r="T168">
        <v>0</v>
      </c>
      <c r="U168">
        <v>1</v>
      </c>
      <c r="V168">
        <v>1</v>
      </c>
      <c r="W168">
        <v>0</v>
      </c>
      <c r="X168">
        <v>0</v>
      </c>
      <c r="Y168">
        <v>1</v>
      </c>
      <c r="Z168">
        <v>4</v>
      </c>
      <c r="AA168">
        <v>1</v>
      </c>
      <c r="AB168">
        <v>1</v>
      </c>
      <c r="AC168">
        <v>5</v>
      </c>
      <c r="AD168">
        <v>2</v>
      </c>
      <c r="AE168">
        <v>5</v>
      </c>
      <c r="AF168">
        <v>5</v>
      </c>
      <c r="AG168" t="s">
        <v>17</v>
      </c>
      <c r="AH168" s="6">
        <f t="shared" si="9"/>
        <v>0.1265512799304</v>
      </c>
      <c r="AI168" s="3">
        <f t="shared" si="10"/>
        <v>15</v>
      </c>
      <c r="AJ168" s="3" t="str">
        <f t="shared" si="11"/>
        <v>passed</v>
      </c>
      <c r="AK168" s="3">
        <f t="shared" si="12"/>
        <v>1</v>
      </c>
      <c r="AL168" s="3">
        <v>4.3034755582463298</v>
      </c>
      <c r="AM168" s="3">
        <v>0.66466576745624062</v>
      </c>
      <c r="AN168" s="3">
        <v>-6.284247636675417</v>
      </c>
    </row>
    <row r="169" spans="1:40" x14ac:dyDescent="0.2">
      <c r="A169">
        <v>29172</v>
      </c>
      <c r="B169" s="1">
        <v>43391.672418981485</v>
      </c>
      <c r="C169" t="s">
        <v>3</v>
      </c>
      <c r="D169">
        <v>35</v>
      </c>
      <c r="E169">
        <v>0.11399378435782</v>
      </c>
      <c r="F169">
        <v>0.22284194299095</v>
      </c>
      <c r="G169">
        <v>0.24205000895189999</v>
      </c>
      <c r="H169">
        <v>2</v>
      </c>
      <c r="I169">
        <v>1</v>
      </c>
      <c r="J169">
        <v>1</v>
      </c>
      <c r="K169">
        <v>1</v>
      </c>
      <c r="L169">
        <v>1</v>
      </c>
      <c r="M169">
        <v>1</v>
      </c>
      <c r="N169">
        <v>1</v>
      </c>
      <c r="O169">
        <v>1</v>
      </c>
      <c r="P169">
        <v>1</v>
      </c>
      <c r="Q169">
        <v>1</v>
      </c>
      <c r="R169">
        <v>0</v>
      </c>
      <c r="S169">
        <v>0</v>
      </c>
      <c r="T169">
        <v>0</v>
      </c>
      <c r="U169">
        <v>1</v>
      </c>
      <c r="V169">
        <v>1</v>
      </c>
      <c r="W169">
        <v>0</v>
      </c>
      <c r="X169">
        <v>0</v>
      </c>
      <c r="Y169">
        <v>1</v>
      </c>
      <c r="Z169">
        <v>1</v>
      </c>
      <c r="AA169">
        <v>1</v>
      </c>
      <c r="AB169">
        <v>3</v>
      </c>
      <c r="AC169">
        <v>4</v>
      </c>
      <c r="AD169">
        <v>4</v>
      </c>
      <c r="AE169">
        <v>4</v>
      </c>
      <c r="AF169">
        <v>5</v>
      </c>
      <c r="AG169" t="s">
        <v>22</v>
      </c>
      <c r="AH169" s="6">
        <f t="shared" si="9"/>
        <v>0.11399378435782</v>
      </c>
      <c r="AI169" s="3">
        <f t="shared" si="10"/>
        <v>15</v>
      </c>
      <c r="AJ169" s="3" t="str">
        <f t="shared" si="11"/>
        <v>passed</v>
      </c>
      <c r="AK169" s="3">
        <f t="shared" si="12"/>
        <v>1</v>
      </c>
      <c r="AL169" s="3">
        <v>4.5632122639851946</v>
      </c>
      <c r="AM169" s="3">
        <v>0.70353545405358597</v>
      </c>
      <c r="AN169" s="3">
        <v>-6.3240856647552706</v>
      </c>
    </row>
    <row r="170" spans="1:40" x14ac:dyDescent="0.2">
      <c r="A170">
        <v>29571</v>
      </c>
      <c r="B170" s="1">
        <v>43396.932118055556</v>
      </c>
      <c r="C170" t="s">
        <v>3</v>
      </c>
      <c r="D170">
        <v>29</v>
      </c>
      <c r="E170">
        <v>0.76347725651869003</v>
      </c>
      <c r="F170">
        <v>0.20974049153137</v>
      </c>
      <c r="G170">
        <v>0.24341904703935999</v>
      </c>
      <c r="H170">
        <v>1</v>
      </c>
      <c r="I170">
        <v>1</v>
      </c>
      <c r="J170">
        <v>1</v>
      </c>
      <c r="K170">
        <v>1</v>
      </c>
      <c r="L170">
        <v>1</v>
      </c>
      <c r="M170">
        <v>0</v>
      </c>
      <c r="N170">
        <v>0</v>
      </c>
      <c r="O170">
        <v>0</v>
      </c>
      <c r="P170">
        <v>0</v>
      </c>
      <c r="Q170">
        <v>2</v>
      </c>
      <c r="R170">
        <v>0</v>
      </c>
      <c r="S170">
        <v>0</v>
      </c>
      <c r="T170">
        <v>1</v>
      </c>
      <c r="U170">
        <v>0</v>
      </c>
      <c r="V170">
        <v>1</v>
      </c>
      <c r="W170">
        <v>1</v>
      </c>
      <c r="X170">
        <v>0</v>
      </c>
      <c r="Y170">
        <v>1</v>
      </c>
      <c r="Z170">
        <v>1</v>
      </c>
      <c r="AA170">
        <v>1</v>
      </c>
      <c r="AB170">
        <v>1</v>
      </c>
      <c r="AC170">
        <v>4</v>
      </c>
      <c r="AD170">
        <v>4</v>
      </c>
      <c r="AE170">
        <v>4</v>
      </c>
      <c r="AF170">
        <v>2</v>
      </c>
      <c r="AG170" t="s">
        <v>48</v>
      </c>
      <c r="AH170" s="6">
        <f t="shared" si="9"/>
        <v>0.76347725651869003</v>
      </c>
      <c r="AI170" s="3">
        <f t="shared" si="10"/>
        <v>15</v>
      </c>
      <c r="AJ170" s="3" t="str">
        <f t="shared" si="11"/>
        <v>passed</v>
      </c>
      <c r="AK170" s="3">
        <f t="shared" si="12"/>
        <v>1</v>
      </c>
      <c r="AL170" s="3">
        <v>3.898289322121641</v>
      </c>
      <c r="AM170" s="3">
        <v>0.7307772982837607</v>
      </c>
      <c r="AN170" s="3">
        <v>-4.2896954694201543</v>
      </c>
    </row>
    <row r="171" spans="1:40" x14ac:dyDescent="0.2">
      <c r="A171">
        <v>30681</v>
      </c>
      <c r="B171" s="1">
        <v>43413.55982638889</v>
      </c>
      <c r="C171" t="s">
        <v>3</v>
      </c>
      <c r="D171">
        <v>33</v>
      </c>
      <c r="E171">
        <v>1.0333213106773</v>
      </c>
      <c r="F171">
        <v>0.16996542838607001</v>
      </c>
      <c r="G171">
        <v>0.20307424617257</v>
      </c>
      <c r="H171">
        <v>3</v>
      </c>
      <c r="I171">
        <v>1</v>
      </c>
      <c r="J171">
        <v>1</v>
      </c>
      <c r="K171">
        <v>0</v>
      </c>
      <c r="L171">
        <v>1</v>
      </c>
      <c r="M171">
        <v>0</v>
      </c>
      <c r="N171">
        <v>0</v>
      </c>
      <c r="O171">
        <v>0</v>
      </c>
      <c r="P171">
        <v>0</v>
      </c>
      <c r="Q171">
        <v>2</v>
      </c>
      <c r="R171">
        <v>1</v>
      </c>
      <c r="S171">
        <v>0</v>
      </c>
      <c r="T171">
        <v>1</v>
      </c>
      <c r="U171">
        <v>1</v>
      </c>
      <c r="V171">
        <v>0</v>
      </c>
      <c r="W171">
        <v>0</v>
      </c>
      <c r="X171">
        <v>0</v>
      </c>
      <c r="Y171">
        <v>2</v>
      </c>
      <c r="Z171">
        <v>2</v>
      </c>
      <c r="AA171">
        <v>2</v>
      </c>
      <c r="AB171">
        <v>2</v>
      </c>
      <c r="AC171">
        <v>5</v>
      </c>
      <c r="AD171">
        <v>5</v>
      </c>
      <c r="AE171">
        <v>5</v>
      </c>
      <c r="AF171">
        <v>5</v>
      </c>
      <c r="AG171" t="s">
        <v>69</v>
      </c>
      <c r="AH171" s="6">
        <f t="shared" si="9"/>
        <v>1.0333213106773</v>
      </c>
      <c r="AI171" s="3">
        <f t="shared" si="10"/>
        <v>15</v>
      </c>
      <c r="AJ171" s="3" t="str">
        <f t="shared" si="11"/>
        <v>passed</v>
      </c>
      <c r="AK171" s="3">
        <f t="shared" si="12"/>
        <v>1</v>
      </c>
      <c r="AL171" s="3">
        <v>3.2165790163092529</v>
      </c>
      <c r="AM171" s="3">
        <v>0.49268747456002432</v>
      </c>
      <c r="AN171" s="3">
        <v>-4.4313237465223203</v>
      </c>
    </row>
    <row r="172" spans="1:40" x14ac:dyDescent="0.2">
      <c r="A172">
        <v>31561</v>
      </c>
      <c r="B172" s="1">
        <v>43429.736770833333</v>
      </c>
      <c r="C172" t="s">
        <v>2</v>
      </c>
      <c r="D172">
        <v>13</v>
      </c>
      <c r="E172">
        <v>3.1298591420493999E-4</v>
      </c>
      <c r="F172">
        <v>2.2801638130048002E-3</v>
      </c>
      <c r="G172">
        <v>2.0835207857886002E-3</v>
      </c>
      <c r="H172">
        <v>1</v>
      </c>
      <c r="I172">
        <v>1</v>
      </c>
      <c r="J172">
        <v>1</v>
      </c>
      <c r="K172">
        <v>1</v>
      </c>
      <c r="L172">
        <v>0</v>
      </c>
      <c r="M172">
        <v>0</v>
      </c>
      <c r="N172">
        <v>0</v>
      </c>
      <c r="O172">
        <v>0</v>
      </c>
      <c r="P172">
        <v>0</v>
      </c>
      <c r="Q172">
        <v>2</v>
      </c>
      <c r="R172">
        <v>1</v>
      </c>
      <c r="S172">
        <v>0</v>
      </c>
      <c r="T172">
        <v>1</v>
      </c>
      <c r="U172">
        <v>0</v>
      </c>
      <c r="V172">
        <v>0</v>
      </c>
      <c r="W172">
        <v>0</v>
      </c>
      <c r="X172">
        <v>0</v>
      </c>
      <c r="Y172">
        <v>2</v>
      </c>
      <c r="Z172">
        <v>1</v>
      </c>
      <c r="AA172">
        <v>1</v>
      </c>
      <c r="AB172">
        <v>2</v>
      </c>
      <c r="AC172">
        <v>2</v>
      </c>
      <c r="AD172">
        <v>5</v>
      </c>
      <c r="AE172">
        <v>5</v>
      </c>
      <c r="AF172">
        <v>4</v>
      </c>
      <c r="AH172" s="6">
        <f t="shared" si="9"/>
        <v>3.1298591420493999E-4</v>
      </c>
      <c r="AI172" s="3">
        <f t="shared" si="10"/>
        <v>15</v>
      </c>
      <c r="AJ172" s="3" t="str">
        <f t="shared" si="11"/>
        <v>passed</v>
      </c>
      <c r="AK172" s="3">
        <f t="shared" si="12"/>
        <v>1</v>
      </c>
      <c r="AL172" s="3">
        <v>2.387710943931218E-4</v>
      </c>
      <c r="AM172" s="3">
        <v>6.082451611850963E-5</v>
      </c>
      <c r="AN172" s="3">
        <v>1.2201464894020779</v>
      </c>
    </row>
    <row r="173" spans="1:40" x14ac:dyDescent="0.2">
      <c r="A173">
        <v>45760</v>
      </c>
      <c r="B173" s="1">
        <v>43796.368402777778</v>
      </c>
      <c r="C173" t="s">
        <v>3</v>
      </c>
      <c r="D173">
        <v>45</v>
      </c>
      <c r="E173">
        <v>2.3191354936372002E-2</v>
      </c>
      <c r="F173">
        <v>0.26532145155298997</v>
      </c>
      <c r="G173">
        <v>0.14020396781109001</v>
      </c>
      <c r="H173">
        <v>2</v>
      </c>
      <c r="I173">
        <v>1</v>
      </c>
      <c r="J173">
        <v>1</v>
      </c>
      <c r="K173">
        <v>0</v>
      </c>
      <c r="L173">
        <v>0</v>
      </c>
      <c r="M173">
        <v>0</v>
      </c>
      <c r="N173">
        <v>0</v>
      </c>
      <c r="O173">
        <v>0</v>
      </c>
      <c r="P173">
        <v>0</v>
      </c>
      <c r="Q173">
        <v>2</v>
      </c>
      <c r="R173">
        <v>0</v>
      </c>
      <c r="S173">
        <v>0</v>
      </c>
      <c r="T173">
        <v>0</v>
      </c>
      <c r="U173">
        <v>0</v>
      </c>
      <c r="V173">
        <v>0</v>
      </c>
      <c r="W173">
        <v>1</v>
      </c>
      <c r="X173">
        <v>0</v>
      </c>
      <c r="Y173">
        <v>3</v>
      </c>
      <c r="Z173">
        <v>1</v>
      </c>
      <c r="AA173">
        <v>1</v>
      </c>
      <c r="AB173">
        <v>1</v>
      </c>
      <c r="AC173">
        <v>2</v>
      </c>
      <c r="AD173">
        <v>5</v>
      </c>
      <c r="AE173">
        <v>5</v>
      </c>
      <c r="AF173">
        <v>5</v>
      </c>
      <c r="AG173" t="s">
        <v>100</v>
      </c>
      <c r="AH173" s="6">
        <f t="shared" si="9"/>
        <v>2.3191354936372002E-2</v>
      </c>
      <c r="AI173" s="3">
        <f t="shared" si="10"/>
        <v>15</v>
      </c>
      <c r="AJ173" s="3" t="str">
        <f t="shared" si="11"/>
        <v>passed</v>
      </c>
      <c r="AK173" s="3">
        <f t="shared" si="12"/>
        <v>1</v>
      </c>
      <c r="AL173" s="3">
        <v>2.8468949862575692</v>
      </c>
      <c r="AM173" s="3">
        <v>0.54776602344498082</v>
      </c>
      <c r="AN173" s="3">
        <v>-5.1549448313031752</v>
      </c>
    </row>
    <row r="174" spans="1:40" x14ac:dyDescent="0.2">
      <c r="A174">
        <v>45776</v>
      </c>
      <c r="B174" s="1">
        <v>43796.671689814815</v>
      </c>
      <c r="C174" t="s">
        <v>3</v>
      </c>
      <c r="D174">
        <v>31</v>
      </c>
      <c r="E174">
        <v>0.36672253395534998</v>
      </c>
      <c r="F174">
        <v>0.31470687221243998</v>
      </c>
      <c r="G174">
        <v>0.20917661038550001</v>
      </c>
      <c r="H174">
        <v>2</v>
      </c>
      <c r="I174">
        <v>0</v>
      </c>
      <c r="J174">
        <v>1</v>
      </c>
      <c r="K174">
        <v>1</v>
      </c>
      <c r="L174">
        <v>1</v>
      </c>
      <c r="M174">
        <v>0</v>
      </c>
      <c r="N174">
        <v>0</v>
      </c>
      <c r="O174">
        <v>0</v>
      </c>
      <c r="P174">
        <v>0</v>
      </c>
      <c r="Q174">
        <v>1</v>
      </c>
      <c r="R174">
        <v>0</v>
      </c>
      <c r="S174">
        <v>0</v>
      </c>
      <c r="T174">
        <v>0</v>
      </c>
      <c r="U174">
        <v>0</v>
      </c>
      <c r="V174">
        <v>0</v>
      </c>
      <c r="W174">
        <v>1</v>
      </c>
      <c r="X174">
        <v>0</v>
      </c>
      <c r="Y174">
        <v>4</v>
      </c>
      <c r="Z174">
        <v>1</v>
      </c>
      <c r="AA174">
        <v>1</v>
      </c>
      <c r="AB174">
        <v>1</v>
      </c>
      <c r="AC174">
        <v>4</v>
      </c>
      <c r="AD174">
        <v>5</v>
      </c>
      <c r="AE174">
        <v>5</v>
      </c>
      <c r="AF174">
        <v>4</v>
      </c>
      <c r="AH174" s="6">
        <f t="shared" si="9"/>
        <v>0.36672253395534998</v>
      </c>
      <c r="AI174" s="3">
        <f t="shared" si="10"/>
        <v>15</v>
      </c>
      <c r="AJ174" s="3" t="str">
        <f t="shared" si="11"/>
        <v>passed</v>
      </c>
      <c r="AK174" s="3">
        <f t="shared" si="12"/>
        <v>1</v>
      </c>
      <c r="AL174" s="3">
        <v>5.2355535789047289</v>
      </c>
      <c r="AM174" s="3">
        <v>0.86610828374366289</v>
      </c>
      <c r="AN174" s="3">
        <v>-5.6215038423421664</v>
      </c>
    </row>
    <row r="175" spans="1:40" x14ac:dyDescent="0.2">
      <c r="A175">
        <v>45905</v>
      </c>
      <c r="B175" s="1">
        <v>43798.102719907409</v>
      </c>
      <c r="C175" t="s">
        <v>2</v>
      </c>
      <c r="D175">
        <v>67</v>
      </c>
      <c r="E175">
        <v>0.13432192269988999</v>
      </c>
      <c r="F175">
        <v>0.23032530614766999</v>
      </c>
      <c r="G175">
        <v>0.1030924265686</v>
      </c>
      <c r="H175">
        <v>1</v>
      </c>
      <c r="I175">
        <v>1</v>
      </c>
      <c r="J175">
        <v>1</v>
      </c>
      <c r="K175">
        <v>1</v>
      </c>
      <c r="L175">
        <v>1</v>
      </c>
      <c r="M175">
        <v>1</v>
      </c>
      <c r="N175">
        <v>1</v>
      </c>
      <c r="O175">
        <v>1</v>
      </c>
      <c r="P175">
        <v>1</v>
      </c>
      <c r="Q175">
        <v>2</v>
      </c>
      <c r="R175">
        <v>0</v>
      </c>
      <c r="S175">
        <v>0</v>
      </c>
      <c r="T175">
        <v>0</v>
      </c>
      <c r="U175">
        <v>1</v>
      </c>
      <c r="V175">
        <v>0</v>
      </c>
      <c r="W175">
        <v>0</v>
      </c>
      <c r="X175">
        <v>0</v>
      </c>
      <c r="Y175">
        <v>1</v>
      </c>
      <c r="Z175">
        <v>1</v>
      </c>
      <c r="AA175">
        <v>1</v>
      </c>
      <c r="AB175">
        <v>1</v>
      </c>
      <c r="AC175">
        <v>3</v>
      </c>
      <c r="AD175">
        <v>3</v>
      </c>
      <c r="AE175">
        <v>4</v>
      </c>
      <c r="AF175">
        <v>4</v>
      </c>
      <c r="AG175" t="s">
        <v>105</v>
      </c>
      <c r="AH175" s="6">
        <f t="shared" si="9"/>
        <v>0.13432192269988999</v>
      </c>
      <c r="AI175" s="3">
        <f t="shared" si="10"/>
        <v>15</v>
      </c>
      <c r="AJ175" s="3" t="str">
        <f t="shared" si="11"/>
        <v>passed</v>
      </c>
      <c r="AK175" s="3">
        <f t="shared" si="12"/>
        <v>1</v>
      </c>
      <c r="AL175" s="3">
        <v>1.713345718146257</v>
      </c>
      <c r="AM175" s="3">
        <v>0.3200327366664204</v>
      </c>
      <c r="AN175" s="3">
        <v>-4.9339446079612577</v>
      </c>
    </row>
    <row r="176" spans="1:40" x14ac:dyDescent="0.2">
      <c r="A176">
        <v>53494</v>
      </c>
      <c r="B176" s="1">
        <v>43920.464791666665</v>
      </c>
      <c r="C176" t="s">
        <v>2</v>
      </c>
      <c r="D176">
        <v>51</v>
      </c>
      <c r="E176">
        <v>7.3922103473101006E-2</v>
      </c>
      <c r="F176">
        <v>0.16983323336164999</v>
      </c>
      <c r="G176">
        <v>0.32518442241610002</v>
      </c>
      <c r="H176">
        <v>1</v>
      </c>
      <c r="I176">
        <v>0</v>
      </c>
      <c r="J176">
        <v>1</v>
      </c>
      <c r="K176">
        <v>1</v>
      </c>
      <c r="L176">
        <v>1</v>
      </c>
      <c r="M176">
        <v>0</v>
      </c>
      <c r="N176">
        <v>0</v>
      </c>
      <c r="O176">
        <v>0</v>
      </c>
      <c r="P176">
        <v>0</v>
      </c>
      <c r="Q176">
        <v>1</v>
      </c>
      <c r="R176">
        <v>0</v>
      </c>
      <c r="S176">
        <v>0</v>
      </c>
      <c r="T176">
        <v>0</v>
      </c>
      <c r="U176">
        <v>1</v>
      </c>
      <c r="V176">
        <v>1</v>
      </c>
      <c r="W176">
        <v>1</v>
      </c>
      <c r="X176">
        <v>0</v>
      </c>
      <c r="Y176">
        <v>2</v>
      </c>
      <c r="Z176">
        <v>1</v>
      </c>
      <c r="AA176">
        <v>1</v>
      </c>
      <c r="AB176">
        <v>1</v>
      </c>
      <c r="AC176">
        <v>2</v>
      </c>
      <c r="AD176">
        <v>5</v>
      </c>
      <c r="AE176">
        <v>4</v>
      </c>
      <c r="AF176">
        <v>4</v>
      </c>
      <c r="AG176" t="s">
        <v>126</v>
      </c>
      <c r="AH176" s="6">
        <f t="shared" si="9"/>
        <v>7.3922103473101006E-2</v>
      </c>
      <c r="AI176" s="3">
        <f t="shared" si="10"/>
        <v>15</v>
      </c>
      <c r="AJ176" s="3" t="str">
        <f t="shared" si="11"/>
        <v>passed</v>
      </c>
      <c r="AK176" s="3">
        <f t="shared" si="12"/>
        <v>1</v>
      </c>
      <c r="AL176" s="3">
        <v>3.7329207047056929</v>
      </c>
      <c r="AM176" s="3">
        <v>0.88764800029949198</v>
      </c>
      <c r="AN176" s="3">
        <v>-4.122127915567936</v>
      </c>
    </row>
    <row r="177" spans="1:40" x14ac:dyDescent="0.2">
      <c r="A177">
        <v>59749</v>
      </c>
      <c r="B177" s="1">
        <v>44221.617881944447</v>
      </c>
      <c r="C177" t="s">
        <v>2</v>
      </c>
      <c r="D177">
        <v>49</v>
      </c>
      <c r="E177">
        <v>0.11572657243696</v>
      </c>
      <c r="F177">
        <v>0.25906746075644999</v>
      </c>
      <c r="G177">
        <v>3.041675801431E-2</v>
      </c>
      <c r="H177">
        <v>1</v>
      </c>
      <c r="I177">
        <v>0</v>
      </c>
      <c r="J177">
        <v>1</v>
      </c>
      <c r="K177">
        <v>1</v>
      </c>
      <c r="L177">
        <v>1</v>
      </c>
      <c r="M177">
        <v>0</v>
      </c>
      <c r="N177">
        <v>0</v>
      </c>
      <c r="O177">
        <v>0</v>
      </c>
      <c r="P177">
        <v>0</v>
      </c>
      <c r="Q177">
        <v>1</v>
      </c>
      <c r="R177">
        <v>0</v>
      </c>
      <c r="S177">
        <v>0</v>
      </c>
      <c r="T177">
        <v>1</v>
      </c>
      <c r="U177">
        <v>0</v>
      </c>
      <c r="V177">
        <v>0</v>
      </c>
      <c r="W177">
        <v>0</v>
      </c>
      <c r="X177">
        <v>0</v>
      </c>
      <c r="Y177">
        <v>2</v>
      </c>
      <c r="Z177">
        <v>1</v>
      </c>
      <c r="AA177">
        <v>1</v>
      </c>
      <c r="AB177">
        <v>2</v>
      </c>
      <c r="AC177">
        <v>4</v>
      </c>
      <c r="AD177">
        <v>4</v>
      </c>
      <c r="AE177">
        <v>4</v>
      </c>
      <c r="AF177">
        <v>4</v>
      </c>
      <c r="AH177" s="6">
        <f t="shared" si="9"/>
        <v>0.11572657243696</v>
      </c>
      <c r="AI177" s="3">
        <f t="shared" si="10"/>
        <v>15</v>
      </c>
      <c r="AJ177" s="3" t="str">
        <f t="shared" si="11"/>
        <v>passed</v>
      </c>
      <c r="AK177" s="3">
        <f t="shared" si="12"/>
        <v>1</v>
      </c>
      <c r="AL177" s="3">
        <v>0.67422934699014048</v>
      </c>
      <c r="AM177" s="3">
        <v>0.1049318204395548</v>
      </c>
      <c r="AN177" s="3">
        <v>-5.3225301173051323</v>
      </c>
    </row>
    <row r="178" spans="1:40" x14ac:dyDescent="0.2">
      <c r="A178">
        <v>59803</v>
      </c>
      <c r="B178" s="1">
        <v>44221.818009259259</v>
      </c>
      <c r="C178" t="s">
        <v>3</v>
      </c>
      <c r="D178">
        <v>59</v>
      </c>
      <c r="E178">
        <v>1.3438946190192</v>
      </c>
      <c r="F178">
        <v>0.31622580478381002</v>
      </c>
      <c r="G178">
        <v>0.23165821534716999</v>
      </c>
      <c r="H178">
        <v>2</v>
      </c>
      <c r="I178">
        <v>1</v>
      </c>
      <c r="J178">
        <v>1</v>
      </c>
      <c r="K178">
        <v>1</v>
      </c>
      <c r="L178">
        <v>1</v>
      </c>
      <c r="M178">
        <v>1</v>
      </c>
      <c r="N178">
        <v>1</v>
      </c>
      <c r="O178">
        <v>1</v>
      </c>
      <c r="P178">
        <v>1</v>
      </c>
      <c r="Q178">
        <v>1</v>
      </c>
      <c r="R178">
        <v>0</v>
      </c>
      <c r="S178">
        <v>0</v>
      </c>
      <c r="T178">
        <v>1</v>
      </c>
      <c r="U178">
        <v>0</v>
      </c>
      <c r="V178">
        <v>0</v>
      </c>
      <c r="W178">
        <v>0</v>
      </c>
      <c r="X178">
        <v>0</v>
      </c>
      <c r="Y178">
        <v>1</v>
      </c>
      <c r="Z178">
        <v>1</v>
      </c>
      <c r="AA178">
        <v>1</v>
      </c>
      <c r="AB178">
        <v>1</v>
      </c>
      <c r="AC178">
        <v>3</v>
      </c>
      <c r="AD178">
        <v>4</v>
      </c>
      <c r="AE178">
        <v>4</v>
      </c>
      <c r="AF178">
        <v>4</v>
      </c>
      <c r="AG178" t="s">
        <v>147</v>
      </c>
      <c r="AH178" s="6">
        <f t="shared" si="9"/>
        <v>1.3438946190192</v>
      </c>
      <c r="AI178" s="3">
        <f t="shared" si="10"/>
        <v>15</v>
      </c>
      <c r="AJ178" s="3" t="str">
        <f t="shared" si="11"/>
        <v>passed</v>
      </c>
      <c r="AK178" s="3">
        <f t="shared" si="12"/>
        <v>1</v>
      </c>
      <c r="AL178" s="3">
        <v>6.4733959717305476</v>
      </c>
      <c r="AM178" s="3">
        <v>1.074488380695986</v>
      </c>
      <c r="AN178" s="3">
        <v>-4.7739011839186238</v>
      </c>
    </row>
    <row r="179" spans="1:40" x14ac:dyDescent="0.2">
      <c r="A179">
        <v>62812</v>
      </c>
      <c r="B179" s="1">
        <v>44357.797754629632</v>
      </c>
      <c r="C179" t="s">
        <v>2</v>
      </c>
      <c r="D179">
        <v>72</v>
      </c>
      <c r="E179">
        <v>8.6393602700519004E-2</v>
      </c>
      <c r="F179">
        <v>0.24734204600972001</v>
      </c>
      <c r="G179">
        <v>0.18563361411738</v>
      </c>
      <c r="H179">
        <v>2</v>
      </c>
      <c r="I179">
        <v>1</v>
      </c>
      <c r="J179">
        <v>1</v>
      </c>
      <c r="K179">
        <v>1</v>
      </c>
      <c r="L179">
        <v>1</v>
      </c>
      <c r="M179">
        <v>1</v>
      </c>
      <c r="N179">
        <v>0</v>
      </c>
      <c r="O179">
        <v>0</v>
      </c>
      <c r="P179">
        <v>0</v>
      </c>
      <c r="Q179">
        <v>2</v>
      </c>
      <c r="R179">
        <v>0</v>
      </c>
      <c r="S179">
        <v>1</v>
      </c>
      <c r="T179">
        <v>1</v>
      </c>
      <c r="U179">
        <v>0</v>
      </c>
      <c r="V179">
        <v>0</v>
      </c>
      <c r="W179">
        <v>0</v>
      </c>
      <c r="X179">
        <v>0</v>
      </c>
      <c r="Y179">
        <v>1</v>
      </c>
      <c r="Z179">
        <v>2</v>
      </c>
      <c r="AA179">
        <v>2</v>
      </c>
      <c r="AB179">
        <v>1</v>
      </c>
      <c r="AC179">
        <v>5</v>
      </c>
      <c r="AD179">
        <v>4</v>
      </c>
      <c r="AE179">
        <v>4</v>
      </c>
      <c r="AF179">
        <v>4</v>
      </c>
      <c r="AH179" s="6">
        <f t="shared" si="9"/>
        <v>8.6393602700519004E-2</v>
      </c>
      <c r="AI179" s="3">
        <f t="shared" si="10"/>
        <v>15</v>
      </c>
      <c r="AJ179" s="3" t="str">
        <f t="shared" si="11"/>
        <v>passed</v>
      </c>
      <c r="AK179" s="3">
        <f t="shared" si="12"/>
        <v>1</v>
      </c>
      <c r="AL179" s="3">
        <v>3.8776246994808949</v>
      </c>
      <c r="AM179" s="3">
        <v>0.66567060349505447</v>
      </c>
      <c r="AN179" s="3">
        <v>-5.6953560467816926</v>
      </c>
    </row>
    <row r="180" spans="1:40" x14ac:dyDescent="0.2">
      <c r="A180">
        <v>62882</v>
      </c>
      <c r="B180" s="1">
        <v>44361.384201388886</v>
      </c>
      <c r="C180" t="s">
        <v>14</v>
      </c>
      <c r="D180">
        <v>26</v>
      </c>
      <c r="E180">
        <v>0.16272327023491001</v>
      </c>
      <c r="F180">
        <v>0.16915460355126</v>
      </c>
      <c r="G180">
        <v>0.23232786809433001</v>
      </c>
      <c r="H180">
        <v>1</v>
      </c>
      <c r="I180">
        <v>1</v>
      </c>
      <c r="J180">
        <v>1</v>
      </c>
      <c r="K180">
        <v>0</v>
      </c>
      <c r="L180">
        <v>1</v>
      </c>
      <c r="M180">
        <v>0</v>
      </c>
      <c r="N180">
        <v>0</v>
      </c>
      <c r="O180">
        <v>0</v>
      </c>
      <c r="P180">
        <v>0</v>
      </c>
      <c r="Q180">
        <v>2</v>
      </c>
      <c r="R180">
        <v>0</v>
      </c>
      <c r="S180">
        <v>0</v>
      </c>
      <c r="T180">
        <v>0</v>
      </c>
      <c r="U180">
        <v>0</v>
      </c>
      <c r="V180">
        <v>1</v>
      </c>
      <c r="W180">
        <v>1</v>
      </c>
      <c r="X180">
        <v>0</v>
      </c>
      <c r="Y180">
        <v>2</v>
      </c>
      <c r="Z180">
        <v>1</v>
      </c>
      <c r="AA180">
        <v>1</v>
      </c>
      <c r="AB180">
        <v>1</v>
      </c>
      <c r="AC180">
        <v>4</v>
      </c>
      <c r="AD180">
        <v>4</v>
      </c>
      <c r="AE180">
        <v>3</v>
      </c>
      <c r="AF180">
        <v>4</v>
      </c>
      <c r="AG180" t="s">
        <v>167</v>
      </c>
      <c r="AH180" s="6">
        <f t="shared" si="9"/>
        <v>0.16272327023491001</v>
      </c>
      <c r="AI180" s="3">
        <f t="shared" si="10"/>
        <v>15</v>
      </c>
      <c r="AJ180" s="3" t="str">
        <f t="shared" si="11"/>
        <v>passed</v>
      </c>
      <c r="AK180" s="3">
        <f t="shared" si="12"/>
        <v>1</v>
      </c>
      <c r="AL180" s="3">
        <v>3.2130427104203081</v>
      </c>
      <c r="AM180" s="3">
        <v>0.59692121801101272</v>
      </c>
      <c r="AN180" s="3">
        <v>-5.1100871407273853</v>
      </c>
    </row>
    <row r="181" spans="1:40" x14ac:dyDescent="0.2">
      <c r="A181">
        <v>63482</v>
      </c>
      <c r="B181" s="1">
        <v>44411.886354166665</v>
      </c>
      <c r="C181" t="s">
        <v>2</v>
      </c>
      <c r="D181">
        <v>26</v>
      </c>
      <c r="E181">
        <v>3.3478865406006003E-2</v>
      </c>
      <c r="F181">
        <v>0.1580498500701</v>
      </c>
      <c r="G181">
        <v>0.20756115211132001</v>
      </c>
      <c r="H181">
        <v>1</v>
      </c>
      <c r="I181">
        <v>0</v>
      </c>
      <c r="J181">
        <v>1</v>
      </c>
      <c r="K181">
        <v>1</v>
      </c>
      <c r="L181">
        <v>1</v>
      </c>
      <c r="M181">
        <v>0</v>
      </c>
      <c r="N181">
        <v>0</v>
      </c>
      <c r="O181">
        <v>0</v>
      </c>
      <c r="P181">
        <v>0</v>
      </c>
      <c r="Q181">
        <v>2</v>
      </c>
      <c r="R181">
        <v>1</v>
      </c>
      <c r="S181">
        <v>1</v>
      </c>
      <c r="T181">
        <v>0</v>
      </c>
      <c r="U181">
        <v>1</v>
      </c>
      <c r="V181">
        <v>1</v>
      </c>
      <c r="W181">
        <v>0</v>
      </c>
      <c r="X181">
        <v>0</v>
      </c>
      <c r="Y181">
        <v>4</v>
      </c>
      <c r="Z181">
        <v>1</v>
      </c>
      <c r="AA181">
        <v>1</v>
      </c>
      <c r="AB181">
        <v>1</v>
      </c>
      <c r="AC181">
        <v>2</v>
      </c>
      <c r="AD181">
        <v>5</v>
      </c>
      <c r="AE181">
        <v>5</v>
      </c>
      <c r="AF181">
        <v>5</v>
      </c>
      <c r="AG181" t="s">
        <v>177</v>
      </c>
      <c r="AH181" s="6">
        <f t="shared" si="9"/>
        <v>3.3478865406006003E-2</v>
      </c>
      <c r="AI181" s="3">
        <f t="shared" si="10"/>
        <v>15</v>
      </c>
      <c r="AJ181" s="3" t="str">
        <f t="shared" si="11"/>
        <v>passed</v>
      </c>
      <c r="AK181" s="3">
        <f t="shared" si="12"/>
        <v>1</v>
      </c>
      <c r="AL181" s="3">
        <v>2.6695012625139038</v>
      </c>
      <c r="AM181" s="3">
        <v>0.48688166549136891</v>
      </c>
      <c r="AN181" s="3">
        <v>-5.4140925484379894</v>
      </c>
    </row>
    <row r="182" spans="1:40" x14ac:dyDescent="0.2">
      <c r="A182">
        <v>29104</v>
      </c>
      <c r="B182" s="1">
        <v>43391.467152777775</v>
      </c>
      <c r="C182" t="s">
        <v>3</v>
      </c>
      <c r="D182">
        <v>49</v>
      </c>
      <c r="E182">
        <v>0.10201378172351</v>
      </c>
      <c r="F182">
        <v>0.14272401972957</v>
      </c>
      <c r="G182">
        <v>0.16390494609952999</v>
      </c>
      <c r="H182">
        <v>1</v>
      </c>
      <c r="I182">
        <v>0</v>
      </c>
      <c r="J182">
        <v>1</v>
      </c>
      <c r="K182">
        <v>1</v>
      </c>
      <c r="L182">
        <v>1</v>
      </c>
      <c r="M182">
        <v>0</v>
      </c>
      <c r="N182">
        <v>0</v>
      </c>
      <c r="O182">
        <v>0</v>
      </c>
      <c r="P182">
        <v>0</v>
      </c>
      <c r="Q182">
        <v>2</v>
      </c>
      <c r="R182">
        <v>0</v>
      </c>
      <c r="S182">
        <v>1</v>
      </c>
      <c r="T182">
        <v>0</v>
      </c>
      <c r="U182">
        <v>0</v>
      </c>
      <c r="V182">
        <v>0</v>
      </c>
      <c r="W182">
        <v>0</v>
      </c>
      <c r="X182">
        <v>0</v>
      </c>
      <c r="Y182">
        <v>4</v>
      </c>
      <c r="Z182">
        <v>1</v>
      </c>
      <c r="AA182">
        <v>1</v>
      </c>
      <c r="AB182">
        <v>2</v>
      </c>
      <c r="AC182">
        <v>2</v>
      </c>
      <c r="AD182">
        <v>5</v>
      </c>
      <c r="AE182">
        <v>5</v>
      </c>
      <c r="AF182">
        <v>5</v>
      </c>
      <c r="AG182" t="s">
        <v>15</v>
      </c>
      <c r="AH182" s="6">
        <f t="shared" si="9"/>
        <v>0.10201378172351</v>
      </c>
      <c r="AI182" s="3">
        <f t="shared" si="10"/>
        <v>16</v>
      </c>
      <c r="AJ182" s="3" t="str">
        <f t="shared" si="11"/>
        <v>passed</v>
      </c>
      <c r="AK182" s="3">
        <f t="shared" si="12"/>
        <v>1</v>
      </c>
      <c r="AL182" s="3">
        <v>1.9168229333249169</v>
      </c>
      <c r="AM182" s="3">
        <v>0.31324082984784218</v>
      </c>
      <c r="AN182" s="3">
        <v>-5.7936545260812684</v>
      </c>
    </row>
    <row r="183" spans="1:40" x14ac:dyDescent="0.2">
      <c r="A183">
        <v>30889</v>
      </c>
      <c r="B183" s="1">
        <v>43416.69159722222</v>
      </c>
      <c r="C183" t="s">
        <v>2</v>
      </c>
      <c r="D183">
        <v>49</v>
      </c>
      <c r="E183">
        <v>4.9916234710050002E-2</v>
      </c>
      <c r="F183">
        <v>0.1912761756603</v>
      </c>
      <c r="G183">
        <v>0.20129014760253999</v>
      </c>
      <c r="H183">
        <v>1</v>
      </c>
      <c r="I183">
        <v>1</v>
      </c>
      <c r="J183">
        <v>1</v>
      </c>
      <c r="K183">
        <v>1</v>
      </c>
      <c r="L183">
        <v>0</v>
      </c>
      <c r="M183">
        <v>0</v>
      </c>
      <c r="N183">
        <v>0</v>
      </c>
      <c r="O183">
        <v>0</v>
      </c>
      <c r="P183">
        <v>0</v>
      </c>
      <c r="Q183">
        <v>1</v>
      </c>
      <c r="R183">
        <v>1</v>
      </c>
      <c r="S183">
        <v>0</v>
      </c>
      <c r="T183">
        <v>0</v>
      </c>
      <c r="U183">
        <v>1</v>
      </c>
      <c r="V183">
        <v>0</v>
      </c>
      <c r="W183">
        <v>0</v>
      </c>
      <c r="X183">
        <v>0</v>
      </c>
      <c r="Y183">
        <v>4</v>
      </c>
      <c r="Z183">
        <v>1</v>
      </c>
      <c r="AA183">
        <v>1</v>
      </c>
      <c r="AB183">
        <v>1</v>
      </c>
      <c r="AC183">
        <v>1</v>
      </c>
      <c r="AD183">
        <v>5</v>
      </c>
      <c r="AE183">
        <v>5</v>
      </c>
      <c r="AF183">
        <v>5</v>
      </c>
      <c r="AG183" t="s">
        <v>76</v>
      </c>
      <c r="AH183" s="6">
        <f t="shared" si="9"/>
        <v>4.9916234710050002E-2</v>
      </c>
      <c r="AI183" s="3">
        <f t="shared" si="10"/>
        <v>16</v>
      </c>
      <c r="AJ183" s="3" t="str">
        <f t="shared" si="11"/>
        <v>passed</v>
      </c>
      <c r="AK183" s="3">
        <f t="shared" si="12"/>
        <v>1</v>
      </c>
      <c r="AL183" s="3">
        <v>3.2620132076534372</v>
      </c>
      <c r="AM183" s="3">
        <v>0.50801865046556893</v>
      </c>
      <c r="AN183" s="3">
        <v>-6.3227934053202413</v>
      </c>
    </row>
    <row r="184" spans="1:40" x14ac:dyDescent="0.2">
      <c r="A184">
        <v>30893</v>
      </c>
      <c r="B184" s="1">
        <v>43416.730624999997</v>
      </c>
      <c r="C184" t="s">
        <v>3</v>
      </c>
      <c r="D184">
        <v>38</v>
      </c>
      <c r="E184">
        <v>8.1478657223113996E-2</v>
      </c>
      <c r="F184">
        <v>0.26475788975827003</v>
      </c>
      <c r="G184">
        <v>0.18277075819017999</v>
      </c>
      <c r="H184">
        <v>2</v>
      </c>
      <c r="I184">
        <v>1</v>
      </c>
      <c r="J184">
        <v>1</v>
      </c>
      <c r="K184">
        <v>1</v>
      </c>
      <c r="L184">
        <v>1</v>
      </c>
      <c r="M184">
        <v>1</v>
      </c>
      <c r="N184">
        <v>0</v>
      </c>
      <c r="O184">
        <v>0</v>
      </c>
      <c r="P184">
        <v>0</v>
      </c>
      <c r="Q184">
        <v>1</v>
      </c>
      <c r="R184">
        <v>0</v>
      </c>
      <c r="S184">
        <v>0</v>
      </c>
      <c r="T184">
        <v>0</v>
      </c>
      <c r="U184">
        <v>1</v>
      </c>
      <c r="V184">
        <v>1</v>
      </c>
      <c r="W184">
        <v>0</v>
      </c>
      <c r="X184">
        <v>0</v>
      </c>
      <c r="Y184">
        <v>2</v>
      </c>
      <c r="Z184">
        <v>2</v>
      </c>
      <c r="AA184">
        <v>1</v>
      </c>
      <c r="AB184">
        <v>1</v>
      </c>
      <c r="AC184">
        <v>3</v>
      </c>
      <c r="AD184">
        <v>3</v>
      </c>
      <c r="AE184">
        <v>5</v>
      </c>
      <c r="AF184">
        <v>5</v>
      </c>
      <c r="AG184" t="s">
        <v>78</v>
      </c>
      <c r="AH184" s="6">
        <f t="shared" si="9"/>
        <v>8.1478657223113996E-2</v>
      </c>
      <c r="AI184" s="3">
        <f t="shared" si="10"/>
        <v>16</v>
      </c>
      <c r="AJ184" s="3" t="str">
        <f t="shared" si="11"/>
        <v>passed</v>
      </c>
      <c r="AK184" s="3">
        <f t="shared" si="12"/>
        <v>1</v>
      </c>
      <c r="AL184" s="3">
        <v>3.4448235097446052</v>
      </c>
      <c r="AM184" s="3">
        <v>0.62800346352620229</v>
      </c>
      <c r="AN184" s="3">
        <v>-5.3556151324970571</v>
      </c>
    </row>
    <row r="185" spans="1:40" x14ac:dyDescent="0.2">
      <c r="A185">
        <v>30900</v>
      </c>
      <c r="B185" s="1">
        <v>43416.817453703705</v>
      </c>
      <c r="C185" t="s">
        <v>3</v>
      </c>
      <c r="D185">
        <v>30</v>
      </c>
      <c r="E185">
        <v>0.12300337153033999</v>
      </c>
      <c r="F185">
        <v>0.32289852004101</v>
      </c>
      <c r="G185">
        <v>0.24301820300332</v>
      </c>
      <c r="H185">
        <v>1</v>
      </c>
      <c r="I185">
        <v>1</v>
      </c>
      <c r="J185">
        <v>1</v>
      </c>
      <c r="K185">
        <v>1</v>
      </c>
      <c r="L185">
        <v>0</v>
      </c>
      <c r="M185">
        <v>0</v>
      </c>
      <c r="N185">
        <v>0</v>
      </c>
      <c r="O185">
        <v>0</v>
      </c>
      <c r="P185">
        <v>0</v>
      </c>
      <c r="Q185">
        <v>1</v>
      </c>
      <c r="R185">
        <v>0</v>
      </c>
      <c r="S185">
        <v>0</v>
      </c>
      <c r="T185">
        <v>0</v>
      </c>
      <c r="U185">
        <v>1</v>
      </c>
      <c r="V185">
        <v>1</v>
      </c>
      <c r="W185">
        <v>1</v>
      </c>
      <c r="X185">
        <v>0</v>
      </c>
      <c r="Y185">
        <v>1</v>
      </c>
      <c r="Z185">
        <v>1</v>
      </c>
      <c r="AA185">
        <v>1</v>
      </c>
      <c r="AB185">
        <v>2</v>
      </c>
      <c r="AC185">
        <v>4</v>
      </c>
      <c r="AD185">
        <v>4</v>
      </c>
      <c r="AE185">
        <v>4</v>
      </c>
      <c r="AF185">
        <v>2</v>
      </c>
      <c r="AH185" s="6">
        <f t="shared" si="9"/>
        <v>0.12300337153033999</v>
      </c>
      <c r="AI185" s="3">
        <f t="shared" si="10"/>
        <v>16</v>
      </c>
      <c r="AJ185" s="3" t="str">
        <f t="shared" si="11"/>
        <v>passed</v>
      </c>
      <c r="AK185" s="3">
        <f t="shared" si="12"/>
        <v>1</v>
      </c>
      <c r="AL185" s="3">
        <v>6.970389034983655</v>
      </c>
      <c r="AM185" s="3">
        <v>1.204747393374987</v>
      </c>
      <c r="AN185" s="3">
        <v>-5.6836692082570153</v>
      </c>
    </row>
    <row r="186" spans="1:40" x14ac:dyDescent="0.2">
      <c r="A186">
        <v>38820</v>
      </c>
      <c r="B186" s="1">
        <v>43587.80096064815</v>
      </c>
      <c r="C186" t="s">
        <v>3</v>
      </c>
      <c r="D186">
        <v>33</v>
      </c>
      <c r="E186">
        <v>4.7859981142239997E-3</v>
      </c>
      <c r="F186">
        <v>2.2215818212424999E-2</v>
      </c>
      <c r="G186">
        <v>1.0056541161837001E-2</v>
      </c>
      <c r="H186">
        <v>1</v>
      </c>
      <c r="I186">
        <v>1</v>
      </c>
      <c r="J186">
        <v>1</v>
      </c>
      <c r="K186">
        <v>1</v>
      </c>
      <c r="L186">
        <v>1</v>
      </c>
      <c r="M186">
        <v>1</v>
      </c>
      <c r="N186">
        <v>1</v>
      </c>
      <c r="O186">
        <v>1</v>
      </c>
      <c r="P186">
        <v>0</v>
      </c>
      <c r="Q186">
        <v>2</v>
      </c>
      <c r="R186">
        <v>1</v>
      </c>
      <c r="S186">
        <v>0</v>
      </c>
      <c r="T186">
        <v>0</v>
      </c>
      <c r="U186">
        <v>1</v>
      </c>
      <c r="V186">
        <v>0</v>
      </c>
      <c r="W186">
        <v>0</v>
      </c>
      <c r="X186">
        <v>0</v>
      </c>
      <c r="Y186">
        <v>1</v>
      </c>
      <c r="Z186">
        <v>1</v>
      </c>
      <c r="AA186">
        <v>1</v>
      </c>
      <c r="AB186">
        <v>1</v>
      </c>
      <c r="AC186">
        <v>4</v>
      </c>
      <c r="AD186">
        <v>4</v>
      </c>
      <c r="AE186">
        <v>4</v>
      </c>
      <c r="AF186">
        <v>1</v>
      </c>
      <c r="AG186" t="s">
        <v>89</v>
      </c>
      <c r="AH186" s="6">
        <f t="shared" si="9"/>
        <v>4.7859981142239997E-3</v>
      </c>
      <c r="AI186" s="3">
        <f t="shared" si="10"/>
        <v>16</v>
      </c>
      <c r="AJ186" s="3" t="str">
        <f t="shared" si="11"/>
        <v>passed</v>
      </c>
      <c r="AK186" s="3">
        <f t="shared" si="12"/>
        <v>1</v>
      </c>
      <c r="AL186" s="3">
        <v>4.6268415779903019E-3</v>
      </c>
      <c r="AM186" s="3">
        <v>2.7088414993337961E-3</v>
      </c>
      <c r="AN186" s="3">
        <v>5.8754466170493229E-2</v>
      </c>
    </row>
    <row r="187" spans="1:40" x14ac:dyDescent="0.2">
      <c r="A187">
        <v>53381</v>
      </c>
      <c r="B187" s="1">
        <v>43916.977800925924</v>
      </c>
      <c r="C187" t="s">
        <v>3</v>
      </c>
      <c r="D187">
        <v>65</v>
      </c>
      <c r="E187">
        <v>0.23776038774170999</v>
      </c>
      <c r="F187">
        <v>0.18942158751499999</v>
      </c>
      <c r="G187">
        <v>0.28110613559452002</v>
      </c>
      <c r="H187">
        <v>1</v>
      </c>
      <c r="I187">
        <v>1</v>
      </c>
      <c r="J187">
        <v>1</v>
      </c>
      <c r="K187">
        <v>1</v>
      </c>
      <c r="L187">
        <v>0</v>
      </c>
      <c r="M187">
        <v>0</v>
      </c>
      <c r="N187">
        <v>0</v>
      </c>
      <c r="O187">
        <v>0</v>
      </c>
      <c r="P187">
        <v>0</v>
      </c>
      <c r="Q187">
        <v>2</v>
      </c>
      <c r="R187">
        <v>0</v>
      </c>
      <c r="S187">
        <v>0</v>
      </c>
      <c r="T187">
        <v>0</v>
      </c>
      <c r="U187">
        <v>1</v>
      </c>
      <c r="V187">
        <v>0</v>
      </c>
      <c r="W187">
        <v>0</v>
      </c>
      <c r="X187">
        <v>0</v>
      </c>
      <c r="Y187">
        <v>3</v>
      </c>
      <c r="Z187">
        <v>3</v>
      </c>
      <c r="AA187">
        <v>3</v>
      </c>
      <c r="AB187">
        <v>2</v>
      </c>
      <c r="AC187">
        <v>5</v>
      </c>
      <c r="AD187">
        <v>5</v>
      </c>
      <c r="AE187">
        <v>5</v>
      </c>
      <c r="AF187">
        <v>5</v>
      </c>
      <c r="AG187" t="s">
        <v>122</v>
      </c>
      <c r="AH187" s="6">
        <f t="shared" si="9"/>
        <v>0.23776038774170999</v>
      </c>
      <c r="AI187" s="3">
        <f t="shared" si="10"/>
        <v>16</v>
      </c>
      <c r="AJ187" s="3" t="str">
        <f t="shared" si="11"/>
        <v>passed</v>
      </c>
      <c r="AK187" s="3">
        <f t="shared" si="12"/>
        <v>1</v>
      </c>
      <c r="AL187" s="3">
        <v>3.905536628464684</v>
      </c>
      <c r="AM187" s="3">
        <v>0.74569240385854363</v>
      </c>
      <c r="AN187" s="3">
        <v>-4.9186182154253864</v>
      </c>
    </row>
    <row r="188" spans="1:40" x14ac:dyDescent="0.2">
      <c r="A188">
        <v>55459</v>
      </c>
      <c r="B188" s="1">
        <v>43986.756192129629</v>
      </c>
      <c r="C188" t="s">
        <v>3</v>
      </c>
      <c r="D188">
        <v>19</v>
      </c>
      <c r="E188">
        <v>3.5156342959472002E-2</v>
      </c>
      <c r="F188">
        <v>0.24865147724091</v>
      </c>
      <c r="G188">
        <v>0.1157416800992</v>
      </c>
      <c r="H188">
        <v>1</v>
      </c>
      <c r="I188">
        <v>0</v>
      </c>
      <c r="J188">
        <v>1</v>
      </c>
      <c r="K188">
        <v>1</v>
      </c>
      <c r="L188">
        <v>1</v>
      </c>
      <c r="M188">
        <v>0</v>
      </c>
      <c r="N188">
        <v>0</v>
      </c>
      <c r="O188">
        <v>0</v>
      </c>
      <c r="P188">
        <v>0</v>
      </c>
      <c r="Q188">
        <v>2</v>
      </c>
      <c r="R188">
        <v>0</v>
      </c>
      <c r="S188">
        <v>0</v>
      </c>
      <c r="T188">
        <v>1</v>
      </c>
      <c r="U188">
        <v>1</v>
      </c>
      <c r="V188">
        <v>0</v>
      </c>
      <c r="W188">
        <v>1</v>
      </c>
      <c r="X188">
        <v>0</v>
      </c>
      <c r="Y188">
        <v>4</v>
      </c>
      <c r="Z188">
        <v>1</v>
      </c>
      <c r="AA188">
        <v>1</v>
      </c>
      <c r="AB188">
        <v>1</v>
      </c>
      <c r="AC188">
        <v>2</v>
      </c>
      <c r="AD188">
        <v>5</v>
      </c>
      <c r="AE188">
        <v>5</v>
      </c>
      <c r="AF188">
        <v>4</v>
      </c>
      <c r="AG188" t="s">
        <v>135</v>
      </c>
      <c r="AH188" s="6">
        <f t="shared" si="9"/>
        <v>3.5156342959472002E-2</v>
      </c>
      <c r="AI188" s="3">
        <f t="shared" si="10"/>
        <v>16</v>
      </c>
      <c r="AJ188" s="3" t="str">
        <f t="shared" si="11"/>
        <v>passed</v>
      </c>
      <c r="AK188" s="3">
        <f t="shared" si="12"/>
        <v>1</v>
      </c>
      <c r="AL188" s="3">
        <v>2.281340295254159</v>
      </c>
      <c r="AM188" s="3">
        <v>0.43863221176123451</v>
      </c>
      <c r="AN188" s="3">
        <v>-5.1208823521546929</v>
      </c>
    </row>
    <row r="189" spans="1:40" x14ac:dyDescent="0.2">
      <c r="A189">
        <v>62934</v>
      </c>
      <c r="B189" s="1">
        <v>44363.401863425926</v>
      </c>
      <c r="C189" t="s">
        <v>3</v>
      </c>
      <c r="D189">
        <v>23</v>
      </c>
      <c r="E189">
        <v>0.11969707679103</v>
      </c>
      <c r="F189">
        <v>0.30550390668172001</v>
      </c>
      <c r="G189">
        <v>0.18610899268122999</v>
      </c>
      <c r="H189">
        <v>1</v>
      </c>
      <c r="I189">
        <v>1</v>
      </c>
      <c r="J189">
        <v>1</v>
      </c>
      <c r="K189">
        <v>0</v>
      </c>
      <c r="L189">
        <v>0</v>
      </c>
      <c r="M189">
        <v>0</v>
      </c>
      <c r="N189">
        <v>0</v>
      </c>
      <c r="O189">
        <v>0</v>
      </c>
      <c r="P189">
        <v>0</v>
      </c>
      <c r="Q189">
        <v>2</v>
      </c>
      <c r="R189">
        <v>1</v>
      </c>
      <c r="S189">
        <v>1</v>
      </c>
      <c r="T189">
        <v>0</v>
      </c>
      <c r="U189">
        <v>1</v>
      </c>
      <c r="V189">
        <v>1</v>
      </c>
      <c r="W189">
        <v>1</v>
      </c>
      <c r="X189">
        <v>0</v>
      </c>
      <c r="Y189">
        <v>3</v>
      </c>
      <c r="Z189">
        <v>1</v>
      </c>
      <c r="AA189">
        <v>1</v>
      </c>
      <c r="AB189">
        <v>2</v>
      </c>
      <c r="AC189">
        <v>2</v>
      </c>
      <c r="AD189">
        <v>5</v>
      </c>
      <c r="AE189">
        <v>5</v>
      </c>
      <c r="AF189">
        <v>4</v>
      </c>
      <c r="AG189" t="s">
        <v>170</v>
      </c>
      <c r="AH189" s="6">
        <f t="shared" si="9"/>
        <v>0.11969707679103</v>
      </c>
      <c r="AI189" s="3">
        <f t="shared" si="10"/>
        <v>16</v>
      </c>
      <c r="AJ189" s="3" t="str">
        <f t="shared" si="11"/>
        <v>passed</v>
      </c>
      <c r="AK189" s="3">
        <f t="shared" si="12"/>
        <v>1</v>
      </c>
      <c r="AL189" s="3">
        <v>4.8697424102589997</v>
      </c>
      <c r="AM189" s="3">
        <v>0.80134776407687458</v>
      </c>
      <c r="AN189" s="3">
        <v>-5.9275704586757749</v>
      </c>
    </row>
    <row r="190" spans="1:40" x14ac:dyDescent="0.2">
      <c r="A190">
        <v>63742</v>
      </c>
      <c r="B190" s="1">
        <v>44437.783310185187</v>
      </c>
      <c r="C190" t="s">
        <v>3</v>
      </c>
      <c r="D190">
        <v>54</v>
      </c>
      <c r="E190">
        <v>8.2855434218073995E-2</v>
      </c>
      <c r="F190">
        <v>0.20216942442697</v>
      </c>
      <c r="G190">
        <v>4.4698873270817001E-2</v>
      </c>
      <c r="H190">
        <v>2</v>
      </c>
      <c r="I190">
        <v>1</v>
      </c>
      <c r="J190">
        <v>1</v>
      </c>
      <c r="K190">
        <v>1</v>
      </c>
      <c r="L190">
        <v>0</v>
      </c>
      <c r="M190">
        <v>0</v>
      </c>
      <c r="N190">
        <v>0</v>
      </c>
      <c r="O190">
        <v>0</v>
      </c>
      <c r="P190">
        <v>0</v>
      </c>
      <c r="Q190">
        <v>2</v>
      </c>
      <c r="R190">
        <v>0</v>
      </c>
      <c r="S190">
        <v>0</v>
      </c>
      <c r="T190">
        <v>1</v>
      </c>
      <c r="U190">
        <v>0</v>
      </c>
      <c r="V190">
        <v>1</v>
      </c>
      <c r="W190">
        <v>0</v>
      </c>
      <c r="X190">
        <v>0</v>
      </c>
      <c r="Y190">
        <v>2</v>
      </c>
      <c r="Z190">
        <v>1</v>
      </c>
      <c r="AA190">
        <v>1</v>
      </c>
      <c r="AB190">
        <v>2</v>
      </c>
      <c r="AC190">
        <v>4</v>
      </c>
      <c r="AD190">
        <v>4</v>
      </c>
      <c r="AE190">
        <v>4</v>
      </c>
      <c r="AF190">
        <v>4</v>
      </c>
      <c r="AG190" t="s">
        <v>179</v>
      </c>
      <c r="AH190" s="6">
        <f t="shared" si="9"/>
        <v>8.2855434218073995E-2</v>
      </c>
      <c r="AI190" s="3">
        <f t="shared" si="10"/>
        <v>16</v>
      </c>
      <c r="AJ190" s="3" t="str">
        <f t="shared" si="11"/>
        <v>passed</v>
      </c>
      <c r="AK190" s="3">
        <f t="shared" si="12"/>
        <v>1</v>
      </c>
      <c r="AL190" s="3">
        <v>0.65414469007209153</v>
      </c>
      <c r="AM190" s="3">
        <v>0.1279753604643715</v>
      </c>
      <c r="AN190" s="3">
        <v>-4.4640566260648704</v>
      </c>
    </row>
    <row r="191" spans="1:40" x14ac:dyDescent="0.2">
      <c r="A191">
        <v>29027</v>
      </c>
      <c r="B191" s="1">
        <v>43390.509131944447</v>
      </c>
      <c r="C191" t="s">
        <v>3</v>
      </c>
      <c r="D191">
        <v>54</v>
      </c>
      <c r="E191" s="2">
        <v>1.9141776286641001E-16</v>
      </c>
      <c r="F191">
        <v>1.3434026763481E-3</v>
      </c>
      <c r="G191">
        <v>9.2280799498922002E-4</v>
      </c>
      <c r="H191">
        <v>2</v>
      </c>
      <c r="I191">
        <v>1</v>
      </c>
      <c r="J191">
        <v>0</v>
      </c>
      <c r="K191">
        <v>0</v>
      </c>
      <c r="L191">
        <v>0</v>
      </c>
      <c r="M191">
        <v>0</v>
      </c>
      <c r="N191">
        <v>0</v>
      </c>
      <c r="O191">
        <v>0</v>
      </c>
      <c r="P191">
        <v>0</v>
      </c>
      <c r="Q191">
        <v>3</v>
      </c>
      <c r="R191">
        <v>1</v>
      </c>
      <c r="S191">
        <v>0</v>
      </c>
      <c r="T191">
        <v>0</v>
      </c>
      <c r="U191">
        <v>1</v>
      </c>
      <c r="V191">
        <v>1</v>
      </c>
      <c r="W191">
        <v>0</v>
      </c>
      <c r="X191">
        <v>0</v>
      </c>
      <c r="Y191">
        <v>2</v>
      </c>
      <c r="Z191">
        <v>3</v>
      </c>
      <c r="AA191">
        <v>3</v>
      </c>
      <c r="AB191">
        <v>1</v>
      </c>
      <c r="AC191">
        <v>5</v>
      </c>
      <c r="AD191">
        <v>4</v>
      </c>
      <c r="AE191">
        <v>4</v>
      </c>
      <c r="AF191">
        <v>5</v>
      </c>
      <c r="AG191" t="s">
        <v>11</v>
      </c>
      <c r="AH191" s="6">
        <f t="shared" si="9"/>
        <v>1.9141776286641001E-16</v>
      </c>
      <c r="AI191" s="3">
        <f t="shared" si="10"/>
        <v>17</v>
      </c>
      <c r="AJ191" s="3" t="str">
        <f t="shared" si="11"/>
        <v>passed</v>
      </c>
      <c r="AK191" s="3">
        <f t="shared" si="12"/>
        <v>1</v>
      </c>
      <c r="AL191" s="3">
        <v>3.195798727922624E-5</v>
      </c>
      <c r="AM191" s="3">
        <v>2.08325166765331E-5</v>
      </c>
      <c r="AN191" s="3">
        <v>-1.534043523182463</v>
      </c>
    </row>
    <row r="192" spans="1:40" x14ac:dyDescent="0.2">
      <c r="A192">
        <v>29157</v>
      </c>
      <c r="B192" s="1">
        <v>43391.640011574076</v>
      </c>
      <c r="C192" t="s">
        <v>3</v>
      </c>
      <c r="D192">
        <v>24</v>
      </c>
      <c r="E192">
        <v>0.19370255487520999</v>
      </c>
      <c r="F192">
        <v>0.25579792640847998</v>
      </c>
      <c r="G192">
        <v>0.17628129920859001</v>
      </c>
      <c r="H192">
        <v>1</v>
      </c>
      <c r="I192">
        <v>0</v>
      </c>
      <c r="J192">
        <v>1</v>
      </c>
      <c r="K192">
        <v>1</v>
      </c>
      <c r="L192">
        <v>1</v>
      </c>
      <c r="M192">
        <v>1</v>
      </c>
      <c r="N192">
        <v>1</v>
      </c>
      <c r="O192">
        <v>0</v>
      </c>
      <c r="P192">
        <v>1</v>
      </c>
      <c r="Q192">
        <v>2</v>
      </c>
      <c r="R192">
        <v>0</v>
      </c>
      <c r="S192">
        <v>0</v>
      </c>
      <c r="T192">
        <v>1</v>
      </c>
      <c r="U192">
        <v>1</v>
      </c>
      <c r="V192">
        <v>0</v>
      </c>
      <c r="W192">
        <v>1</v>
      </c>
      <c r="X192">
        <v>0</v>
      </c>
      <c r="Y192">
        <v>5</v>
      </c>
      <c r="Z192">
        <v>1</v>
      </c>
      <c r="AA192">
        <v>1</v>
      </c>
      <c r="AB192">
        <v>1</v>
      </c>
      <c r="AC192">
        <v>1</v>
      </c>
      <c r="AD192">
        <v>5</v>
      </c>
      <c r="AE192">
        <v>5</v>
      </c>
      <c r="AF192">
        <v>5</v>
      </c>
      <c r="AG192" t="s">
        <v>20</v>
      </c>
      <c r="AH192" s="6">
        <f t="shared" si="9"/>
        <v>0.19370255487520999</v>
      </c>
      <c r="AI192" s="3">
        <f t="shared" si="10"/>
        <v>17</v>
      </c>
      <c r="AJ192" s="3" t="str">
        <f t="shared" si="11"/>
        <v>passed</v>
      </c>
      <c r="AK192" s="3">
        <f t="shared" si="12"/>
        <v>1</v>
      </c>
      <c r="AL192" s="3">
        <v>3.8467618086887239</v>
      </c>
      <c r="AM192" s="3">
        <v>0.60849717872084619</v>
      </c>
      <c r="AN192" s="3">
        <v>-6.0034119821110776</v>
      </c>
    </row>
    <row r="193" spans="1:40" x14ac:dyDescent="0.2">
      <c r="A193">
        <v>29408</v>
      </c>
      <c r="B193" s="1">
        <v>43394.64707175926</v>
      </c>
      <c r="C193" t="s">
        <v>3</v>
      </c>
      <c r="D193">
        <v>53</v>
      </c>
      <c r="E193">
        <v>6.3014021006738002E-2</v>
      </c>
      <c r="F193">
        <v>0.19242974925572001</v>
      </c>
      <c r="G193">
        <v>0.19167215613745001</v>
      </c>
      <c r="H193">
        <v>1</v>
      </c>
      <c r="I193">
        <v>0</v>
      </c>
      <c r="J193">
        <v>1</v>
      </c>
      <c r="K193">
        <v>1</v>
      </c>
      <c r="L193">
        <v>1</v>
      </c>
      <c r="M193">
        <v>0</v>
      </c>
      <c r="N193">
        <v>0</v>
      </c>
      <c r="O193">
        <v>0</v>
      </c>
      <c r="P193">
        <v>0</v>
      </c>
      <c r="Q193">
        <v>1</v>
      </c>
      <c r="R193">
        <v>0</v>
      </c>
      <c r="S193">
        <v>1</v>
      </c>
      <c r="T193">
        <v>0</v>
      </c>
      <c r="U193">
        <v>1</v>
      </c>
      <c r="V193">
        <v>1</v>
      </c>
      <c r="W193">
        <v>1</v>
      </c>
      <c r="X193">
        <v>0</v>
      </c>
      <c r="Y193">
        <v>2</v>
      </c>
      <c r="Z193">
        <v>2</v>
      </c>
      <c r="AA193">
        <v>2</v>
      </c>
      <c r="AB193">
        <v>2</v>
      </c>
      <c r="AC193">
        <v>2</v>
      </c>
      <c r="AD193">
        <v>5</v>
      </c>
      <c r="AE193">
        <v>5</v>
      </c>
      <c r="AF193">
        <v>4</v>
      </c>
      <c r="AH193" s="6">
        <f t="shared" si="9"/>
        <v>6.3014021006738002E-2</v>
      </c>
      <c r="AI193" s="3">
        <f t="shared" si="10"/>
        <v>17</v>
      </c>
      <c r="AJ193" s="3" t="str">
        <f t="shared" si="11"/>
        <v>passed</v>
      </c>
      <c r="AK193" s="3">
        <f t="shared" si="12"/>
        <v>1</v>
      </c>
      <c r="AL193" s="3">
        <v>0.38095230664991447</v>
      </c>
      <c r="AM193" s="3">
        <v>7.4663838592087209E-2</v>
      </c>
      <c r="AN193" s="3">
        <v>-4.2582633258407272</v>
      </c>
    </row>
    <row r="194" spans="1:40" x14ac:dyDescent="0.2">
      <c r="A194">
        <v>29426</v>
      </c>
      <c r="B194" s="1">
        <v>43394.891238425924</v>
      </c>
      <c r="C194" t="s">
        <v>3</v>
      </c>
      <c r="D194">
        <v>39</v>
      </c>
      <c r="E194">
        <v>3.5798436564220999E-2</v>
      </c>
      <c r="F194">
        <v>9.1936004819759998E-2</v>
      </c>
      <c r="G194">
        <v>0.17148429659372999</v>
      </c>
      <c r="H194">
        <v>1</v>
      </c>
      <c r="I194">
        <v>0</v>
      </c>
      <c r="J194">
        <v>1</v>
      </c>
      <c r="K194">
        <v>1</v>
      </c>
      <c r="L194">
        <v>1</v>
      </c>
      <c r="M194">
        <v>0</v>
      </c>
      <c r="N194">
        <v>0</v>
      </c>
      <c r="O194">
        <v>0</v>
      </c>
      <c r="P194">
        <v>0</v>
      </c>
      <c r="Q194">
        <v>1</v>
      </c>
      <c r="R194">
        <v>0</v>
      </c>
      <c r="S194">
        <v>0</v>
      </c>
      <c r="T194">
        <v>0</v>
      </c>
      <c r="U194">
        <v>1</v>
      </c>
      <c r="V194">
        <v>1</v>
      </c>
      <c r="W194">
        <v>1</v>
      </c>
      <c r="X194">
        <v>0</v>
      </c>
      <c r="Y194">
        <v>5</v>
      </c>
      <c r="Z194">
        <v>1</v>
      </c>
      <c r="AA194">
        <v>1</v>
      </c>
      <c r="AB194">
        <v>1</v>
      </c>
      <c r="AC194">
        <v>1</v>
      </c>
      <c r="AD194">
        <v>5</v>
      </c>
      <c r="AE194">
        <v>5</v>
      </c>
      <c r="AF194">
        <v>5</v>
      </c>
      <c r="AH194" s="6">
        <f t="shared" ref="AH194:AH253" si="13">E194</f>
        <v>3.5798436564220999E-2</v>
      </c>
      <c r="AI194" s="3">
        <f t="shared" ref="AI194:AI253" si="14">H194+Y194+Z194+AA194+AB194+(6-AC194)+(6-AD194)+(6-AE194)+(6-AF194)</f>
        <v>17</v>
      </c>
      <c r="AJ194" s="3" t="str">
        <f t="shared" si="11"/>
        <v>passed</v>
      </c>
      <c r="AK194" s="3">
        <f t="shared" si="12"/>
        <v>1</v>
      </c>
      <c r="AL194" s="3">
        <v>1.0455108887924429</v>
      </c>
      <c r="AM194" s="3">
        <v>0.21734749373313961</v>
      </c>
      <c r="AN194" s="3">
        <v>-4.6456135052928316</v>
      </c>
    </row>
    <row r="195" spans="1:40" x14ac:dyDescent="0.2">
      <c r="A195">
        <v>29704</v>
      </c>
      <c r="B195" s="1">
        <v>43397.992025462961</v>
      </c>
      <c r="C195" t="s">
        <v>2</v>
      </c>
      <c r="D195">
        <v>22</v>
      </c>
      <c r="E195">
        <v>6.3637805125269994E-2</v>
      </c>
      <c r="F195">
        <v>0.21294374768440999</v>
      </c>
      <c r="G195">
        <v>0.18914988627702001</v>
      </c>
      <c r="H195">
        <v>4</v>
      </c>
      <c r="I195">
        <v>1</v>
      </c>
      <c r="J195">
        <v>0</v>
      </c>
      <c r="K195">
        <v>1</v>
      </c>
      <c r="L195">
        <v>0</v>
      </c>
      <c r="M195">
        <v>0</v>
      </c>
      <c r="N195">
        <v>0</v>
      </c>
      <c r="O195">
        <v>0</v>
      </c>
      <c r="P195">
        <v>0</v>
      </c>
      <c r="Q195">
        <v>2</v>
      </c>
      <c r="R195">
        <v>1</v>
      </c>
      <c r="S195">
        <v>0</v>
      </c>
      <c r="T195">
        <v>1</v>
      </c>
      <c r="U195">
        <v>0</v>
      </c>
      <c r="V195">
        <v>0</v>
      </c>
      <c r="W195">
        <v>1</v>
      </c>
      <c r="X195">
        <v>0</v>
      </c>
      <c r="Y195">
        <v>2</v>
      </c>
      <c r="Z195">
        <v>2</v>
      </c>
      <c r="AA195">
        <v>1</v>
      </c>
      <c r="AB195">
        <v>1</v>
      </c>
      <c r="AC195">
        <v>4</v>
      </c>
      <c r="AD195">
        <v>4</v>
      </c>
      <c r="AE195">
        <v>5</v>
      </c>
      <c r="AF195">
        <v>4</v>
      </c>
      <c r="AG195" t="s">
        <v>52</v>
      </c>
      <c r="AH195" s="6">
        <f t="shared" si="13"/>
        <v>6.3637805125269994E-2</v>
      </c>
      <c r="AI195" s="3">
        <f t="shared" si="14"/>
        <v>17</v>
      </c>
      <c r="AJ195" s="3" t="str">
        <f t="shared" ref="AJ195:AJ253" si="15">IF(AK195=1,"passed","failed")</f>
        <v>passed</v>
      </c>
      <c r="AK195" s="3">
        <f t="shared" ref="AK195:AK253" si="16">IF(AI195&lt;20,1,0)</f>
        <v>1</v>
      </c>
      <c r="AL195" s="3">
        <v>3.369173336921476</v>
      </c>
      <c r="AM195" s="3">
        <v>0.65883531379449556</v>
      </c>
      <c r="AN195" s="3">
        <v>-5.0172409744679713</v>
      </c>
    </row>
    <row r="196" spans="1:40" x14ac:dyDescent="0.2">
      <c r="A196">
        <v>30756</v>
      </c>
      <c r="B196" s="1">
        <v>43414.478692129633</v>
      </c>
      <c r="C196" t="s">
        <v>3</v>
      </c>
      <c r="D196">
        <v>37</v>
      </c>
      <c r="E196">
        <v>0.42649880336911999</v>
      </c>
      <c r="F196">
        <v>0.18448845532215999</v>
      </c>
      <c r="G196">
        <v>0.22011811838382001</v>
      </c>
      <c r="H196">
        <v>1</v>
      </c>
      <c r="I196">
        <v>0</v>
      </c>
      <c r="J196">
        <v>1</v>
      </c>
      <c r="K196">
        <v>1</v>
      </c>
      <c r="L196">
        <v>1</v>
      </c>
      <c r="M196">
        <v>0</v>
      </c>
      <c r="N196">
        <v>0</v>
      </c>
      <c r="O196">
        <v>0</v>
      </c>
      <c r="P196">
        <v>0</v>
      </c>
      <c r="Q196">
        <v>1</v>
      </c>
      <c r="R196">
        <v>0</v>
      </c>
      <c r="S196">
        <v>1</v>
      </c>
      <c r="T196">
        <v>0</v>
      </c>
      <c r="U196">
        <v>0</v>
      </c>
      <c r="V196">
        <v>1</v>
      </c>
      <c r="W196">
        <v>0</v>
      </c>
      <c r="X196">
        <v>0</v>
      </c>
      <c r="Y196">
        <v>4</v>
      </c>
      <c r="Z196">
        <v>1</v>
      </c>
      <c r="AA196">
        <v>1</v>
      </c>
      <c r="AB196">
        <v>1</v>
      </c>
      <c r="AC196">
        <v>1</v>
      </c>
      <c r="AD196">
        <v>4</v>
      </c>
      <c r="AE196">
        <v>5</v>
      </c>
      <c r="AF196">
        <v>5</v>
      </c>
      <c r="AG196" t="s">
        <v>73</v>
      </c>
      <c r="AH196" s="6">
        <f t="shared" si="13"/>
        <v>0.42649880336911999</v>
      </c>
      <c r="AI196" s="3">
        <f t="shared" si="14"/>
        <v>17</v>
      </c>
      <c r="AJ196" s="3" t="str">
        <f t="shared" si="15"/>
        <v>passed</v>
      </c>
      <c r="AK196" s="3">
        <f t="shared" si="16"/>
        <v>1</v>
      </c>
      <c r="AL196" s="3">
        <v>3.56260321134604</v>
      </c>
      <c r="AM196" s="3">
        <v>0.54944481872851436</v>
      </c>
      <c r="AN196" s="3">
        <v>-5.7077695540641704</v>
      </c>
    </row>
    <row r="197" spans="1:40" x14ac:dyDescent="0.2">
      <c r="A197">
        <v>33344</v>
      </c>
      <c r="B197" s="1">
        <v>43483.829861111109</v>
      </c>
      <c r="C197" t="s">
        <v>3</v>
      </c>
      <c r="D197">
        <v>17</v>
      </c>
      <c r="E197">
        <v>0.14572313986360999</v>
      </c>
      <c r="F197">
        <v>0.16311837055691999</v>
      </c>
      <c r="G197">
        <v>0.19791521416624999</v>
      </c>
      <c r="H197">
        <v>1</v>
      </c>
      <c r="I197">
        <v>1</v>
      </c>
      <c r="J197">
        <v>1</v>
      </c>
      <c r="K197">
        <v>0</v>
      </c>
      <c r="L197">
        <v>0</v>
      </c>
      <c r="M197">
        <v>0</v>
      </c>
      <c r="N197">
        <v>0</v>
      </c>
      <c r="O197">
        <v>0</v>
      </c>
      <c r="P197">
        <v>0</v>
      </c>
      <c r="Q197">
        <v>1</v>
      </c>
      <c r="R197">
        <v>0</v>
      </c>
      <c r="S197">
        <v>0</v>
      </c>
      <c r="T197">
        <v>1</v>
      </c>
      <c r="U197">
        <v>0</v>
      </c>
      <c r="V197">
        <v>0</v>
      </c>
      <c r="W197">
        <v>1</v>
      </c>
      <c r="X197">
        <v>1</v>
      </c>
      <c r="Y197">
        <v>5</v>
      </c>
      <c r="Z197">
        <v>1</v>
      </c>
      <c r="AA197">
        <v>1</v>
      </c>
      <c r="AB197">
        <v>1</v>
      </c>
      <c r="AC197">
        <v>1</v>
      </c>
      <c r="AD197">
        <v>5</v>
      </c>
      <c r="AE197">
        <v>5</v>
      </c>
      <c r="AF197">
        <v>5</v>
      </c>
      <c r="AG197" t="s">
        <v>85</v>
      </c>
      <c r="AH197" s="6">
        <f t="shared" si="13"/>
        <v>0.14572313986360999</v>
      </c>
      <c r="AI197" s="3">
        <f t="shared" si="14"/>
        <v>17</v>
      </c>
      <c r="AJ197" s="3" t="str">
        <f t="shared" si="15"/>
        <v>passed</v>
      </c>
      <c r="AK197" s="3">
        <f t="shared" si="16"/>
        <v>1</v>
      </c>
      <c r="AL197" s="3">
        <v>2.7153392056105199</v>
      </c>
      <c r="AM197" s="3">
        <v>0.41346945470682028</v>
      </c>
      <c r="AN197" s="3">
        <v>-6.2147663787375782</v>
      </c>
    </row>
    <row r="198" spans="1:40" x14ac:dyDescent="0.2">
      <c r="A198">
        <v>47246</v>
      </c>
      <c r="B198" s="1">
        <v>43829.827523148146</v>
      </c>
      <c r="C198" t="s">
        <v>3</v>
      </c>
      <c r="D198">
        <v>51</v>
      </c>
      <c r="E198">
        <v>0.17836250991780001</v>
      </c>
      <c r="F198">
        <v>0.33011937052619</v>
      </c>
      <c r="G198">
        <v>5.7108768358221998E-2</v>
      </c>
      <c r="H198">
        <v>2</v>
      </c>
      <c r="I198">
        <v>1</v>
      </c>
      <c r="J198">
        <v>1</v>
      </c>
      <c r="K198">
        <v>1</v>
      </c>
      <c r="L198">
        <v>1</v>
      </c>
      <c r="M198">
        <v>1</v>
      </c>
      <c r="N198">
        <v>1</v>
      </c>
      <c r="O198">
        <v>1</v>
      </c>
      <c r="P198">
        <v>1</v>
      </c>
      <c r="Q198">
        <v>2</v>
      </c>
      <c r="R198">
        <v>0</v>
      </c>
      <c r="S198">
        <v>0</v>
      </c>
      <c r="T198">
        <v>0</v>
      </c>
      <c r="U198">
        <v>1</v>
      </c>
      <c r="V198">
        <v>1</v>
      </c>
      <c r="W198">
        <v>0</v>
      </c>
      <c r="X198">
        <v>0</v>
      </c>
      <c r="Y198">
        <v>2</v>
      </c>
      <c r="Z198">
        <v>2</v>
      </c>
      <c r="AA198">
        <v>2</v>
      </c>
      <c r="AB198">
        <v>2</v>
      </c>
      <c r="AC198">
        <v>4</v>
      </c>
      <c r="AD198">
        <v>4</v>
      </c>
      <c r="AE198">
        <v>4</v>
      </c>
      <c r="AF198">
        <v>5</v>
      </c>
      <c r="AG198" t="s">
        <v>117</v>
      </c>
      <c r="AH198" s="6">
        <f t="shared" si="13"/>
        <v>0.17836250991780001</v>
      </c>
      <c r="AI198" s="3">
        <f t="shared" si="14"/>
        <v>17</v>
      </c>
      <c r="AJ198" s="3" t="str">
        <f t="shared" si="15"/>
        <v>passed</v>
      </c>
      <c r="AK198" s="3">
        <f t="shared" si="16"/>
        <v>1</v>
      </c>
      <c r="AL198" s="3">
        <v>1.6541503219045539</v>
      </c>
      <c r="AM198" s="3">
        <v>0.25387495767632973</v>
      </c>
      <c r="AN198" s="3">
        <v>-5.813049957720783</v>
      </c>
    </row>
    <row r="199" spans="1:40" x14ac:dyDescent="0.2">
      <c r="A199">
        <v>59741</v>
      </c>
      <c r="B199" s="1">
        <v>44221.593854166669</v>
      </c>
      <c r="C199" t="s">
        <v>3</v>
      </c>
      <c r="D199">
        <v>22</v>
      </c>
      <c r="E199">
        <v>0.11381251095585</v>
      </c>
      <c r="F199">
        <v>0.27346629667230998</v>
      </c>
      <c r="G199">
        <v>0.27783370833500998</v>
      </c>
      <c r="H199">
        <v>1</v>
      </c>
      <c r="I199">
        <v>1</v>
      </c>
      <c r="J199">
        <v>1</v>
      </c>
      <c r="K199">
        <v>1</v>
      </c>
      <c r="L199">
        <v>1</v>
      </c>
      <c r="M199">
        <v>1</v>
      </c>
      <c r="N199">
        <v>1</v>
      </c>
      <c r="O199">
        <v>1</v>
      </c>
      <c r="P199">
        <v>1</v>
      </c>
      <c r="Q199">
        <v>2</v>
      </c>
      <c r="R199">
        <v>0</v>
      </c>
      <c r="S199">
        <v>1</v>
      </c>
      <c r="T199">
        <v>0</v>
      </c>
      <c r="U199">
        <v>1</v>
      </c>
      <c r="V199">
        <v>1</v>
      </c>
      <c r="W199">
        <v>1</v>
      </c>
      <c r="X199">
        <v>0</v>
      </c>
      <c r="Y199">
        <v>1</v>
      </c>
      <c r="Z199">
        <v>1</v>
      </c>
      <c r="AA199">
        <v>1</v>
      </c>
      <c r="AB199">
        <v>1</v>
      </c>
      <c r="AC199">
        <v>4</v>
      </c>
      <c r="AD199">
        <v>3</v>
      </c>
      <c r="AE199">
        <v>3</v>
      </c>
      <c r="AF199">
        <v>2</v>
      </c>
      <c r="AG199" t="s">
        <v>139</v>
      </c>
      <c r="AH199" s="6">
        <f t="shared" si="13"/>
        <v>0.11381251095585</v>
      </c>
      <c r="AI199" s="3">
        <f t="shared" si="14"/>
        <v>17</v>
      </c>
      <c r="AJ199" s="3" t="str">
        <f t="shared" si="15"/>
        <v>passed</v>
      </c>
      <c r="AK199" s="3">
        <f t="shared" si="16"/>
        <v>1</v>
      </c>
      <c r="AL199" s="3">
        <v>5.5880560595247042</v>
      </c>
      <c r="AM199" s="3">
        <v>1.2523868422560509</v>
      </c>
      <c r="AN199" s="3">
        <v>-4.3710484363661504</v>
      </c>
    </row>
    <row r="200" spans="1:40" x14ac:dyDescent="0.2">
      <c r="A200">
        <v>59778</v>
      </c>
      <c r="B200" s="1">
        <v>44221.71570601852</v>
      </c>
      <c r="C200" t="s">
        <v>3</v>
      </c>
      <c r="D200">
        <v>63</v>
      </c>
      <c r="E200">
        <v>0.10647549298267001</v>
      </c>
      <c r="F200">
        <v>0.23074200621869001</v>
      </c>
      <c r="G200">
        <v>9.1515828436287E-2</v>
      </c>
      <c r="H200">
        <v>1</v>
      </c>
      <c r="I200">
        <v>1</v>
      </c>
      <c r="J200">
        <v>1</v>
      </c>
      <c r="K200">
        <v>1</v>
      </c>
      <c r="L200">
        <v>0</v>
      </c>
      <c r="M200">
        <v>0</v>
      </c>
      <c r="N200">
        <v>0</v>
      </c>
      <c r="O200">
        <v>0</v>
      </c>
      <c r="P200">
        <v>0</v>
      </c>
      <c r="Q200">
        <v>1</v>
      </c>
      <c r="R200">
        <v>1</v>
      </c>
      <c r="S200">
        <v>0</v>
      </c>
      <c r="T200">
        <v>0</v>
      </c>
      <c r="U200">
        <v>1</v>
      </c>
      <c r="V200">
        <v>0</v>
      </c>
      <c r="W200">
        <v>1</v>
      </c>
      <c r="X200">
        <v>0</v>
      </c>
      <c r="Y200">
        <v>2</v>
      </c>
      <c r="Z200">
        <v>2</v>
      </c>
      <c r="AA200">
        <v>2</v>
      </c>
      <c r="AB200">
        <v>2</v>
      </c>
      <c r="AC200">
        <v>4</v>
      </c>
      <c r="AD200">
        <v>4</v>
      </c>
      <c r="AE200">
        <v>4</v>
      </c>
      <c r="AF200">
        <v>4</v>
      </c>
      <c r="AG200" t="s">
        <v>144</v>
      </c>
      <c r="AH200" s="6">
        <f t="shared" si="13"/>
        <v>0.10647549298267001</v>
      </c>
      <c r="AI200" s="3">
        <f t="shared" si="14"/>
        <v>17</v>
      </c>
      <c r="AJ200" s="3" t="str">
        <f t="shared" si="15"/>
        <v>passed</v>
      </c>
      <c r="AK200" s="3">
        <f t="shared" si="16"/>
        <v>1</v>
      </c>
      <c r="AL200" s="3">
        <v>1.87244629457977</v>
      </c>
      <c r="AM200" s="3">
        <v>0.30422896384534631</v>
      </c>
      <c r="AN200" s="3">
        <v>-5.8047425178584406</v>
      </c>
    </row>
    <row r="201" spans="1:40" x14ac:dyDescent="0.2">
      <c r="A201">
        <v>62943</v>
      </c>
      <c r="B201" s="1">
        <v>44364.062106481484</v>
      </c>
      <c r="C201" t="s">
        <v>2</v>
      </c>
      <c r="D201">
        <v>57</v>
      </c>
      <c r="E201">
        <v>7.9348256439370005E-2</v>
      </c>
      <c r="F201">
        <v>0.30963571056172001</v>
      </c>
      <c r="G201">
        <v>0.17720431062155001</v>
      </c>
      <c r="H201">
        <v>1</v>
      </c>
      <c r="I201">
        <v>1</v>
      </c>
      <c r="J201">
        <v>1</v>
      </c>
      <c r="K201">
        <v>1</v>
      </c>
      <c r="L201">
        <v>0</v>
      </c>
      <c r="M201">
        <v>0</v>
      </c>
      <c r="N201">
        <v>0</v>
      </c>
      <c r="O201">
        <v>0</v>
      </c>
      <c r="P201">
        <v>0</v>
      </c>
      <c r="Q201">
        <v>2</v>
      </c>
      <c r="R201">
        <v>0</v>
      </c>
      <c r="S201">
        <v>0</v>
      </c>
      <c r="T201">
        <v>1</v>
      </c>
      <c r="U201">
        <v>0</v>
      </c>
      <c r="V201">
        <v>0</v>
      </c>
      <c r="W201">
        <v>0</v>
      </c>
      <c r="X201">
        <v>0</v>
      </c>
      <c r="Y201">
        <v>3</v>
      </c>
      <c r="Z201">
        <v>2</v>
      </c>
      <c r="AA201">
        <v>1</v>
      </c>
      <c r="AB201">
        <v>2</v>
      </c>
      <c r="AC201">
        <v>2</v>
      </c>
      <c r="AD201">
        <v>4</v>
      </c>
      <c r="AE201">
        <v>5</v>
      </c>
      <c r="AF201">
        <v>5</v>
      </c>
      <c r="AG201" t="s">
        <v>171</v>
      </c>
      <c r="AH201" s="6">
        <f t="shared" si="13"/>
        <v>7.9348256439370005E-2</v>
      </c>
      <c r="AI201" s="3">
        <f t="shared" si="14"/>
        <v>17</v>
      </c>
      <c r="AJ201" s="3" t="str">
        <f t="shared" si="15"/>
        <v>passed</v>
      </c>
      <c r="AK201" s="3">
        <f t="shared" si="16"/>
        <v>1</v>
      </c>
      <c r="AL201" s="3">
        <v>4.8172443930967264</v>
      </c>
      <c r="AM201" s="3">
        <v>0.83555668082483303</v>
      </c>
      <c r="AN201" s="3">
        <v>-5.6703467824352316</v>
      </c>
    </row>
    <row r="202" spans="1:40" x14ac:dyDescent="0.2">
      <c r="A202">
        <v>29485</v>
      </c>
      <c r="B202" s="1">
        <v>43395.76934027778</v>
      </c>
      <c r="C202" t="s">
        <v>3</v>
      </c>
      <c r="D202">
        <v>19</v>
      </c>
      <c r="E202">
        <v>0.19862695382244</v>
      </c>
      <c r="F202">
        <v>0.32488476618388001</v>
      </c>
      <c r="G202">
        <v>6.1910136116770001E-2</v>
      </c>
      <c r="H202">
        <v>2</v>
      </c>
      <c r="I202">
        <v>1</v>
      </c>
      <c r="J202">
        <v>1</v>
      </c>
      <c r="K202">
        <v>1</v>
      </c>
      <c r="L202">
        <v>0</v>
      </c>
      <c r="M202">
        <v>0</v>
      </c>
      <c r="N202">
        <v>0</v>
      </c>
      <c r="O202">
        <v>0</v>
      </c>
      <c r="P202">
        <v>0</v>
      </c>
      <c r="Q202">
        <v>2</v>
      </c>
      <c r="R202">
        <v>1</v>
      </c>
      <c r="S202">
        <v>0</v>
      </c>
      <c r="T202">
        <v>1</v>
      </c>
      <c r="U202">
        <v>0</v>
      </c>
      <c r="V202">
        <v>0</v>
      </c>
      <c r="W202">
        <v>0</v>
      </c>
      <c r="X202">
        <v>1</v>
      </c>
      <c r="Y202">
        <v>2</v>
      </c>
      <c r="Z202">
        <v>2</v>
      </c>
      <c r="AA202">
        <v>2</v>
      </c>
      <c r="AB202">
        <v>2</v>
      </c>
      <c r="AC202">
        <v>4</v>
      </c>
      <c r="AD202">
        <v>4</v>
      </c>
      <c r="AE202">
        <v>4</v>
      </c>
      <c r="AF202">
        <v>4</v>
      </c>
      <c r="AH202" s="6">
        <f t="shared" si="13"/>
        <v>0.19862695382244</v>
      </c>
      <c r="AI202" s="3">
        <f t="shared" si="14"/>
        <v>18</v>
      </c>
      <c r="AJ202" s="3" t="str">
        <f t="shared" si="15"/>
        <v>passed</v>
      </c>
      <c r="AK202" s="3">
        <f t="shared" si="16"/>
        <v>1</v>
      </c>
      <c r="AL202" s="3">
        <v>1.822241798286663</v>
      </c>
      <c r="AM202" s="3">
        <v>0.2676665991755407</v>
      </c>
      <c r="AN202" s="3">
        <v>-6.065810412898875</v>
      </c>
    </row>
    <row r="203" spans="1:40" x14ac:dyDescent="0.2">
      <c r="A203">
        <v>29544</v>
      </c>
      <c r="B203" s="1">
        <v>43396.693310185183</v>
      </c>
      <c r="C203" t="s">
        <v>2</v>
      </c>
      <c r="D203">
        <v>32</v>
      </c>
      <c r="E203">
        <v>0.83291152244859001</v>
      </c>
      <c r="F203">
        <v>0.18658560863057999</v>
      </c>
      <c r="G203">
        <v>0.21961240954948999</v>
      </c>
      <c r="H203">
        <v>1</v>
      </c>
      <c r="I203">
        <v>0</v>
      </c>
      <c r="J203">
        <v>1</v>
      </c>
      <c r="K203">
        <v>1</v>
      </c>
      <c r="L203">
        <v>1</v>
      </c>
      <c r="M203">
        <v>0</v>
      </c>
      <c r="N203">
        <v>0</v>
      </c>
      <c r="O203">
        <v>0</v>
      </c>
      <c r="P203">
        <v>0</v>
      </c>
      <c r="Q203">
        <v>1</v>
      </c>
      <c r="R203">
        <v>1</v>
      </c>
      <c r="S203">
        <v>1</v>
      </c>
      <c r="T203">
        <v>0</v>
      </c>
      <c r="U203">
        <v>1</v>
      </c>
      <c r="V203">
        <v>1</v>
      </c>
      <c r="W203">
        <v>0</v>
      </c>
      <c r="X203">
        <v>0</v>
      </c>
      <c r="Y203">
        <v>3</v>
      </c>
      <c r="Z203">
        <v>2</v>
      </c>
      <c r="AA203">
        <v>1</v>
      </c>
      <c r="AB203">
        <v>1</v>
      </c>
      <c r="AC203">
        <v>2</v>
      </c>
      <c r="AD203">
        <v>2</v>
      </c>
      <c r="AE203">
        <v>5</v>
      </c>
      <c r="AF203">
        <v>5</v>
      </c>
      <c r="AG203" t="s">
        <v>46</v>
      </c>
      <c r="AH203" s="6">
        <f t="shared" si="13"/>
        <v>0.83291152244859001</v>
      </c>
      <c r="AI203" s="3">
        <f t="shared" si="14"/>
        <v>18</v>
      </c>
      <c r="AJ203" s="3" t="str">
        <f t="shared" si="15"/>
        <v>passed</v>
      </c>
      <c r="AK203" s="3">
        <f t="shared" si="16"/>
        <v>1</v>
      </c>
      <c r="AL203" s="3">
        <v>3.7211439220613469</v>
      </c>
      <c r="AM203" s="3">
        <v>0.56797500701493675</v>
      </c>
      <c r="AN203" s="3">
        <v>-5.0851399514781876</v>
      </c>
    </row>
    <row r="204" spans="1:40" x14ac:dyDescent="0.2">
      <c r="A204">
        <v>39254</v>
      </c>
      <c r="B204" s="1">
        <v>43601.330208333333</v>
      </c>
      <c r="C204" t="s">
        <v>3</v>
      </c>
      <c r="D204">
        <v>26</v>
      </c>
      <c r="E204">
        <v>0.20094968887338999</v>
      </c>
      <c r="F204">
        <v>0.30175509449672</v>
      </c>
      <c r="G204">
        <v>0.32185745230356999</v>
      </c>
      <c r="H204">
        <v>3</v>
      </c>
      <c r="I204">
        <v>0</v>
      </c>
      <c r="J204">
        <v>1</v>
      </c>
      <c r="K204">
        <v>1</v>
      </c>
      <c r="L204">
        <v>1</v>
      </c>
      <c r="M204">
        <v>0</v>
      </c>
      <c r="N204">
        <v>0</v>
      </c>
      <c r="O204">
        <v>0</v>
      </c>
      <c r="P204">
        <v>0</v>
      </c>
      <c r="Q204">
        <v>2</v>
      </c>
      <c r="R204">
        <v>1</v>
      </c>
      <c r="S204">
        <v>0</v>
      </c>
      <c r="T204">
        <v>0</v>
      </c>
      <c r="U204">
        <v>1</v>
      </c>
      <c r="V204">
        <v>0</v>
      </c>
      <c r="W204">
        <v>1</v>
      </c>
      <c r="X204">
        <v>1</v>
      </c>
      <c r="Y204">
        <v>1</v>
      </c>
      <c r="Z204">
        <v>1</v>
      </c>
      <c r="AA204">
        <v>1</v>
      </c>
      <c r="AB204">
        <v>1</v>
      </c>
      <c r="AC204">
        <v>4</v>
      </c>
      <c r="AD204">
        <v>2</v>
      </c>
      <c r="AE204">
        <v>4</v>
      </c>
      <c r="AF204">
        <v>3</v>
      </c>
      <c r="AH204" s="6">
        <f t="shared" si="13"/>
        <v>0.20094968887338999</v>
      </c>
      <c r="AI204" s="3">
        <f t="shared" si="14"/>
        <v>18</v>
      </c>
      <c r="AJ204" s="3" t="str">
        <f t="shared" si="15"/>
        <v>passed</v>
      </c>
      <c r="AK204" s="3">
        <f t="shared" si="16"/>
        <v>1</v>
      </c>
      <c r="AL204" s="3">
        <v>8.6585440453457778</v>
      </c>
      <c r="AM204" s="3">
        <v>1.4161732493788239</v>
      </c>
      <c r="AN204" s="3">
        <v>-5.9721466707425366</v>
      </c>
    </row>
    <row r="205" spans="1:40" x14ac:dyDescent="0.2">
      <c r="A205">
        <v>53347</v>
      </c>
      <c r="B205" s="1">
        <v>43916.49560185185</v>
      </c>
      <c r="C205" t="s">
        <v>3</v>
      </c>
      <c r="D205">
        <v>43</v>
      </c>
      <c r="E205">
        <v>0.87106734607660996</v>
      </c>
      <c r="F205">
        <v>0.30517928207011003</v>
      </c>
      <c r="G205">
        <v>0.22568936765610001</v>
      </c>
      <c r="H205">
        <v>1</v>
      </c>
      <c r="I205">
        <v>0</v>
      </c>
      <c r="J205">
        <v>1</v>
      </c>
      <c r="K205">
        <v>1</v>
      </c>
      <c r="L205">
        <v>0</v>
      </c>
      <c r="M205">
        <v>1</v>
      </c>
      <c r="N205">
        <v>0</v>
      </c>
      <c r="O205">
        <v>0</v>
      </c>
      <c r="P205">
        <v>0</v>
      </c>
      <c r="Q205">
        <v>2</v>
      </c>
      <c r="R205">
        <v>1</v>
      </c>
      <c r="S205">
        <v>0</v>
      </c>
      <c r="T205">
        <v>0</v>
      </c>
      <c r="U205">
        <v>0</v>
      </c>
      <c r="V205">
        <v>0</v>
      </c>
      <c r="W205">
        <v>0</v>
      </c>
      <c r="X205">
        <v>0</v>
      </c>
      <c r="Y205">
        <v>4</v>
      </c>
      <c r="Z205">
        <v>2</v>
      </c>
      <c r="AA205">
        <v>1</v>
      </c>
      <c r="AB205">
        <v>1</v>
      </c>
      <c r="AC205">
        <v>1</v>
      </c>
      <c r="AD205">
        <v>4</v>
      </c>
      <c r="AE205">
        <v>5</v>
      </c>
      <c r="AF205">
        <v>5</v>
      </c>
      <c r="AG205" t="s">
        <v>120</v>
      </c>
      <c r="AH205" s="6">
        <f t="shared" si="13"/>
        <v>0.87106734607660996</v>
      </c>
      <c r="AI205" s="3">
        <f t="shared" si="14"/>
        <v>18</v>
      </c>
      <c r="AJ205" s="3" t="str">
        <f t="shared" si="15"/>
        <v>passed</v>
      </c>
      <c r="AK205" s="3">
        <f t="shared" si="16"/>
        <v>1</v>
      </c>
      <c r="AL205" s="3">
        <v>6.2143134865118048</v>
      </c>
      <c r="AM205" s="3">
        <v>0.90412690572133836</v>
      </c>
      <c r="AN205" s="3">
        <v>-5.9098408714783277</v>
      </c>
    </row>
    <row r="206" spans="1:40" x14ac:dyDescent="0.2">
      <c r="A206">
        <v>53727</v>
      </c>
      <c r="B206" s="1">
        <v>43928.415706018517</v>
      </c>
      <c r="C206" t="s">
        <v>3</v>
      </c>
      <c r="D206">
        <v>29</v>
      </c>
      <c r="E206">
        <v>0.20159594346897999</v>
      </c>
      <c r="F206">
        <v>0.27995718318179003</v>
      </c>
      <c r="G206">
        <v>3.3488062595547999E-2</v>
      </c>
      <c r="H206">
        <v>1</v>
      </c>
      <c r="I206">
        <v>1</v>
      </c>
      <c r="J206">
        <v>1</v>
      </c>
      <c r="K206">
        <v>1</v>
      </c>
      <c r="L206">
        <v>1</v>
      </c>
      <c r="M206">
        <v>1</v>
      </c>
      <c r="N206">
        <v>1</v>
      </c>
      <c r="O206">
        <v>0</v>
      </c>
      <c r="P206">
        <v>0</v>
      </c>
      <c r="Q206">
        <v>2</v>
      </c>
      <c r="R206">
        <v>0</v>
      </c>
      <c r="S206">
        <v>0</v>
      </c>
      <c r="T206">
        <v>0</v>
      </c>
      <c r="U206">
        <v>1</v>
      </c>
      <c r="V206">
        <v>1</v>
      </c>
      <c r="W206">
        <v>0</v>
      </c>
      <c r="X206">
        <v>0</v>
      </c>
      <c r="Y206">
        <v>1</v>
      </c>
      <c r="Z206">
        <v>1</v>
      </c>
      <c r="AA206">
        <v>3</v>
      </c>
      <c r="AB206">
        <v>2</v>
      </c>
      <c r="AC206">
        <v>5</v>
      </c>
      <c r="AD206">
        <v>3</v>
      </c>
      <c r="AE206">
        <v>3</v>
      </c>
      <c r="AF206">
        <v>3</v>
      </c>
      <c r="AG206" t="s">
        <v>129</v>
      </c>
      <c r="AH206" s="6">
        <f t="shared" si="13"/>
        <v>0.20159594346897999</v>
      </c>
      <c r="AI206" s="3">
        <f t="shared" si="14"/>
        <v>18</v>
      </c>
      <c r="AJ206" s="3" t="str">
        <f t="shared" si="15"/>
        <v>passed</v>
      </c>
      <c r="AK206" s="3">
        <f t="shared" si="16"/>
        <v>1</v>
      </c>
      <c r="AL206" s="3">
        <v>0.8420741867261452</v>
      </c>
      <c r="AM206" s="3">
        <v>0.1240491029860835</v>
      </c>
      <c r="AN206" s="3">
        <v>-5.1631025766386669</v>
      </c>
    </row>
    <row r="207" spans="1:40" x14ac:dyDescent="0.2">
      <c r="A207">
        <v>56173</v>
      </c>
      <c r="B207" s="1">
        <v>44022.701342592591</v>
      </c>
      <c r="C207" t="s">
        <v>3</v>
      </c>
      <c r="D207">
        <v>24</v>
      </c>
      <c r="E207">
        <v>0.11970523325552</v>
      </c>
      <c r="F207">
        <v>0.18241651445130999</v>
      </c>
      <c r="G207">
        <v>0.25115998578998</v>
      </c>
      <c r="H207">
        <v>1</v>
      </c>
      <c r="I207">
        <v>0</v>
      </c>
      <c r="J207">
        <v>1</v>
      </c>
      <c r="K207">
        <v>1</v>
      </c>
      <c r="L207">
        <v>1</v>
      </c>
      <c r="M207">
        <v>0</v>
      </c>
      <c r="N207">
        <v>0</v>
      </c>
      <c r="O207">
        <v>1</v>
      </c>
      <c r="P207">
        <v>0</v>
      </c>
      <c r="Q207">
        <v>1</v>
      </c>
      <c r="R207">
        <v>0</v>
      </c>
      <c r="S207">
        <v>0</v>
      </c>
      <c r="T207">
        <v>0</v>
      </c>
      <c r="U207">
        <v>1</v>
      </c>
      <c r="V207">
        <v>1</v>
      </c>
      <c r="W207">
        <v>0</v>
      </c>
      <c r="X207">
        <v>0</v>
      </c>
      <c r="Y207">
        <v>2</v>
      </c>
      <c r="Z207">
        <v>5</v>
      </c>
      <c r="AA207">
        <v>5</v>
      </c>
      <c r="AB207">
        <v>1</v>
      </c>
      <c r="AC207">
        <v>5</v>
      </c>
      <c r="AD207">
        <v>5</v>
      </c>
      <c r="AE207">
        <v>5</v>
      </c>
      <c r="AF207">
        <v>5</v>
      </c>
      <c r="AG207" t="s">
        <v>138</v>
      </c>
      <c r="AH207" s="6">
        <f t="shared" si="13"/>
        <v>0.11970523325552</v>
      </c>
      <c r="AI207" s="3">
        <f t="shared" si="14"/>
        <v>18</v>
      </c>
      <c r="AJ207" s="3" t="str">
        <f t="shared" si="15"/>
        <v>passed</v>
      </c>
      <c r="AK207" s="3">
        <f t="shared" si="16"/>
        <v>1</v>
      </c>
      <c r="AL207" s="3">
        <v>3.7766344263547329</v>
      </c>
      <c r="AM207" s="3">
        <v>0.6589193819373691</v>
      </c>
      <c r="AN207" s="3">
        <v>-5.5498886409245261</v>
      </c>
    </row>
    <row r="208" spans="1:40" x14ac:dyDescent="0.2">
      <c r="A208">
        <v>59817</v>
      </c>
      <c r="B208" s="1">
        <v>44222.094560185185</v>
      </c>
      <c r="C208" t="s">
        <v>3</v>
      </c>
      <c r="D208">
        <v>35</v>
      </c>
      <c r="E208" s="2">
        <v>4.4396209649191004E-19</v>
      </c>
      <c r="F208">
        <v>5.2340407905846001E-2</v>
      </c>
      <c r="G208">
        <v>5.4155301934260998E-2</v>
      </c>
      <c r="H208">
        <v>2</v>
      </c>
      <c r="I208">
        <v>1</v>
      </c>
      <c r="J208">
        <v>0</v>
      </c>
      <c r="K208">
        <v>1</v>
      </c>
      <c r="L208">
        <v>0</v>
      </c>
      <c r="M208">
        <v>0</v>
      </c>
      <c r="N208">
        <v>0</v>
      </c>
      <c r="O208">
        <v>0</v>
      </c>
      <c r="P208">
        <v>0</v>
      </c>
      <c r="Q208">
        <v>2</v>
      </c>
      <c r="R208">
        <v>0</v>
      </c>
      <c r="S208">
        <v>0</v>
      </c>
      <c r="T208">
        <v>1</v>
      </c>
      <c r="U208">
        <v>0</v>
      </c>
      <c r="V208">
        <v>0</v>
      </c>
      <c r="W208">
        <v>0</v>
      </c>
      <c r="X208">
        <v>0</v>
      </c>
      <c r="Y208">
        <v>2</v>
      </c>
      <c r="Z208">
        <v>2</v>
      </c>
      <c r="AA208">
        <v>2</v>
      </c>
      <c r="AB208">
        <v>2</v>
      </c>
      <c r="AC208">
        <v>4</v>
      </c>
      <c r="AD208">
        <v>4</v>
      </c>
      <c r="AE208">
        <v>4</v>
      </c>
      <c r="AF208">
        <v>4</v>
      </c>
      <c r="AG208" t="s">
        <v>150</v>
      </c>
      <c r="AH208" s="6">
        <f t="shared" si="13"/>
        <v>4.4396209649191004E-19</v>
      </c>
      <c r="AI208" s="3">
        <f t="shared" si="14"/>
        <v>18</v>
      </c>
      <c r="AJ208" s="3" t="str">
        <f t="shared" si="15"/>
        <v>passed</v>
      </c>
      <c r="AK208" s="3">
        <f t="shared" si="16"/>
        <v>1</v>
      </c>
      <c r="AL208" s="3">
        <v>3.4447678045672022E-5</v>
      </c>
      <c r="AM208" s="3">
        <v>2.1523332402433241E-4</v>
      </c>
      <c r="AN208" s="3">
        <v>-0.1600480697021511</v>
      </c>
    </row>
    <row r="209" spans="1:40" x14ac:dyDescent="0.2">
      <c r="A209">
        <v>62899</v>
      </c>
      <c r="B209" s="1">
        <v>44362.434525462966</v>
      </c>
      <c r="C209" t="s">
        <v>3</v>
      </c>
      <c r="D209">
        <v>26</v>
      </c>
      <c r="E209">
        <v>0.99989622706412995</v>
      </c>
      <c r="F209">
        <v>0.17237483184006999</v>
      </c>
      <c r="G209">
        <v>0.17851564080717</v>
      </c>
      <c r="H209">
        <v>2</v>
      </c>
      <c r="I209">
        <v>0</v>
      </c>
      <c r="J209">
        <v>1</v>
      </c>
      <c r="K209">
        <v>0</v>
      </c>
      <c r="L209">
        <v>1</v>
      </c>
      <c r="M209">
        <v>0</v>
      </c>
      <c r="N209">
        <v>0</v>
      </c>
      <c r="O209">
        <v>0</v>
      </c>
      <c r="P209">
        <v>0</v>
      </c>
      <c r="Q209">
        <v>2</v>
      </c>
      <c r="R209">
        <v>0</v>
      </c>
      <c r="S209">
        <v>0</v>
      </c>
      <c r="T209">
        <v>1</v>
      </c>
      <c r="U209">
        <v>0</v>
      </c>
      <c r="V209">
        <v>1</v>
      </c>
      <c r="W209">
        <v>0</v>
      </c>
      <c r="X209">
        <v>1</v>
      </c>
      <c r="Y209">
        <v>2</v>
      </c>
      <c r="Z209">
        <v>2</v>
      </c>
      <c r="AA209">
        <v>2</v>
      </c>
      <c r="AB209">
        <v>2</v>
      </c>
      <c r="AC209">
        <v>4</v>
      </c>
      <c r="AD209">
        <v>4</v>
      </c>
      <c r="AE209">
        <v>4</v>
      </c>
      <c r="AF209">
        <v>4</v>
      </c>
      <c r="AG209" t="s">
        <v>169</v>
      </c>
      <c r="AH209" s="6">
        <f t="shared" si="13"/>
        <v>0.99989622706412995</v>
      </c>
      <c r="AI209" s="3">
        <f t="shared" si="14"/>
        <v>18</v>
      </c>
      <c r="AJ209" s="3" t="str">
        <f t="shared" si="15"/>
        <v>passed</v>
      </c>
      <c r="AK209" s="3">
        <f t="shared" si="16"/>
        <v>1</v>
      </c>
      <c r="AL209" s="3">
        <v>2.7147514201892369</v>
      </c>
      <c r="AM209" s="3">
        <v>0.39533351973132741</v>
      </c>
      <c r="AN209" s="3">
        <v>-4.3377429626775497</v>
      </c>
    </row>
    <row r="210" spans="1:40" x14ac:dyDescent="0.2">
      <c r="A210">
        <v>29367</v>
      </c>
      <c r="B210" s="1">
        <v>43393.65457175926</v>
      </c>
      <c r="C210" t="s">
        <v>3</v>
      </c>
      <c r="D210">
        <v>55</v>
      </c>
      <c r="E210">
        <v>2.5899022437076001E-2</v>
      </c>
      <c r="F210">
        <v>0.29778190326421999</v>
      </c>
      <c r="G210">
        <v>1.1318890053625E-2</v>
      </c>
      <c r="H210">
        <v>1</v>
      </c>
      <c r="I210">
        <v>0</v>
      </c>
      <c r="J210">
        <v>0</v>
      </c>
      <c r="K210">
        <v>0</v>
      </c>
      <c r="L210">
        <v>0</v>
      </c>
      <c r="M210">
        <v>0</v>
      </c>
      <c r="N210">
        <v>0</v>
      </c>
      <c r="O210">
        <v>0</v>
      </c>
      <c r="P210">
        <v>0</v>
      </c>
      <c r="Q210">
        <v>2</v>
      </c>
      <c r="R210">
        <v>0</v>
      </c>
      <c r="S210">
        <v>0</v>
      </c>
      <c r="T210">
        <v>0</v>
      </c>
      <c r="U210">
        <v>0</v>
      </c>
      <c r="V210">
        <v>1</v>
      </c>
      <c r="W210">
        <v>1</v>
      </c>
      <c r="X210">
        <v>0</v>
      </c>
      <c r="Y210">
        <v>2</v>
      </c>
      <c r="Z210">
        <v>2</v>
      </c>
      <c r="AA210">
        <v>2</v>
      </c>
      <c r="AB210">
        <v>1</v>
      </c>
      <c r="AC210">
        <v>3</v>
      </c>
      <c r="AD210">
        <v>3</v>
      </c>
      <c r="AE210">
        <v>4</v>
      </c>
      <c r="AF210">
        <v>3</v>
      </c>
      <c r="AG210" t="s">
        <v>36</v>
      </c>
      <c r="AH210" s="6">
        <f t="shared" si="13"/>
        <v>2.5899022437076001E-2</v>
      </c>
      <c r="AI210" s="3">
        <f t="shared" si="14"/>
        <v>19</v>
      </c>
      <c r="AJ210" s="3" t="str">
        <f t="shared" si="15"/>
        <v>passed</v>
      </c>
      <c r="AK210" s="3">
        <f t="shared" si="16"/>
        <v>1</v>
      </c>
      <c r="AL210" s="3">
        <v>0.29635270671733699</v>
      </c>
      <c r="AM210" s="3">
        <v>4.5357065984409403E-2</v>
      </c>
      <c r="AN210" s="3">
        <v>-5.9627684994709416</v>
      </c>
    </row>
    <row r="211" spans="1:40" x14ac:dyDescent="0.2">
      <c r="A211">
        <v>29535</v>
      </c>
      <c r="B211" s="1">
        <v>43396.581250000003</v>
      </c>
      <c r="C211" t="s">
        <v>3</v>
      </c>
      <c r="D211">
        <v>37</v>
      </c>
      <c r="E211">
        <v>0.29985560111078002</v>
      </c>
      <c r="F211">
        <v>0.22864575574418</v>
      </c>
      <c r="G211">
        <v>0.24359811148970001</v>
      </c>
      <c r="H211">
        <v>1</v>
      </c>
      <c r="I211">
        <v>0</v>
      </c>
      <c r="J211">
        <v>1</v>
      </c>
      <c r="K211">
        <v>1</v>
      </c>
      <c r="L211">
        <v>0</v>
      </c>
      <c r="M211">
        <v>0</v>
      </c>
      <c r="N211">
        <v>0</v>
      </c>
      <c r="O211">
        <v>0</v>
      </c>
      <c r="P211">
        <v>0</v>
      </c>
      <c r="Q211">
        <v>2</v>
      </c>
      <c r="R211">
        <v>1</v>
      </c>
      <c r="S211">
        <v>0</v>
      </c>
      <c r="T211">
        <v>0</v>
      </c>
      <c r="U211">
        <v>1</v>
      </c>
      <c r="V211">
        <v>1</v>
      </c>
      <c r="W211">
        <v>0</v>
      </c>
      <c r="X211">
        <v>0</v>
      </c>
      <c r="Y211">
        <v>3</v>
      </c>
      <c r="Z211">
        <v>1</v>
      </c>
      <c r="AA211">
        <v>1</v>
      </c>
      <c r="AB211">
        <v>2</v>
      </c>
      <c r="AC211">
        <v>2</v>
      </c>
      <c r="AD211">
        <v>3</v>
      </c>
      <c r="AE211">
        <v>4</v>
      </c>
      <c r="AF211">
        <v>4</v>
      </c>
      <c r="AG211" t="s">
        <v>45</v>
      </c>
      <c r="AH211" s="6">
        <f t="shared" si="13"/>
        <v>0.29985560111078002</v>
      </c>
      <c r="AI211" s="3">
        <f t="shared" si="14"/>
        <v>19</v>
      </c>
      <c r="AJ211" s="3" t="str">
        <f t="shared" si="15"/>
        <v>passed</v>
      </c>
      <c r="AK211" s="3">
        <f t="shared" si="16"/>
        <v>1</v>
      </c>
      <c r="AL211" s="3">
        <v>3.7711621977616132</v>
      </c>
      <c r="AM211" s="3">
        <v>0.68518403399109518</v>
      </c>
      <c r="AN211" s="3">
        <v>-5.0662397610624241</v>
      </c>
    </row>
    <row r="212" spans="1:40" x14ac:dyDescent="0.2">
      <c r="A212">
        <v>33653</v>
      </c>
      <c r="B212" s="1">
        <v>43491.100937499999</v>
      </c>
      <c r="C212" t="s">
        <v>3</v>
      </c>
      <c r="D212">
        <v>35</v>
      </c>
      <c r="E212">
        <v>1.1535781163121E-2</v>
      </c>
      <c r="F212">
        <v>3.2836879233293002E-2</v>
      </c>
      <c r="G212">
        <v>9.3728564730931E-3</v>
      </c>
      <c r="H212">
        <v>1</v>
      </c>
      <c r="I212">
        <v>1</v>
      </c>
      <c r="J212">
        <v>1</v>
      </c>
      <c r="K212">
        <v>1</v>
      </c>
      <c r="L212">
        <v>1</v>
      </c>
      <c r="M212">
        <v>1</v>
      </c>
      <c r="N212">
        <v>1</v>
      </c>
      <c r="O212">
        <v>1</v>
      </c>
      <c r="P212">
        <v>1</v>
      </c>
      <c r="Q212">
        <v>2</v>
      </c>
      <c r="R212">
        <v>0</v>
      </c>
      <c r="S212">
        <v>0</v>
      </c>
      <c r="T212">
        <v>0</v>
      </c>
      <c r="U212">
        <v>1</v>
      </c>
      <c r="V212">
        <v>1</v>
      </c>
      <c r="W212">
        <v>0</v>
      </c>
      <c r="X212">
        <v>0</v>
      </c>
      <c r="Y212">
        <v>1</v>
      </c>
      <c r="Z212">
        <v>1</v>
      </c>
      <c r="AA212">
        <v>1</v>
      </c>
      <c r="AB212">
        <v>1</v>
      </c>
      <c r="AC212">
        <v>3</v>
      </c>
      <c r="AD212">
        <v>3</v>
      </c>
      <c r="AE212">
        <v>3</v>
      </c>
      <c r="AF212">
        <v>1</v>
      </c>
      <c r="AG212" t="s">
        <v>87</v>
      </c>
      <c r="AH212" s="6">
        <f t="shared" si="13"/>
        <v>1.1535781163121E-2</v>
      </c>
      <c r="AI212" s="3">
        <f t="shared" si="14"/>
        <v>19</v>
      </c>
      <c r="AJ212" s="3" t="str">
        <f t="shared" si="15"/>
        <v>passed</v>
      </c>
      <c r="AK212" s="3">
        <f t="shared" si="16"/>
        <v>1</v>
      </c>
      <c r="AL212" s="3">
        <v>6.0362983800392274E-3</v>
      </c>
      <c r="AM212" s="3">
        <v>3.775531280631655E-3</v>
      </c>
      <c r="AN212" s="3">
        <v>1.4566116327235841</v>
      </c>
    </row>
    <row r="213" spans="1:40" x14ac:dyDescent="0.2">
      <c r="A213">
        <v>39237</v>
      </c>
      <c r="B213" s="1">
        <v>43599.720335648148</v>
      </c>
      <c r="C213" t="s">
        <v>3</v>
      </c>
      <c r="D213">
        <v>25</v>
      </c>
      <c r="E213">
        <v>0.2374317631657</v>
      </c>
      <c r="F213">
        <v>0.23690298260539</v>
      </c>
      <c r="G213">
        <v>0.26391910916451</v>
      </c>
      <c r="H213">
        <v>1</v>
      </c>
      <c r="I213">
        <v>0</v>
      </c>
      <c r="J213">
        <v>0</v>
      </c>
      <c r="K213">
        <v>1</v>
      </c>
      <c r="L213">
        <v>1</v>
      </c>
      <c r="M213">
        <v>0</v>
      </c>
      <c r="N213">
        <v>0</v>
      </c>
      <c r="O213">
        <v>1</v>
      </c>
      <c r="P213">
        <v>0</v>
      </c>
      <c r="Q213">
        <v>2</v>
      </c>
      <c r="R213">
        <v>0</v>
      </c>
      <c r="S213">
        <v>0</v>
      </c>
      <c r="T213">
        <v>1</v>
      </c>
      <c r="U213">
        <v>0</v>
      </c>
      <c r="V213">
        <v>0</v>
      </c>
      <c r="W213">
        <v>0</v>
      </c>
      <c r="X213">
        <v>0</v>
      </c>
      <c r="Y213">
        <v>3</v>
      </c>
      <c r="Z213">
        <v>3</v>
      </c>
      <c r="AA213">
        <v>1</v>
      </c>
      <c r="AB213">
        <v>2</v>
      </c>
      <c r="AC213">
        <v>2</v>
      </c>
      <c r="AD213">
        <v>4</v>
      </c>
      <c r="AE213">
        <v>5</v>
      </c>
      <c r="AF213">
        <v>4</v>
      </c>
      <c r="AG213" t="s">
        <v>95</v>
      </c>
      <c r="AH213" s="6">
        <f t="shared" si="13"/>
        <v>0.2374317631657</v>
      </c>
      <c r="AI213" s="3">
        <f t="shared" si="14"/>
        <v>19</v>
      </c>
      <c r="AJ213" s="3" t="str">
        <f t="shared" si="15"/>
        <v>passed</v>
      </c>
      <c r="AK213" s="3">
        <f t="shared" si="16"/>
        <v>1</v>
      </c>
      <c r="AL213" s="3">
        <v>5.3285406618972928</v>
      </c>
      <c r="AM213" s="3">
        <v>0.86507509247942072</v>
      </c>
      <c r="AN213" s="3">
        <v>-5.8851641238910251</v>
      </c>
    </row>
    <row r="214" spans="1:40" x14ac:dyDescent="0.2">
      <c r="A214">
        <v>40048</v>
      </c>
      <c r="B214" s="1">
        <v>43636.48709490741</v>
      </c>
      <c r="C214" t="s">
        <v>3</v>
      </c>
      <c r="D214">
        <v>35</v>
      </c>
      <c r="E214">
        <v>3.3454839198264003E-2</v>
      </c>
      <c r="F214">
        <v>0.30650299928924002</v>
      </c>
      <c r="G214">
        <v>1.2019850582797E-2</v>
      </c>
      <c r="H214">
        <v>2</v>
      </c>
      <c r="I214">
        <v>1</v>
      </c>
      <c r="J214">
        <v>1</v>
      </c>
      <c r="K214">
        <v>1</v>
      </c>
      <c r="L214">
        <v>1</v>
      </c>
      <c r="M214">
        <v>1</v>
      </c>
      <c r="N214">
        <v>0</v>
      </c>
      <c r="O214">
        <v>0</v>
      </c>
      <c r="P214">
        <v>0</v>
      </c>
      <c r="Q214">
        <v>1</v>
      </c>
      <c r="R214">
        <v>0</v>
      </c>
      <c r="S214">
        <v>0</v>
      </c>
      <c r="T214">
        <v>1</v>
      </c>
      <c r="U214">
        <v>0</v>
      </c>
      <c r="V214">
        <v>0</v>
      </c>
      <c r="W214">
        <v>0</v>
      </c>
      <c r="X214">
        <v>0</v>
      </c>
      <c r="Y214">
        <v>2</v>
      </c>
      <c r="Z214">
        <v>2</v>
      </c>
      <c r="AA214">
        <v>2</v>
      </c>
      <c r="AB214">
        <v>2</v>
      </c>
      <c r="AC214">
        <v>4</v>
      </c>
      <c r="AD214">
        <v>4</v>
      </c>
      <c r="AE214">
        <v>4</v>
      </c>
      <c r="AF214">
        <v>3</v>
      </c>
      <c r="AG214" t="s">
        <v>97</v>
      </c>
      <c r="AH214" s="6">
        <f t="shared" si="13"/>
        <v>3.3454839198264003E-2</v>
      </c>
      <c r="AI214" s="3">
        <f t="shared" si="14"/>
        <v>19</v>
      </c>
      <c r="AJ214" s="3" t="str">
        <f t="shared" si="15"/>
        <v>passed</v>
      </c>
      <c r="AK214" s="3">
        <f t="shared" si="16"/>
        <v>1</v>
      </c>
      <c r="AL214" s="3">
        <v>0.30528075932751048</v>
      </c>
      <c r="AM214" s="3">
        <v>4.7527400737081692E-2</v>
      </c>
      <c r="AN214" s="3">
        <v>-5.7193516984648394</v>
      </c>
    </row>
    <row r="215" spans="1:40" x14ac:dyDescent="0.2">
      <c r="A215">
        <v>46613</v>
      </c>
      <c r="B215" s="1">
        <v>43809.746539351851</v>
      </c>
      <c r="C215" t="s">
        <v>14</v>
      </c>
      <c r="D215">
        <v>31</v>
      </c>
      <c r="E215">
        <v>0.18824317578555</v>
      </c>
      <c r="F215">
        <v>0.27019786178657001</v>
      </c>
      <c r="G215">
        <v>0.32948266469722998</v>
      </c>
      <c r="H215">
        <v>2</v>
      </c>
      <c r="I215">
        <v>1</v>
      </c>
      <c r="J215">
        <v>1</v>
      </c>
      <c r="K215">
        <v>1</v>
      </c>
      <c r="L215">
        <v>1</v>
      </c>
      <c r="M215">
        <v>1</v>
      </c>
      <c r="N215">
        <v>1</v>
      </c>
      <c r="O215">
        <v>1</v>
      </c>
      <c r="P215">
        <v>1</v>
      </c>
      <c r="Q215">
        <v>2</v>
      </c>
      <c r="R215">
        <v>0</v>
      </c>
      <c r="S215">
        <v>0</v>
      </c>
      <c r="T215">
        <v>0</v>
      </c>
      <c r="U215">
        <v>1</v>
      </c>
      <c r="V215">
        <v>0</v>
      </c>
      <c r="W215">
        <v>0</v>
      </c>
      <c r="X215">
        <v>0</v>
      </c>
      <c r="Y215">
        <v>2</v>
      </c>
      <c r="Z215">
        <v>2</v>
      </c>
      <c r="AA215">
        <v>2</v>
      </c>
      <c r="AB215">
        <v>3</v>
      </c>
      <c r="AC215">
        <v>4</v>
      </c>
      <c r="AD215">
        <v>4</v>
      </c>
      <c r="AE215">
        <v>4</v>
      </c>
      <c r="AF215">
        <v>4</v>
      </c>
      <c r="AH215" s="6">
        <f t="shared" si="13"/>
        <v>0.18824317578555</v>
      </c>
      <c r="AI215" s="3">
        <f t="shared" si="14"/>
        <v>19</v>
      </c>
      <c r="AJ215" s="3" t="str">
        <f t="shared" si="15"/>
        <v>passed</v>
      </c>
      <c r="AK215" s="3">
        <f t="shared" si="16"/>
        <v>1</v>
      </c>
      <c r="AL215" s="3">
        <v>8.0676108766709316</v>
      </c>
      <c r="AM215" s="3">
        <v>1.2500147670380179</v>
      </c>
      <c r="AN215" s="3">
        <v>-6.303419694437693</v>
      </c>
    </row>
    <row r="216" spans="1:40" x14ac:dyDescent="0.2">
      <c r="A216">
        <v>56211</v>
      </c>
      <c r="B216" s="1">
        <v>44025.706597222219</v>
      </c>
      <c r="C216" t="s">
        <v>3</v>
      </c>
      <c r="D216">
        <v>18</v>
      </c>
      <c r="E216">
        <v>0.60783496194681996</v>
      </c>
      <c r="F216">
        <v>7.0647353827682002E-2</v>
      </c>
      <c r="G216">
        <v>0.11057986795388999</v>
      </c>
      <c r="H216">
        <v>1</v>
      </c>
      <c r="I216">
        <v>0</v>
      </c>
      <c r="J216">
        <v>1</v>
      </c>
      <c r="K216">
        <v>0</v>
      </c>
      <c r="L216">
        <v>0</v>
      </c>
      <c r="M216">
        <v>0</v>
      </c>
      <c r="N216">
        <v>0</v>
      </c>
      <c r="O216">
        <v>0</v>
      </c>
      <c r="P216">
        <v>0</v>
      </c>
      <c r="Q216">
        <v>2</v>
      </c>
      <c r="R216">
        <v>0</v>
      </c>
      <c r="S216">
        <v>0</v>
      </c>
      <c r="T216">
        <v>1</v>
      </c>
      <c r="U216">
        <v>0</v>
      </c>
      <c r="V216">
        <v>0</v>
      </c>
      <c r="W216">
        <v>1</v>
      </c>
      <c r="X216">
        <v>0</v>
      </c>
      <c r="Y216">
        <v>4</v>
      </c>
      <c r="Z216">
        <v>3</v>
      </c>
      <c r="AA216">
        <v>1</v>
      </c>
      <c r="AB216">
        <v>1</v>
      </c>
      <c r="AC216">
        <v>2</v>
      </c>
      <c r="AD216">
        <v>3</v>
      </c>
      <c r="AE216">
        <v>5</v>
      </c>
      <c r="AF216">
        <v>5</v>
      </c>
      <c r="AH216" s="6">
        <f t="shared" si="13"/>
        <v>0.60783496194681996</v>
      </c>
      <c r="AI216" s="3">
        <f t="shared" si="14"/>
        <v>19</v>
      </c>
      <c r="AJ216" s="3" t="str">
        <f t="shared" si="15"/>
        <v>passed</v>
      </c>
      <c r="AK216" s="3">
        <f t="shared" si="16"/>
        <v>1</v>
      </c>
      <c r="AL216" s="3">
        <v>0.35219874418631958</v>
      </c>
      <c r="AM216" s="3">
        <v>0.1206470348277475</v>
      </c>
      <c r="AN216" s="3">
        <v>2.1188769216374181</v>
      </c>
    </row>
    <row r="217" spans="1:40" x14ac:dyDescent="0.2">
      <c r="A217">
        <v>60246</v>
      </c>
      <c r="B217" s="1">
        <v>44239.557141203702</v>
      </c>
      <c r="C217" t="s">
        <v>3</v>
      </c>
      <c r="D217">
        <v>60</v>
      </c>
      <c r="E217">
        <v>0.62960104066744005</v>
      </c>
      <c r="F217">
        <v>0.26860314585584</v>
      </c>
      <c r="G217">
        <v>0.22315151484799001</v>
      </c>
      <c r="H217">
        <v>4</v>
      </c>
      <c r="I217">
        <v>0</v>
      </c>
      <c r="J217">
        <v>0</v>
      </c>
      <c r="K217">
        <v>0</v>
      </c>
      <c r="L217">
        <v>0</v>
      </c>
      <c r="M217">
        <v>1</v>
      </c>
      <c r="N217">
        <v>1</v>
      </c>
      <c r="O217">
        <v>1</v>
      </c>
      <c r="P217">
        <v>0</v>
      </c>
      <c r="Q217">
        <v>2</v>
      </c>
      <c r="R217">
        <v>0</v>
      </c>
      <c r="S217">
        <v>0</v>
      </c>
      <c r="T217">
        <v>0</v>
      </c>
      <c r="U217">
        <v>0</v>
      </c>
      <c r="V217">
        <v>0</v>
      </c>
      <c r="W217">
        <v>0</v>
      </c>
      <c r="X217">
        <v>0</v>
      </c>
      <c r="Y217">
        <v>3</v>
      </c>
      <c r="Z217">
        <v>2</v>
      </c>
      <c r="AA217">
        <v>2</v>
      </c>
      <c r="AB217">
        <v>3</v>
      </c>
      <c r="AC217">
        <v>4</v>
      </c>
      <c r="AD217">
        <v>5</v>
      </c>
      <c r="AE217">
        <v>5</v>
      </c>
      <c r="AF217">
        <v>5</v>
      </c>
      <c r="AG217" t="s">
        <v>155</v>
      </c>
      <c r="AH217" s="6">
        <f t="shared" si="13"/>
        <v>0.62960104066744005</v>
      </c>
      <c r="AI217" s="3">
        <f t="shared" si="14"/>
        <v>19</v>
      </c>
      <c r="AJ217" s="3" t="str">
        <f t="shared" si="15"/>
        <v>passed</v>
      </c>
      <c r="AK217" s="3">
        <f t="shared" si="16"/>
        <v>1</v>
      </c>
      <c r="AL217" s="3">
        <v>4.599378578477622</v>
      </c>
      <c r="AM217" s="3">
        <v>0.85260857932403789</v>
      </c>
      <c r="AN217" s="3">
        <v>-4.6560375230536462</v>
      </c>
    </row>
    <row r="218" spans="1:40" x14ac:dyDescent="0.2">
      <c r="A218">
        <v>63127</v>
      </c>
      <c r="B218" s="1">
        <v>44380.065300925926</v>
      </c>
      <c r="C218" t="s">
        <v>3</v>
      </c>
      <c r="D218">
        <v>25</v>
      </c>
      <c r="E218">
        <v>4.1707257868644003</v>
      </c>
      <c r="F218">
        <v>0.23099929361610999</v>
      </c>
      <c r="G218">
        <v>0.32241035851740002</v>
      </c>
      <c r="H218">
        <v>2</v>
      </c>
      <c r="I218">
        <v>1</v>
      </c>
      <c r="J218">
        <v>1</v>
      </c>
      <c r="K218">
        <v>1</v>
      </c>
      <c r="L218">
        <v>0</v>
      </c>
      <c r="M218">
        <v>1</v>
      </c>
      <c r="N218">
        <v>0</v>
      </c>
      <c r="O218">
        <v>0</v>
      </c>
      <c r="P218">
        <v>0</v>
      </c>
      <c r="Q218">
        <v>2</v>
      </c>
      <c r="R218">
        <v>0</v>
      </c>
      <c r="S218">
        <v>0</v>
      </c>
      <c r="T218">
        <v>0</v>
      </c>
      <c r="U218">
        <v>0</v>
      </c>
      <c r="V218">
        <v>0</v>
      </c>
      <c r="W218">
        <v>1</v>
      </c>
      <c r="X218">
        <v>0</v>
      </c>
      <c r="Y218">
        <v>1</v>
      </c>
      <c r="Z218">
        <v>2</v>
      </c>
      <c r="AA218">
        <v>2</v>
      </c>
      <c r="AB218">
        <v>1</v>
      </c>
      <c r="AC218">
        <v>4</v>
      </c>
      <c r="AD218">
        <v>4</v>
      </c>
      <c r="AE218">
        <v>2</v>
      </c>
      <c r="AF218">
        <v>3</v>
      </c>
      <c r="AG218" t="s">
        <v>173</v>
      </c>
      <c r="AH218" s="6">
        <f t="shared" si="13"/>
        <v>4.1707257868644003</v>
      </c>
      <c r="AI218" s="3">
        <f t="shared" si="14"/>
        <v>19</v>
      </c>
      <c r="AJ218" s="3" t="str">
        <f t="shared" si="15"/>
        <v>passed</v>
      </c>
      <c r="AK218" s="3">
        <f t="shared" si="16"/>
        <v>1</v>
      </c>
      <c r="AL218" s="3">
        <v>6.8740471812789714</v>
      </c>
      <c r="AM218" s="3">
        <v>1.1466790640605911</v>
      </c>
      <c r="AN218" s="3">
        <v>-2.3026777874832489</v>
      </c>
    </row>
    <row r="219" spans="1:40" x14ac:dyDescent="0.2">
      <c r="A219">
        <v>63170</v>
      </c>
      <c r="B219" s="1">
        <v>44383.595497685186</v>
      </c>
      <c r="C219" t="s">
        <v>3</v>
      </c>
      <c r="D219">
        <v>18</v>
      </c>
      <c r="E219">
        <v>3.2843901778973998E-2</v>
      </c>
      <c r="F219">
        <v>0.23444807801587</v>
      </c>
      <c r="G219">
        <v>0.29970726639681999</v>
      </c>
      <c r="H219">
        <v>1</v>
      </c>
      <c r="I219">
        <v>1</v>
      </c>
      <c r="J219">
        <v>1</v>
      </c>
      <c r="K219">
        <v>1</v>
      </c>
      <c r="L219">
        <v>1</v>
      </c>
      <c r="M219">
        <v>0</v>
      </c>
      <c r="N219">
        <v>0</v>
      </c>
      <c r="O219">
        <v>0</v>
      </c>
      <c r="P219">
        <v>0</v>
      </c>
      <c r="Q219">
        <v>2</v>
      </c>
      <c r="R219">
        <v>1</v>
      </c>
      <c r="S219">
        <v>0</v>
      </c>
      <c r="T219">
        <v>0</v>
      </c>
      <c r="U219">
        <v>1</v>
      </c>
      <c r="V219">
        <v>1</v>
      </c>
      <c r="W219">
        <v>0</v>
      </c>
      <c r="X219">
        <v>0</v>
      </c>
      <c r="Y219">
        <v>1</v>
      </c>
      <c r="Z219">
        <v>1</v>
      </c>
      <c r="AA219">
        <v>1</v>
      </c>
      <c r="AB219">
        <v>1</v>
      </c>
      <c r="AC219">
        <v>2</v>
      </c>
      <c r="AD219">
        <v>2</v>
      </c>
      <c r="AE219">
        <v>2</v>
      </c>
      <c r="AF219">
        <v>4</v>
      </c>
      <c r="AG219" t="s">
        <v>175</v>
      </c>
      <c r="AH219" s="6">
        <f t="shared" si="13"/>
        <v>3.2843901778973998E-2</v>
      </c>
      <c r="AI219" s="3">
        <f t="shared" si="14"/>
        <v>19</v>
      </c>
      <c r="AJ219" s="3" t="str">
        <f t="shared" si="15"/>
        <v>passed</v>
      </c>
      <c r="AK219" s="3">
        <f t="shared" si="16"/>
        <v>1</v>
      </c>
      <c r="AL219" s="3">
        <v>4.491553682576308</v>
      </c>
      <c r="AM219" s="3">
        <v>0.90697536247973765</v>
      </c>
      <c r="AN219" s="3">
        <v>-4.9160208372219643</v>
      </c>
    </row>
    <row r="220" spans="1:40" x14ac:dyDescent="0.2">
      <c r="A220">
        <v>29400</v>
      </c>
      <c r="B220" s="1">
        <v>43394.547858796293</v>
      </c>
      <c r="C220" t="s">
        <v>3</v>
      </c>
      <c r="D220">
        <v>75</v>
      </c>
      <c r="E220">
        <v>1.3204763586884001</v>
      </c>
      <c r="F220">
        <v>0.28715294843068001</v>
      </c>
      <c r="G220">
        <v>0.19071203716009</v>
      </c>
      <c r="H220">
        <v>5</v>
      </c>
      <c r="I220">
        <v>0</v>
      </c>
      <c r="J220">
        <v>0</v>
      </c>
      <c r="K220">
        <v>0</v>
      </c>
      <c r="L220">
        <v>0</v>
      </c>
      <c r="M220">
        <v>0</v>
      </c>
      <c r="N220">
        <v>0</v>
      </c>
      <c r="O220">
        <v>0</v>
      </c>
      <c r="P220">
        <v>0</v>
      </c>
      <c r="Q220">
        <v>2</v>
      </c>
      <c r="R220">
        <v>0</v>
      </c>
      <c r="S220">
        <v>0</v>
      </c>
      <c r="T220">
        <v>0</v>
      </c>
      <c r="U220">
        <v>0</v>
      </c>
      <c r="V220">
        <v>0</v>
      </c>
      <c r="W220">
        <v>0</v>
      </c>
      <c r="X220">
        <v>0</v>
      </c>
      <c r="Y220">
        <v>3</v>
      </c>
      <c r="Z220">
        <v>2</v>
      </c>
      <c r="AA220">
        <v>1</v>
      </c>
      <c r="AB220">
        <v>1</v>
      </c>
      <c r="AC220">
        <v>4</v>
      </c>
      <c r="AD220">
        <v>4</v>
      </c>
      <c r="AE220">
        <v>4</v>
      </c>
      <c r="AF220">
        <v>4</v>
      </c>
      <c r="AH220" s="6">
        <f t="shared" si="13"/>
        <v>1.3204763586884001</v>
      </c>
      <c r="AI220" s="3">
        <f t="shared" si="14"/>
        <v>20</v>
      </c>
      <c r="AJ220" s="3" t="str">
        <f t="shared" si="15"/>
        <v>failed</v>
      </c>
      <c r="AK220" s="3">
        <f t="shared" si="16"/>
        <v>0</v>
      </c>
      <c r="AL220" s="3">
        <v>4.6505560532658006</v>
      </c>
      <c r="AM220" s="3">
        <v>0.77235045659774348</v>
      </c>
      <c r="AN220" s="3">
        <v>-4.3116174349745284</v>
      </c>
    </row>
    <row r="221" spans="1:40" x14ac:dyDescent="0.2">
      <c r="A221">
        <v>40867</v>
      </c>
      <c r="B221" s="1">
        <v>43654.714953703704</v>
      </c>
      <c r="C221" t="s">
        <v>3</v>
      </c>
      <c r="D221">
        <v>28</v>
      </c>
      <c r="E221">
        <v>1.7871933202006001</v>
      </c>
      <c r="F221">
        <v>0.24594637071107001</v>
      </c>
      <c r="G221">
        <v>0.16705244614056</v>
      </c>
      <c r="H221">
        <v>2</v>
      </c>
      <c r="I221">
        <v>1</v>
      </c>
      <c r="J221">
        <v>0</v>
      </c>
      <c r="K221">
        <v>0</v>
      </c>
      <c r="L221">
        <v>0</v>
      </c>
      <c r="M221">
        <v>0</v>
      </c>
      <c r="N221">
        <v>0</v>
      </c>
      <c r="O221">
        <v>0</v>
      </c>
      <c r="P221">
        <v>0</v>
      </c>
      <c r="Q221">
        <v>1</v>
      </c>
      <c r="R221">
        <v>0</v>
      </c>
      <c r="S221">
        <v>0</v>
      </c>
      <c r="T221">
        <v>0</v>
      </c>
      <c r="U221">
        <v>1</v>
      </c>
      <c r="V221">
        <v>0</v>
      </c>
      <c r="W221">
        <v>0</v>
      </c>
      <c r="X221">
        <v>0</v>
      </c>
      <c r="Y221">
        <v>3</v>
      </c>
      <c r="Z221">
        <v>1</v>
      </c>
      <c r="AA221">
        <v>1</v>
      </c>
      <c r="AB221">
        <v>1</v>
      </c>
      <c r="AC221">
        <v>3</v>
      </c>
      <c r="AD221">
        <v>3</v>
      </c>
      <c r="AE221">
        <v>3</v>
      </c>
      <c r="AF221">
        <v>3</v>
      </c>
      <c r="AH221" s="6">
        <f t="shared" si="13"/>
        <v>1.7871933202006001</v>
      </c>
      <c r="AI221" s="3">
        <f t="shared" si="14"/>
        <v>20</v>
      </c>
      <c r="AJ221" s="3" t="str">
        <f t="shared" si="15"/>
        <v>failed</v>
      </c>
      <c r="AK221" s="3">
        <f t="shared" si="16"/>
        <v>0</v>
      </c>
      <c r="AL221" s="3">
        <v>3.321354379585145</v>
      </c>
      <c r="AM221" s="3">
        <v>0.54557622379835025</v>
      </c>
      <c r="AN221" s="3">
        <v>-2.8120013161563491</v>
      </c>
    </row>
    <row r="222" spans="1:40" x14ac:dyDescent="0.2">
      <c r="A222">
        <v>46693</v>
      </c>
      <c r="B222" s="1">
        <v>43810.389421296299</v>
      </c>
      <c r="C222" t="s">
        <v>3</v>
      </c>
      <c r="D222">
        <v>45</v>
      </c>
      <c r="E222">
        <v>3.9457538481822998</v>
      </c>
      <c r="F222">
        <v>0.29639720215755999</v>
      </c>
      <c r="G222">
        <v>0.2677295604328</v>
      </c>
      <c r="H222">
        <v>2</v>
      </c>
      <c r="I222">
        <v>1</v>
      </c>
      <c r="J222">
        <v>1</v>
      </c>
      <c r="K222">
        <v>1</v>
      </c>
      <c r="L222">
        <v>0</v>
      </c>
      <c r="M222">
        <v>0</v>
      </c>
      <c r="N222">
        <v>0</v>
      </c>
      <c r="O222">
        <v>0</v>
      </c>
      <c r="P222">
        <v>0</v>
      </c>
      <c r="Q222">
        <v>2</v>
      </c>
      <c r="R222">
        <v>0</v>
      </c>
      <c r="S222">
        <v>0</v>
      </c>
      <c r="T222">
        <v>0</v>
      </c>
      <c r="U222">
        <v>0</v>
      </c>
      <c r="V222">
        <v>0</v>
      </c>
      <c r="W222">
        <v>1</v>
      </c>
      <c r="X222">
        <v>0</v>
      </c>
      <c r="Y222">
        <v>4</v>
      </c>
      <c r="Z222">
        <v>2</v>
      </c>
      <c r="AA222">
        <v>1</v>
      </c>
      <c r="AB222">
        <v>2</v>
      </c>
      <c r="AC222">
        <v>4</v>
      </c>
      <c r="AD222">
        <v>4</v>
      </c>
      <c r="AE222">
        <v>4</v>
      </c>
      <c r="AF222">
        <v>3</v>
      </c>
      <c r="AH222" s="6">
        <f t="shared" si="13"/>
        <v>3.9457538481822998</v>
      </c>
      <c r="AI222" s="3">
        <f t="shared" si="14"/>
        <v>20</v>
      </c>
      <c r="AJ222" s="3" t="str">
        <f t="shared" si="15"/>
        <v>failed</v>
      </c>
      <c r="AK222" s="3">
        <f t="shared" si="16"/>
        <v>0</v>
      </c>
      <c r="AL222" s="3">
        <v>6.9442129568272284</v>
      </c>
      <c r="AM222" s="3">
        <v>1.1849920949505679</v>
      </c>
      <c r="AN222" s="3">
        <v>-2.5303621192257548</v>
      </c>
    </row>
    <row r="223" spans="1:40" x14ac:dyDescent="0.2">
      <c r="A223">
        <v>46802</v>
      </c>
      <c r="B223" s="1">
        <v>43811.929699074077</v>
      </c>
      <c r="C223" t="s">
        <v>3</v>
      </c>
      <c r="D223">
        <v>40</v>
      </c>
      <c r="E223">
        <v>9.2839976330499993E-2</v>
      </c>
      <c r="F223">
        <v>0.22139143288332</v>
      </c>
      <c r="G223">
        <v>1.7146254819371001E-2</v>
      </c>
      <c r="H223">
        <v>1</v>
      </c>
      <c r="I223">
        <v>0</v>
      </c>
      <c r="J223">
        <v>1</v>
      </c>
      <c r="K223">
        <v>0</v>
      </c>
      <c r="L223">
        <v>0</v>
      </c>
      <c r="M223">
        <v>0</v>
      </c>
      <c r="N223">
        <v>0</v>
      </c>
      <c r="O223">
        <v>0</v>
      </c>
      <c r="P223">
        <v>0</v>
      </c>
      <c r="Q223">
        <v>2</v>
      </c>
      <c r="R223">
        <v>0</v>
      </c>
      <c r="S223">
        <v>0</v>
      </c>
      <c r="T223">
        <v>0</v>
      </c>
      <c r="U223">
        <v>0</v>
      </c>
      <c r="V223">
        <v>1</v>
      </c>
      <c r="W223">
        <v>0</v>
      </c>
      <c r="X223">
        <v>0</v>
      </c>
      <c r="Y223">
        <v>3</v>
      </c>
      <c r="Z223">
        <v>3</v>
      </c>
      <c r="AA223">
        <v>2</v>
      </c>
      <c r="AB223">
        <v>4</v>
      </c>
      <c r="AC223">
        <v>4</v>
      </c>
      <c r="AD223">
        <v>4</v>
      </c>
      <c r="AE223">
        <v>4</v>
      </c>
      <c r="AF223">
        <v>5</v>
      </c>
      <c r="AH223" s="6">
        <f t="shared" si="13"/>
        <v>9.2839976330499993E-2</v>
      </c>
      <c r="AI223" s="3">
        <f t="shared" si="14"/>
        <v>20</v>
      </c>
      <c r="AJ223" s="3" t="str">
        <f t="shared" si="15"/>
        <v>failed</v>
      </c>
      <c r="AK223" s="3">
        <f t="shared" si="16"/>
        <v>0</v>
      </c>
      <c r="AL223" s="3">
        <v>0.31050798184456813</v>
      </c>
      <c r="AM223" s="3">
        <v>4.7931644360520179E-2</v>
      </c>
      <c r="AN223" s="3">
        <v>-4.5412171524278904</v>
      </c>
    </row>
    <row r="224" spans="1:40" x14ac:dyDescent="0.2">
      <c r="A224">
        <v>62777</v>
      </c>
      <c r="B224" s="1">
        <v>44357.368055555555</v>
      </c>
      <c r="C224" t="s">
        <v>3</v>
      </c>
      <c r="D224">
        <v>27</v>
      </c>
      <c r="E224">
        <v>0.60654566911707997</v>
      </c>
      <c r="F224">
        <v>0.21093449022155999</v>
      </c>
      <c r="G224">
        <v>0.22566470899467</v>
      </c>
      <c r="H224">
        <v>1</v>
      </c>
      <c r="I224">
        <v>1</v>
      </c>
      <c r="J224">
        <v>0</v>
      </c>
      <c r="K224">
        <v>1</v>
      </c>
      <c r="L224">
        <v>1</v>
      </c>
      <c r="M224">
        <v>1</v>
      </c>
      <c r="N224">
        <v>0</v>
      </c>
      <c r="O224">
        <v>0</v>
      </c>
      <c r="P224">
        <v>0</v>
      </c>
      <c r="Q224">
        <v>2</v>
      </c>
      <c r="R224">
        <v>0</v>
      </c>
      <c r="S224">
        <v>0</v>
      </c>
      <c r="T224">
        <v>0</v>
      </c>
      <c r="U224">
        <v>1</v>
      </c>
      <c r="V224">
        <v>1</v>
      </c>
      <c r="W224">
        <v>1</v>
      </c>
      <c r="X224">
        <v>0</v>
      </c>
      <c r="Y224">
        <v>1</v>
      </c>
      <c r="Z224">
        <v>4</v>
      </c>
      <c r="AA224">
        <v>1</v>
      </c>
      <c r="AB224">
        <v>1</v>
      </c>
      <c r="AC224">
        <v>4</v>
      </c>
      <c r="AD224">
        <v>1</v>
      </c>
      <c r="AE224">
        <v>4</v>
      </c>
      <c r="AF224">
        <v>3</v>
      </c>
      <c r="AG224" t="s">
        <v>158</v>
      </c>
      <c r="AH224" s="6">
        <f t="shared" si="13"/>
        <v>0.60654566911707997</v>
      </c>
      <c r="AI224" s="3">
        <f t="shared" si="14"/>
        <v>20</v>
      </c>
      <c r="AJ224" s="3" t="str">
        <f t="shared" si="15"/>
        <v>failed</v>
      </c>
      <c r="AK224" s="3">
        <f t="shared" si="16"/>
        <v>0</v>
      </c>
      <c r="AL224" s="3">
        <v>3.5122118880118558</v>
      </c>
      <c r="AM224" s="3">
        <v>0.68038113974025982</v>
      </c>
      <c r="AN224" s="3">
        <v>-4.2706448623841027</v>
      </c>
    </row>
    <row r="225" spans="1:40" x14ac:dyDescent="0.2">
      <c r="A225">
        <v>29134</v>
      </c>
      <c r="B225" s="1">
        <v>43391.59684027778</v>
      </c>
      <c r="C225" t="s">
        <v>3</v>
      </c>
      <c r="D225">
        <v>23</v>
      </c>
      <c r="E225">
        <v>0.58907882681267998</v>
      </c>
      <c r="F225">
        <v>0.13732094360950001</v>
      </c>
      <c r="G225">
        <v>0.1992531923708</v>
      </c>
      <c r="H225">
        <v>2</v>
      </c>
      <c r="I225">
        <v>0</v>
      </c>
      <c r="J225">
        <v>0</v>
      </c>
      <c r="K225">
        <v>1</v>
      </c>
      <c r="L225">
        <v>0</v>
      </c>
      <c r="M225">
        <v>0</v>
      </c>
      <c r="N225">
        <v>0</v>
      </c>
      <c r="O225">
        <v>0</v>
      </c>
      <c r="P225">
        <v>0</v>
      </c>
      <c r="Q225">
        <v>2</v>
      </c>
      <c r="R225">
        <v>1</v>
      </c>
      <c r="S225">
        <v>0</v>
      </c>
      <c r="T225">
        <v>0</v>
      </c>
      <c r="U225">
        <v>1</v>
      </c>
      <c r="V225">
        <v>1</v>
      </c>
      <c r="W225">
        <v>1</v>
      </c>
      <c r="X225">
        <v>0</v>
      </c>
      <c r="Y225">
        <v>3</v>
      </c>
      <c r="Z225">
        <v>3</v>
      </c>
      <c r="AA225">
        <v>1</v>
      </c>
      <c r="AB225">
        <v>2</v>
      </c>
      <c r="AC225">
        <v>2</v>
      </c>
      <c r="AD225">
        <v>3</v>
      </c>
      <c r="AE225">
        <v>5</v>
      </c>
      <c r="AF225">
        <v>4</v>
      </c>
      <c r="AH225" s="6">
        <f t="shared" si="13"/>
        <v>0.58907882681267998</v>
      </c>
      <c r="AI225" s="3">
        <f t="shared" si="14"/>
        <v>21</v>
      </c>
      <c r="AJ225" s="3" t="str">
        <f t="shared" si="15"/>
        <v>failed</v>
      </c>
      <c r="AK225" s="3">
        <f t="shared" si="16"/>
        <v>0</v>
      </c>
      <c r="AL225" s="3">
        <v>2.204724993062813</v>
      </c>
      <c r="AM225" s="3">
        <v>0.3695733991650399</v>
      </c>
      <c r="AN225" s="3">
        <v>-4.3716516662191669</v>
      </c>
    </row>
    <row r="226" spans="1:40" x14ac:dyDescent="0.2">
      <c r="A226">
        <v>30103</v>
      </c>
      <c r="B226" s="1">
        <v>43405.827569444446</v>
      </c>
      <c r="C226" t="s">
        <v>3</v>
      </c>
      <c r="D226">
        <v>38</v>
      </c>
      <c r="E226">
        <v>0.97704314786072</v>
      </c>
      <c r="F226">
        <v>0.28709712852502001</v>
      </c>
      <c r="G226">
        <v>0.25704370590480002</v>
      </c>
      <c r="H226">
        <v>1</v>
      </c>
      <c r="I226">
        <v>1</v>
      </c>
      <c r="J226">
        <v>1</v>
      </c>
      <c r="K226">
        <v>1</v>
      </c>
      <c r="L226">
        <v>1</v>
      </c>
      <c r="M226">
        <v>1</v>
      </c>
      <c r="N226">
        <v>0</v>
      </c>
      <c r="O226">
        <v>0</v>
      </c>
      <c r="P226">
        <v>1</v>
      </c>
      <c r="Q226">
        <v>2</v>
      </c>
      <c r="R226">
        <v>1</v>
      </c>
      <c r="S226">
        <v>1</v>
      </c>
      <c r="T226">
        <v>1</v>
      </c>
      <c r="U226">
        <v>0</v>
      </c>
      <c r="V226">
        <v>0</v>
      </c>
      <c r="W226">
        <v>0</v>
      </c>
      <c r="X226">
        <v>1</v>
      </c>
      <c r="Y226">
        <v>1</v>
      </c>
      <c r="Z226">
        <v>1</v>
      </c>
      <c r="AA226">
        <v>1</v>
      </c>
      <c r="AB226">
        <v>1</v>
      </c>
      <c r="AC226">
        <v>1</v>
      </c>
      <c r="AD226">
        <v>1</v>
      </c>
      <c r="AE226">
        <v>1</v>
      </c>
      <c r="AF226">
        <v>5</v>
      </c>
      <c r="AG226" t="s">
        <v>60</v>
      </c>
      <c r="AH226" s="6">
        <f t="shared" si="13"/>
        <v>0.97704314786072</v>
      </c>
      <c r="AI226" s="3">
        <f t="shared" si="14"/>
        <v>21</v>
      </c>
      <c r="AJ226" s="3" t="str">
        <f t="shared" si="15"/>
        <v>failed</v>
      </c>
      <c r="AK226" s="3">
        <f t="shared" si="16"/>
        <v>0</v>
      </c>
      <c r="AL226" s="3">
        <v>6.6472244309947452</v>
      </c>
      <c r="AM226" s="3">
        <v>1.0248036816853929</v>
      </c>
      <c r="AN226" s="3">
        <v>-5.5329439037619741</v>
      </c>
    </row>
    <row r="227" spans="1:40" x14ac:dyDescent="0.2">
      <c r="A227">
        <v>30984</v>
      </c>
      <c r="B227" s="1">
        <v>43417.679675925923</v>
      </c>
      <c r="C227" t="s">
        <v>3</v>
      </c>
      <c r="D227">
        <v>34</v>
      </c>
      <c r="E227">
        <v>0.17430933387250999</v>
      </c>
      <c r="F227">
        <v>0.21408326085985999</v>
      </c>
      <c r="G227">
        <v>0.31606049513786</v>
      </c>
      <c r="H227">
        <v>1</v>
      </c>
      <c r="I227">
        <v>1</v>
      </c>
      <c r="J227">
        <v>1</v>
      </c>
      <c r="K227">
        <v>1</v>
      </c>
      <c r="L227">
        <v>1</v>
      </c>
      <c r="M227">
        <v>0</v>
      </c>
      <c r="N227">
        <v>0</v>
      </c>
      <c r="O227">
        <v>1</v>
      </c>
      <c r="P227">
        <v>1</v>
      </c>
      <c r="Q227">
        <v>2</v>
      </c>
      <c r="R227">
        <v>0</v>
      </c>
      <c r="S227">
        <v>0</v>
      </c>
      <c r="T227">
        <v>1</v>
      </c>
      <c r="U227">
        <v>0</v>
      </c>
      <c r="V227">
        <v>0</v>
      </c>
      <c r="W227">
        <v>1</v>
      </c>
      <c r="X227">
        <v>0</v>
      </c>
      <c r="Y227">
        <v>2</v>
      </c>
      <c r="Z227">
        <v>1</v>
      </c>
      <c r="AA227">
        <v>1</v>
      </c>
      <c r="AB227">
        <v>1</v>
      </c>
      <c r="AC227">
        <v>2</v>
      </c>
      <c r="AD227">
        <v>1</v>
      </c>
      <c r="AE227">
        <v>1</v>
      </c>
      <c r="AF227">
        <v>5</v>
      </c>
      <c r="AH227" s="6">
        <f t="shared" si="13"/>
        <v>0.17430933387250999</v>
      </c>
      <c r="AI227" s="3">
        <f t="shared" si="14"/>
        <v>21</v>
      </c>
      <c r="AJ227" s="3" t="str">
        <f t="shared" si="15"/>
        <v>failed</v>
      </c>
      <c r="AK227" s="3">
        <f t="shared" si="16"/>
        <v>0</v>
      </c>
      <c r="AL227" s="3">
        <v>5.6669112383357234</v>
      </c>
      <c r="AM227" s="3">
        <v>0.92397036846090541</v>
      </c>
      <c r="AN227" s="3">
        <v>-5.94456499033888</v>
      </c>
    </row>
    <row r="228" spans="1:40" x14ac:dyDescent="0.2">
      <c r="A228">
        <v>45782</v>
      </c>
      <c r="B228" s="1">
        <v>43796.68822916667</v>
      </c>
      <c r="C228" t="s">
        <v>3</v>
      </c>
      <c r="D228">
        <v>40</v>
      </c>
      <c r="E228">
        <v>0.12436445767054</v>
      </c>
      <c r="F228">
        <v>0.11633967107473001</v>
      </c>
      <c r="G228">
        <v>0.22028953515565999</v>
      </c>
      <c r="H228">
        <v>1</v>
      </c>
      <c r="I228">
        <v>0</v>
      </c>
      <c r="J228">
        <v>1</v>
      </c>
      <c r="K228">
        <v>0</v>
      </c>
      <c r="L228">
        <v>0</v>
      </c>
      <c r="M228">
        <v>0</v>
      </c>
      <c r="N228">
        <v>0</v>
      </c>
      <c r="O228">
        <v>0</v>
      </c>
      <c r="P228">
        <v>0</v>
      </c>
      <c r="Q228">
        <v>1</v>
      </c>
      <c r="R228">
        <v>0</v>
      </c>
      <c r="S228">
        <v>0</v>
      </c>
      <c r="T228">
        <v>1</v>
      </c>
      <c r="U228">
        <v>0</v>
      </c>
      <c r="V228">
        <v>0</v>
      </c>
      <c r="W228">
        <v>0</v>
      </c>
      <c r="X228">
        <v>0</v>
      </c>
      <c r="Y228">
        <v>3</v>
      </c>
      <c r="Z228">
        <v>4</v>
      </c>
      <c r="AA228">
        <v>1</v>
      </c>
      <c r="AB228">
        <v>1</v>
      </c>
      <c r="AC228">
        <v>2</v>
      </c>
      <c r="AD228">
        <v>2</v>
      </c>
      <c r="AE228">
        <v>5</v>
      </c>
      <c r="AF228">
        <v>4</v>
      </c>
      <c r="AG228" t="s">
        <v>103</v>
      </c>
      <c r="AH228" s="6">
        <f t="shared" si="13"/>
        <v>0.12436445767054</v>
      </c>
      <c r="AI228" s="3">
        <f t="shared" si="14"/>
        <v>21</v>
      </c>
      <c r="AJ228" s="3" t="str">
        <f t="shared" si="15"/>
        <v>failed</v>
      </c>
      <c r="AK228" s="3">
        <f t="shared" si="16"/>
        <v>0</v>
      </c>
      <c r="AL228" s="3">
        <v>2.0918986451772179</v>
      </c>
      <c r="AM228" s="3">
        <v>0.33376209370088539</v>
      </c>
      <c r="AN228" s="3">
        <v>-5.8950199098102454</v>
      </c>
    </row>
    <row r="229" spans="1:40" x14ac:dyDescent="0.2">
      <c r="A229">
        <v>53535</v>
      </c>
      <c r="B229" s="1">
        <v>43921.104687500003</v>
      </c>
      <c r="C229" t="s">
        <v>2</v>
      </c>
      <c r="D229">
        <v>27</v>
      </c>
      <c r="E229">
        <v>0.38230477014845998</v>
      </c>
      <c r="F229">
        <v>0.27913099220818</v>
      </c>
      <c r="G229">
        <v>0.26450097808574002</v>
      </c>
      <c r="H229">
        <v>2</v>
      </c>
      <c r="I229">
        <v>0</v>
      </c>
      <c r="J229">
        <v>0</v>
      </c>
      <c r="K229">
        <v>0</v>
      </c>
      <c r="L229">
        <v>0</v>
      </c>
      <c r="M229">
        <v>0</v>
      </c>
      <c r="N229">
        <v>0</v>
      </c>
      <c r="O229">
        <v>0</v>
      </c>
      <c r="P229">
        <v>0</v>
      </c>
      <c r="Q229">
        <v>2</v>
      </c>
      <c r="R229">
        <v>0</v>
      </c>
      <c r="S229">
        <v>0</v>
      </c>
      <c r="T229">
        <v>0</v>
      </c>
      <c r="U229">
        <v>1</v>
      </c>
      <c r="V229">
        <v>1</v>
      </c>
      <c r="W229">
        <v>0</v>
      </c>
      <c r="X229">
        <v>0</v>
      </c>
      <c r="Y229">
        <v>2</v>
      </c>
      <c r="Z229">
        <v>2</v>
      </c>
      <c r="AA229">
        <v>2</v>
      </c>
      <c r="AB229">
        <v>2</v>
      </c>
      <c r="AC229">
        <v>3</v>
      </c>
      <c r="AD229">
        <v>3</v>
      </c>
      <c r="AE229">
        <v>3</v>
      </c>
      <c r="AF229">
        <v>4</v>
      </c>
      <c r="AG229" t="s">
        <v>127</v>
      </c>
      <c r="AH229" s="6">
        <f t="shared" si="13"/>
        <v>0.38230477014845998</v>
      </c>
      <c r="AI229" s="3">
        <f t="shared" si="14"/>
        <v>21</v>
      </c>
      <c r="AJ229" s="3" t="str">
        <f t="shared" si="15"/>
        <v>failed</v>
      </c>
      <c r="AK229" s="3">
        <f t="shared" si="16"/>
        <v>0</v>
      </c>
      <c r="AL229" s="3">
        <v>7.0916036206611004</v>
      </c>
      <c r="AM229" s="3">
        <v>1.0091129443025879</v>
      </c>
      <c r="AN229" s="3">
        <v>-6.6487095308737008</v>
      </c>
    </row>
    <row r="230" spans="1:40" x14ac:dyDescent="0.2">
      <c r="A230">
        <v>63158</v>
      </c>
      <c r="B230" s="1">
        <v>44383.517164351855</v>
      </c>
      <c r="C230" t="s">
        <v>3</v>
      </c>
      <c r="D230">
        <v>19</v>
      </c>
      <c r="E230">
        <v>0.79689200787600001</v>
      </c>
      <c r="F230">
        <v>0.25086923621549001</v>
      </c>
      <c r="G230">
        <v>0.11355200316904</v>
      </c>
      <c r="H230">
        <v>1</v>
      </c>
      <c r="I230">
        <v>1</v>
      </c>
      <c r="J230">
        <v>1</v>
      </c>
      <c r="K230">
        <v>1</v>
      </c>
      <c r="L230">
        <v>0</v>
      </c>
      <c r="M230">
        <v>0</v>
      </c>
      <c r="N230">
        <v>0</v>
      </c>
      <c r="O230">
        <v>0</v>
      </c>
      <c r="P230">
        <v>0</v>
      </c>
      <c r="Q230">
        <v>2</v>
      </c>
      <c r="R230">
        <v>0</v>
      </c>
      <c r="S230">
        <v>0</v>
      </c>
      <c r="T230">
        <v>1</v>
      </c>
      <c r="U230">
        <v>0</v>
      </c>
      <c r="V230">
        <v>0</v>
      </c>
      <c r="W230">
        <v>0</v>
      </c>
      <c r="X230">
        <v>1</v>
      </c>
      <c r="Y230">
        <v>2</v>
      </c>
      <c r="Z230">
        <v>1</v>
      </c>
      <c r="AA230">
        <v>1</v>
      </c>
      <c r="AB230">
        <v>2</v>
      </c>
      <c r="AC230">
        <v>2</v>
      </c>
      <c r="AD230">
        <v>2</v>
      </c>
      <c r="AE230">
        <v>2</v>
      </c>
      <c r="AF230">
        <v>4</v>
      </c>
      <c r="AH230" s="6">
        <f t="shared" si="13"/>
        <v>0.79689200787600001</v>
      </c>
      <c r="AI230" s="3">
        <f t="shared" si="14"/>
        <v>21</v>
      </c>
      <c r="AJ230" s="3" t="str">
        <f t="shared" si="15"/>
        <v>failed</v>
      </c>
      <c r="AK230" s="3">
        <f t="shared" si="16"/>
        <v>0</v>
      </c>
      <c r="AL230" s="3">
        <v>2.2721114131367699</v>
      </c>
      <c r="AM230" s="3">
        <v>0.39141819765015751</v>
      </c>
      <c r="AN230" s="3">
        <v>-3.7689085845193402</v>
      </c>
    </row>
    <row r="231" spans="1:40" x14ac:dyDescent="0.2">
      <c r="A231">
        <v>29395</v>
      </c>
      <c r="B231" s="1">
        <v>43394.419166666667</v>
      </c>
      <c r="C231" t="s">
        <v>3</v>
      </c>
      <c r="D231">
        <v>44</v>
      </c>
      <c r="E231">
        <v>0.61109344576346003</v>
      </c>
      <c r="F231">
        <v>0.23299935809163</v>
      </c>
      <c r="G231">
        <v>0.21580036387863999</v>
      </c>
      <c r="H231">
        <v>2</v>
      </c>
      <c r="I231">
        <v>1</v>
      </c>
      <c r="J231">
        <v>1</v>
      </c>
      <c r="K231">
        <v>1</v>
      </c>
      <c r="L231">
        <v>1</v>
      </c>
      <c r="M231">
        <v>1</v>
      </c>
      <c r="N231">
        <v>1</v>
      </c>
      <c r="O231">
        <v>1</v>
      </c>
      <c r="P231">
        <v>1</v>
      </c>
      <c r="Q231">
        <v>1</v>
      </c>
      <c r="R231">
        <v>0</v>
      </c>
      <c r="S231">
        <v>0</v>
      </c>
      <c r="T231">
        <v>0</v>
      </c>
      <c r="U231">
        <v>1</v>
      </c>
      <c r="V231">
        <v>0</v>
      </c>
      <c r="W231">
        <v>0</v>
      </c>
      <c r="X231">
        <v>0</v>
      </c>
      <c r="Y231">
        <v>2</v>
      </c>
      <c r="Z231">
        <v>2</v>
      </c>
      <c r="AA231">
        <v>2</v>
      </c>
      <c r="AB231">
        <v>2</v>
      </c>
      <c r="AC231">
        <v>3</v>
      </c>
      <c r="AD231">
        <v>3</v>
      </c>
      <c r="AE231">
        <v>3</v>
      </c>
      <c r="AF231">
        <v>3</v>
      </c>
      <c r="AG231" t="s">
        <v>37</v>
      </c>
      <c r="AH231" s="6">
        <f t="shared" si="13"/>
        <v>0.61109344576346003</v>
      </c>
      <c r="AI231" s="3">
        <f t="shared" si="14"/>
        <v>22</v>
      </c>
      <c r="AJ231" s="3" t="str">
        <f t="shared" si="15"/>
        <v>failed</v>
      </c>
      <c r="AK231" s="3">
        <f t="shared" si="16"/>
        <v>0</v>
      </c>
      <c r="AL231" s="3">
        <v>3.8511776285055901</v>
      </c>
      <c r="AM231" s="3">
        <v>0.63559726623215163</v>
      </c>
      <c r="AN231" s="3">
        <v>-5.0976999979082569</v>
      </c>
    </row>
    <row r="232" spans="1:40" x14ac:dyDescent="0.2">
      <c r="A232">
        <v>39266</v>
      </c>
      <c r="B232" s="1">
        <v>43601.584050925929</v>
      </c>
      <c r="C232" t="s">
        <v>3</v>
      </c>
      <c r="D232">
        <v>22</v>
      </c>
      <c r="E232">
        <v>0.69268625004689999</v>
      </c>
      <c r="F232">
        <v>0.26152931863882001</v>
      </c>
      <c r="G232">
        <v>0.18305865467012</v>
      </c>
      <c r="H232">
        <v>2</v>
      </c>
      <c r="I232">
        <v>1</v>
      </c>
      <c r="J232">
        <v>1</v>
      </c>
      <c r="K232">
        <v>0</v>
      </c>
      <c r="L232">
        <v>0</v>
      </c>
      <c r="M232">
        <v>0</v>
      </c>
      <c r="N232">
        <v>0</v>
      </c>
      <c r="O232">
        <v>0</v>
      </c>
      <c r="P232">
        <v>0</v>
      </c>
      <c r="Q232">
        <v>1</v>
      </c>
      <c r="R232">
        <v>1</v>
      </c>
      <c r="S232">
        <v>0</v>
      </c>
      <c r="T232">
        <v>0</v>
      </c>
      <c r="U232">
        <v>0</v>
      </c>
      <c r="V232">
        <v>1</v>
      </c>
      <c r="W232">
        <v>0</v>
      </c>
      <c r="X232">
        <v>0</v>
      </c>
      <c r="Y232">
        <v>2</v>
      </c>
      <c r="Z232">
        <v>2</v>
      </c>
      <c r="AA232">
        <v>2</v>
      </c>
      <c r="AB232">
        <v>3</v>
      </c>
      <c r="AC232">
        <v>2</v>
      </c>
      <c r="AD232">
        <v>3</v>
      </c>
      <c r="AE232">
        <v>3</v>
      </c>
      <c r="AF232">
        <v>5</v>
      </c>
      <c r="AH232" s="6">
        <f t="shared" si="13"/>
        <v>0.69268625004689999</v>
      </c>
      <c r="AI232" s="3">
        <f t="shared" si="14"/>
        <v>22</v>
      </c>
      <c r="AJ232" s="3" t="str">
        <f t="shared" si="15"/>
        <v>failed</v>
      </c>
      <c r="AK232" s="3">
        <f t="shared" si="16"/>
        <v>0</v>
      </c>
      <c r="AL232" s="3">
        <v>3.6291079646987918</v>
      </c>
      <c r="AM232" s="3">
        <v>0.67083862225908797</v>
      </c>
      <c r="AN232" s="3">
        <v>-4.3772400950370436</v>
      </c>
    </row>
    <row r="233" spans="1:40" x14ac:dyDescent="0.2">
      <c r="A233">
        <v>45736</v>
      </c>
      <c r="B233" s="1">
        <v>43795.857245370367</v>
      </c>
      <c r="C233" t="s">
        <v>2</v>
      </c>
      <c r="D233">
        <v>21</v>
      </c>
      <c r="E233">
        <v>0.28235853854548998</v>
      </c>
      <c r="F233">
        <v>0.11618065608264</v>
      </c>
      <c r="G233">
        <v>0.23750880351183001</v>
      </c>
      <c r="H233">
        <v>2</v>
      </c>
      <c r="I233">
        <v>1</v>
      </c>
      <c r="J233">
        <v>0</v>
      </c>
      <c r="K233">
        <v>0</v>
      </c>
      <c r="L233">
        <v>0</v>
      </c>
      <c r="M233">
        <v>0</v>
      </c>
      <c r="N233">
        <v>0</v>
      </c>
      <c r="O233">
        <v>0</v>
      </c>
      <c r="P233">
        <v>0</v>
      </c>
      <c r="Q233">
        <v>2</v>
      </c>
      <c r="R233">
        <v>1</v>
      </c>
      <c r="S233">
        <v>0</v>
      </c>
      <c r="T233">
        <v>1</v>
      </c>
      <c r="U233">
        <v>1</v>
      </c>
      <c r="V233">
        <v>0</v>
      </c>
      <c r="W233">
        <v>0</v>
      </c>
      <c r="X233">
        <v>0</v>
      </c>
      <c r="Y233">
        <v>2</v>
      </c>
      <c r="Z233">
        <v>3</v>
      </c>
      <c r="AA233">
        <v>3</v>
      </c>
      <c r="AB233">
        <v>2</v>
      </c>
      <c r="AC233">
        <v>4</v>
      </c>
      <c r="AD233">
        <v>3</v>
      </c>
      <c r="AE233">
        <v>3</v>
      </c>
      <c r="AF233">
        <v>4</v>
      </c>
      <c r="AH233" s="6">
        <f t="shared" si="13"/>
        <v>0.28235853854548998</v>
      </c>
      <c r="AI233" s="3">
        <f t="shared" si="14"/>
        <v>22</v>
      </c>
      <c r="AJ233" s="3" t="str">
        <f t="shared" si="15"/>
        <v>failed</v>
      </c>
      <c r="AK233" s="3">
        <f t="shared" si="16"/>
        <v>0</v>
      </c>
      <c r="AL233" s="3">
        <v>2.6832549340251828</v>
      </c>
      <c r="AM233" s="3">
        <v>0.39732542456435488</v>
      </c>
      <c r="AN233" s="3">
        <v>-6.0426447618149446</v>
      </c>
    </row>
    <row r="234" spans="1:40" x14ac:dyDescent="0.2">
      <c r="A234">
        <v>59785</v>
      </c>
      <c r="B234" s="1">
        <v>44221.722060185188</v>
      </c>
      <c r="C234" t="s">
        <v>14</v>
      </c>
      <c r="D234">
        <v>23</v>
      </c>
      <c r="E234">
        <v>0.44796433960979998</v>
      </c>
      <c r="F234">
        <v>0.29304220344568999</v>
      </c>
      <c r="G234">
        <v>8.1270744494677E-2</v>
      </c>
      <c r="H234">
        <v>2</v>
      </c>
      <c r="I234">
        <v>0</v>
      </c>
      <c r="J234">
        <v>1</v>
      </c>
      <c r="K234">
        <v>1</v>
      </c>
      <c r="L234">
        <v>0</v>
      </c>
      <c r="M234">
        <v>0</v>
      </c>
      <c r="N234">
        <v>0</v>
      </c>
      <c r="O234">
        <v>0</v>
      </c>
      <c r="P234">
        <v>0</v>
      </c>
      <c r="Q234">
        <v>2</v>
      </c>
      <c r="R234">
        <v>0</v>
      </c>
      <c r="S234">
        <v>0</v>
      </c>
      <c r="T234">
        <v>0</v>
      </c>
      <c r="U234">
        <v>0</v>
      </c>
      <c r="V234">
        <v>0</v>
      </c>
      <c r="W234">
        <v>1</v>
      </c>
      <c r="X234">
        <v>0</v>
      </c>
      <c r="Y234">
        <v>4</v>
      </c>
      <c r="Z234">
        <v>2</v>
      </c>
      <c r="AA234">
        <v>2</v>
      </c>
      <c r="AB234">
        <v>3</v>
      </c>
      <c r="AC234">
        <v>3</v>
      </c>
      <c r="AD234">
        <v>4</v>
      </c>
      <c r="AE234">
        <v>4</v>
      </c>
      <c r="AF234">
        <v>4</v>
      </c>
      <c r="AG234" t="s">
        <v>145</v>
      </c>
      <c r="AH234" s="6">
        <f t="shared" si="13"/>
        <v>0.44796433960979998</v>
      </c>
      <c r="AI234" s="3">
        <f t="shared" si="14"/>
        <v>22</v>
      </c>
      <c r="AJ234" s="3" t="str">
        <f t="shared" si="15"/>
        <v>failed</v>
      </c>
      <c r="AK234" s="3">
        <f t="shared" si="16"/>
        <v>0</v>
      </c>
      <c r="AL234" s="3">
        <v>1.521011834486649</v>
      </c>
      <c r="AM234" s="3">
        <v>0.31836917327706621</v>
      </c>
      <c r="AN234" s="3">
        <v>-3.3704503606039009</v>
      </c>
    </row>
    <row r="235" spans="1:40" x14ac:dyDescent="0.2">
      <c r="A235">
        <v>60241</v>
      </c>
      <c r="B235" s="1">
        <v>44239.540682870371</v>
      </c>
      <c r="C235" t="s">
        <v>3</v>
      </c>
      <c r="D235">
        <v>73</v>
      </c>
      <c r="E235">
        <v>1.0788664955487E-2</v>
      </c>
      <c r="F235">
        <v>0.10548816565864</v>
      </c>
      <c r="G235">
        <v>5.8916274495569004E-3</v>
      </c>
      <c r="H235">
        <v>2</v>
      </c>
      <c r="I235">
        <v>1</v>
      </c>
      <c r="J235">
        <v>1</v>
      </c>
      <c r="K235">
        <v>1</v>
      </c>
      <c r="L235">
        <v>0</v>
      </c>
      <c r="M235">
        <v>0</v>
      </c>
      <c r="N235">
        <v>0</v>
      </c>
      <c r="O235">
        <v>0</v>
      </c>
      <c r="P235">
        <v>0</v>
      </c>
      <c r="Q235">
        <v>2</v>
      </c>
      <c r="R235">
        <v>0</v>
      </c>
      <c r="S235">
        <v>0</v>
      </c>
      <c r="T235">
        <v>0</v>
      </c>
      <c r="U235">
        <v>0</v>
      </c>
      <c r="V235">
        <v>0</v>
      </c>
      <c r="W235">
        <v>1</v>
      </c>
      <c r="X235">
        <v>0</v>
      </c>
      <c r="Y235">
        <v>2</v>
      </c>
      <c r="Z235">
        <v>2</v>
      </c>
      <c r="AA235">
        <v>2</v>
      </c>
      <c r="AB235">
        <v>2</v>
      </c>
      <c r="AC235">
        <v>3</v>
      </c>
      <c r="AD235">
        <v>3</v>
      </c>
      <c r="AE235">
        <v>3</v>
      </c>
      <c r="AF235">
        <v>3</v>
      </c>
      <c r="AH235" s="6">
        <f t="shared" si="13"/>
        <v>1.0788664955487E-2</v>
      </c>
      <c r="AI235" s="3">
        <f t="shared" si="14"/>
        <v>22</v>
      </c>
      <c r="AJ235" s="3" t="str">
        <f t="shared" si="15"/>
        <v>failed</v>
      </c>
      <c r="AK235" s="3">
        <f t="shared" si="16"/>
        <v>0</v>
      </c>
      <c r="AL235" s="3">
        <v>4.3732601472701152E-2</v>
      </c>
      <c r="AM235" s="3">
        <v>6.9991721779287348E-3</v>
      </c>
      <c r="AN235" s="3">
        <v>-4.7068332768124304</v>
      </c>
    </row>
    <row r="236" spans="1:40" x14ac:dyDescent="0.2">
      <c r="A236">
        <v>62784</v>
      </c>
      <c r="B236" s="1">
        <v>44357.490405092591</v>
      </c>
      <c r="C236" t="s">
        <v>3</v>
      </c>
      <c r="D236">
        <v>22</v>
      </c>
      <c r="E236">
        <v>8.1753954902997E-2</v>
      </c>
      <c r="F236">
        <v>0.30091431134890001</v>
      </c>
      <c r="G236">
        <v>0.20383858576003999</v>
      </c>
      <c r="H236">
        <v>1</v>
      </c>
      <c r="I236">
        <v>0</v>
      </c>
      <c r="J236">
        <v>1</v>
      </c>
      <c r="K236">
        <v>0</v>
      </c>
      <c r="L236">
        <v>0</v>
      </c>
      <c r="M236">
        <v>0</v>
      </c>
      <c r="N236">
        <v>0</v>
      </c>
      <c r="O236">
        <v>0</v>
      </c>
      <c r="P236">
        <v>0</v>
      </c>
      <c r="Q236">
        <v>2</v>
      </c>
      <c r="R236">
        <v>0</v>
      </c>
      <c r="S236">
        <v>0</v>
      </c>
      <c r="T236">
        <v>0</v>
      </c>
      <c r="U236">
        <v>0</v>
      </c>
      <c r="V236">
        <v>0</v>
      </c>
      <c r="W236">
        <v>0</v>
      </c>
      <c r="X236">
        <v>0</v>
      </c>
      <c r="Y236">
        <v>5</v>
      </c>
      <c r="Z236">
        <v>5</v>
      </c>
      <c r="AA236">
        <v>1</v>
      </c>
      <c r="AB236">
        <v>1</v>
      </c>
      <c r="AC236">
        <v>3</v>
      </c>
      <c r="AD236">
        <v>3</v>
      </c>
      <c r="AE236">
        <v>5</v>
      </c>
      <c r="AF236">
        <v>4</v>
      </c>
      <c r="AG236" t="s">
        <v>159</v>
      </c>
      <c r="AH236" s="6">
        <f t="shared" si="13"/>
        <v>8.1753954902997E-2</v>
      </c>
      <c r="AI236" s="3">
        <f t="shared" si="14"/>
        <v>22</v>
      </c>
      <c r="AJ236" s="3" t="str">
        <f t="shared" si="15"/>
        <v>failed</v>
      </c>
      <c r="AK236" s="3">
        <f t="shared" si="16"/>
        <v>0</v>
      </c>
      <c r="AL236" s="3">
        <v>5.2242784880909481</v>
      </c>
      <c r="AM236" s="3">
        <v>0.85569717200835216</v>
      </c>
      <c r="AN236" s="3">
        <v>-6.0097481929480514</v>
      </c>
    </row>
    <row r="237" spans="1:40" x14ac:dyDescent="0.2">
      <c r="A237">
        <v>30321</v>
      </c>
      <c r="B237" s="1">
        <v>43409.979490740741</v>
      </c>
      <c r="C237" t="s">
        <v>3</v>
      </c>
      <c r="D237">
        <v>42</v>
      </c>
      <c r="E237">
        <v>0.25754298208481002</v>
      </c>
      <c r="F237">
        <v>0.30163367047903</v>
      </c>
      <c r="G237">
        <v>0.24400577264484999</v>
      </c>
      <c r="H237">
        <v>2</v>
      </c>
      <c r="I237">
        <v>0</v>
      </c>
      <c r="J237">
        <v>1</v>
      </c>
      <c r="K237">
        <v>1</v>
      </c>
      <c r="L237">
        <v>0</v>
      </c>
      <c r="M237">
        <v>0</v>
      </c>
      <c r="N237">
        <v>1</v>
      </c>
      <c r="O237">
        <v>0</v>
      </c>
      <c r="P237">
        <v>0</v>
      </c>
      <c r="Q237">
        <v>1</v>
      </c>
      <c r="R237">
        <v>0</v>
      </c>
      <c r="S237">
        <v>0</v>
      </c>
      <c r="T237">
        <v>0</v>
      </c>
      <c r="U237">
        <v>0</v>
      </c>
      <c r="V237">
        <v>0</v>
      </c>
      <c r="W237">
        <v>1</v>
      </c>
      <c r="X237">
        <v>0</v>
      </c>
      <c r="Y237">
        <v>3</v>
      </c>
      <c r="Z237">
        <v>2</v>
      </c>
      <c r="AA237">
        <v>2</v>
      </c>
      <c r="AB237">
        <v>2</v>
      </c>
      <c r="AC237">
        <v>1</v>
      </c>
      <c r="AD237">
        <v>4</v>
      </c>
      <c r="AE237">
        <v>4</v>
      </c>
      <c r="AF237">
        <v>3</v>
      </c>
      <c r="AH237" s="6">
        <f t="shared" si="13"/>
        <v>0.25754298208481002</v>
      </c>
      <c r="AI237" s="3">
        <f t="shared" si="14"/>
        <v>23</v>
      </c>
      <c r="AJ237" s="3" t="str">
        <f t="shared" si="15"/>
        <v>failed</v>
      </c>
      <c r="AK237" s="3">
        <f t="shared" si="16"/>
        <v>0</v>
      </c>
      <c r="AL237" s="3">
        <v>5.0074260440170724</v>
      </c>
      <c r="AM237" s="3">
        <v>1.2428831817174579</v>
      </c>
      <c r="AN237" s="3">
        <v>-3.8216649253944461</v>
      </c>
    </row>
    <row r="238" spans="1:40" x14ac:dyDescent="0.2">
      <c r="A238">
        <v>31795</v>
      </c>
      <c r="B238" s="1">
        <v>43431.695196759261</v>
      </c>
      <c r="C238" t="s">
        <v>3</v>
      </c>
      <c r="D238">
        <v>25</v>
      </c>
      <c r="E238">
        <v>0.13275297457964999</v>
      </c>
      <c r="F238">
        <v>0.23748852860217001</v>
      </c>
      <c r="G238">
        <v>0.1987787520863</v>
      </c>
      <c r="H238">
        <v>2</v>
      </c>
      <c r="I238">
        <v>0</v>
      </c>
      <c r="J238">
        <v>1</v>
      </c>
      <c r="K238">
        <v>0</v>
      </c>
      <c r="L238">
        <v>0</v>
      </c>
      <c r="M238">
        <v>0</v>
      </c>
      <c r="N238">
        <v>1</v>
      </c>
      <c r="O238">
        <v>0</v>
      </c>
      <c r="P238">
        <v>0</v>
      </c>
      <c r="Q238">
        <v>2</v>
      </c>
      <c r="R238">
        <v>0</v>
      </c>
      <c r="S238">
        <v>1</v>
      </c>
      <c r="T238">
        <v>0</v>
      </c>
      <c r="U238">
        <v>0</v>
      </c>
      <c r="V238">
        <v>1</v>
      </c>
      <c r="W238">
        <v>1</v>
      </c>
      <c r="X238">
        <v>0</v>
      </c>
      <c r="Y238">
        <v>4</v>
      </c>
      <c r="Z238">
        <v>1</v>
      </c>
      <c r="AA238">
        <v>2</v>
      </c>
      <c r="AB238">
        <v>2</v>
      </c>
      <c r="AC238">
        <v>1</v>
      </c>
      <c r="AD238">
        <v>4</v>
      </c>
      <c r="AE238">
        <v>3</v>
      </c>
      <c r="AF238">
        <v>4</v>
      </c>
      <c r="AG238" t="s">
        <v>82</v>
      </c>
      <c r="AH238" s="6">
        <f t="shared" si="13"/>
        <v>0.13275297457964999</v>
      </c>
      <c r="AI238" s="3">
        <f t="shared" si="14"/>
        <v>23</v>
      </c>
      <c r="AJ238" s="3" t="str">
        <f t="shared" si="15"/>
        <v>failed</v>
      </c>
      <c r="AK238" s="3">
        <f t="shared" si="16"/>
        <v>0</v>
      </c>
      <c r="AL238" s="3">
        <v>3.6249797492367519</v>
      </c>
      <c r="AM238" s="3">
        <v>0.66090906187678278</v>
      </c>
      <c r="AN238" s="3">
        <v>-5.283974719215121</v>
      </c>
    </row>
    <row r="239" spans="1:40" x14ac:dyDescent="0.2">
      <c r="A239">
        <v>46639</v>
      </c>
      <c r="B239" s="1">
        <v>43809.857604166667</v>
      </c>
      <c r="C239" t="s">
        <v>14</v>
      </c>
      <c r="D239">
        <v>19</v>
      </c>
      <c r="E239">
        <v>0.83231843690319995</v>
      </c>
      <c r="F239">
        <v>0.23682133010952</v>
      </c>
      <c r="G239">
        <v>0.15038684244186001</v>
      </c>
      <c r="H239">
        <v>2</v>
      </c>
      <c r="I239">
        <v>0</v>
      </c>
      <c r="J239">
        <v>1</v>
      </c>
      <c r="K239">
        <v>1</v>
      </c>
      <c r="L239">
        <v>0</v>
      </c>
      <c r="M239">
        <v>0</v>
      </c>
      <c r="N239">
        <v>0</v>
      </c>
      <c r="O239">
        <v>0</v>
      </c>
      <c r="P239">
        <v>0</v>
      </c>
      <c r="Q239">
        <v>2</v>
      </c>
      <c r="R239">
        <v>0</v>
      </c>
      <c r="S239">
        <v>1</v>
      </c>
      <c r="T239">
        <v>1</v>
      </c>
      <c r="U239">
        <v>0</v>
      </c>
      <c r="V239">
        <v>0</v>
      </c>
      <c r="W239">
        <v>0</v>
      </c>
      <c r="X239">
        <v>1</v>
      </c>
      <c r="Y239">
        <v>3</v>
      </c>
      <c r="Z239">
        <v>2</v>
      </c>
      <c r="AA239">
        <v>2</v>
      </c>
      <c r="AB239">
        <v>2</v>
      </c>
      <c r="AC239">
        <v>3</v>
      </c>
      <c r="AD239">
        <v>3</v>
      </c>
      <c r="AE239">
        <v>4</v>
      </c>
      <c r="AF239">
        <v>2</v>
      </c>
      <c r="AH239" s="6">
        <f t="shared" si="13"/>
        <v>0.83231843690319995</v>
      </c>
      <c r="AI239" s="3">
        <f t="shared" si="14"/>
        <v>23</v>
      </c>
      <c r="AJ239" s="3" t="str">
        <f t="shared" si="15"/>
        <v>failed</v>
      </c>
      <c r="AK239" s="3">
        <f t="shared" si="16"/>
        <v>0</v>
      </c>
      <c r="AL239" s="3">
        <v>3.0493266370700169</v>
      </c>
      <c r="AM239" s="3">
        <v>0.47445599175998637</v>
      </c>
      <c r="AN239" s="3">
        <v>-4.6727372794742603</v>
      </c>
    </row>
    <row r="240" spans="1:40" x14ac:dyDescent="0.2">
      <c r="A240">
        <v>60242</v>
      </c>
      <c r="B240" s="1">
        <v>44239.545763888891</v>
      </c>
      <c r="C240" t="s">
        <v>2</v>
      </c>
      <c r="D240">
        <v>30</v>
      </c>
      <c r="E240">
        <v>0.77508733378409</v>
      </c>
      <c r="F240">
        <v>0.11022145376377999</v>
      </c>
      <c r="G240">
        <v>0.20054304794207001</v>
      </c>
      <c r="H240">
        <v>2</v>
      </c>
      <c r="I240">
        <v>1</v>
      </c>
      <c r="J240">
        <v>0</v>
      </c>
      <c r="K240">
        <v>0</v>
      </c>
      <c r="L240">
        <v>0</v>
      </c>
      <c r="M240">
        <v>1</v>
      </c>
      <c r="N240">
        <v>0</v>
      </c>
      <c r="O240">
        <v>0</v>
      </c>
      <c r="P240">
        <v>0</v>
      </c>
      <c r="Q240">
        <v>2</v>
      </c>
      <c r="R240">
        <v>0</v>
      </c>
      <c r="S240">
        <v>0</v>
      </c>
      <c r="T240">
        <v>0</v>
      </c>
      <c r="U240">
        <v>0</v>
      </c>
      <c r="V240">
        <v>0</v>
      </c>
      <c r="W240">
        <v>1</v>
      </c>
      <c r="X240">
        <v>0</v>
      </c>
      <c r="Y240">
        <v>1</v>
      </c>
      <c r="Z240">
        <v>1</v>
      </c>
      <c r="AA240">
        <v>1</v>
      </c>
      <c r="AB240">
        <v>2</v>
      </c>
      <c r="AC240">
        <v>2</v>
      </c>
      <c r="AD240">
        <v>2</v>
      </c>
      <c r="AE240">
        <v>2</v>
      </c>
      <c r="AF240">
        <v>2</v>
      </c>
      <c r="AG240" t="s">
        <v>154</v>
      </c>
      <c r="AH240" s="6">
        <f t="shared" si="13"/>
        <v>0.77508733378409</v>
      </c>
      <c r="AI240" s="3">
        <f t="shared" si="14"/>
        <v>23</v>
      </c>
      <c r="AJ240" s="3" t="str">
        <f t="shared" si="15"/>
        <v>failed</v>
      </c>
      <c r="AK240" s="3">
        <f t="shared" si="16"/>
        <v>0</v>
      </c>
      <c r="AL240" s="3">
        <v>1.989835151922233</v>
      </c>
      <c r="AM240" s="3">
        <v>0.29252240070795271</v>
      </c>
      <c r="AN240" s="3">
        <v>-4.1526659674549826</v>
      </c>
    </row>
    <row r="241" spans="1:40" x14ac:dyDescent="0.2">
      <c r="A241">
        <v>63233</v>
      </c>
      <c r="B241" s="1">
        <v>44387.860393518517</v>
      </c>
      <c r="C241" t="s">
        <v>3</v>
      </c>
      <c r="D241">
        <v>36</v>
      </c>
      <c r="E241">
        <v>2.9685863874346002E-2</v>
      </c>
      <c r="F241">
        <v>9.9449874735395002E-2</v>
      </c>
      <c r="G241">
        <v>0.11907942554394001</v>
      </c>
      <c r="H241">
        <v>1</v>
      </c>
      <c r="I241">
        <v>1</v>
      </c>
      <c r="J241">
        <v>1</v>
      </c>
      <c r="K241">
        <v>1</v>
      </c>
      <c r="L241">
        <v>1</v>
      </c>
      <c r="M241">
        <v>1</v>
      </c>
      <c r="N241">
        <v>1</v>
      </c>
      <c r="O241">
        <v>1</v>
      </c>
      <c r="P241">
        <v>1</v>
      </c>
      <c r="Q241">
        <v>1</v>
      </c>
      <c r="R241">
        <v>1</v>
      </c>
      <c r="S241">
        <v>1</v>
      </c>
      <c r="T241">
        <v>1</v>
      </c>
      <c r="U241">
        <v>1</v>
      </c>
      <c r="V241">
        <v>1</v>
      </c>
      <c r="W241">
        <v>1</v>
      </c>
      <c r="X241">
        <v>1</v>
      </c>
      <c r="Y241">
        <v>1</v>
      </c>
      <c r="Z241">
        <v>1</v>
      </c>
      <c r="AA241">
        <v>1</v>
      </c>
      <c r="AB241">
        <v>2</v>
      </c>
      <c r="AC241">
        <v>1</v>
      </c>
      <c r="AD241">
        <v>1</v>
      </c>
      <c r="AE241">
        <v>1</v>
      </c>
      <c r="AF241">
        <v>4</v>
      </c>
      <c r="AG241" t="s">
        <v>176</v>
      </c>
      <c r="AH241" s="6">
        <f t="shared" si="13"/>
        <v>2.9685863874346002E-2</v>
      </c>
      <c r="AI241" s="3">
        <f t="shared" si="14"/>
        <v>23</v>
      </c>
      <c r="AJ241" s="3" t="str">
        <f t="shared" si="15"/>
        <v>failed</v>
      </c>
      <c r="AK241" s="3">
        <f t="shared" si="16"/>
        <v>0</v>
      </c>
      <c r="AL241" s="3">
        <v>0.91377486369380756</v>
      </c>
      <c r="AM241" s="3">
        <v>0.15923149034128031</v>
      </c>
      <c r="AN241" s="3">
        <v>-5.5522246128865396</v>
      </c>
    </row>
    <row r="242" spans="1:40" x14ac:dyDescent="0.2">
      <c r="A242">
        <v>33531</v>
      </c>
      <c r="B242" s="1">
        <v>43488.01425925926</v>
      </c>
      <c r="C242" t="s">
        <v>2</v>
      </c>
      <c r="D242">
        <v>24</v>
      </c>
      <c r="E242">
        <v>6.8908762243297006E-2</v>
      </c>
      <c r="F242">
        <v>0.10532426856056</v>
      </c>
      <c r="G242">
        <v>0.19479921182650001</v>
      </c>
      <c r="H242">
        <v>2</v>
      </c>
      <c r="I242">
        <v>0</v>
      </c>
      <c r="J242">
        <v>1</v>
      </c>
      <c r="K242">
        <v>1</v>
      </c>
      <c r="L242">
        <v>0</v>
      </c>
      <c r="M242">
        <v>0</v>
      </c>
      <c r="N242">
        <v>0</v>
      </c>
      <c r="O242">
        <v>0</v>
      </c>
      <c r="P242">
        <v>0</v>
      </c>
      <c r="Q242">
        <v>2</v>
      </c>
      <c r="R242">
        <v>1</v>
      </c>
      <c r="S242">
        <v>0</v>
      </c>
      <c r="T242">
        <v>1</v>
      </c>
      <c r="U242">
        <v>0</v>
      </c>
      <c r="V242">
        <v>0</v>
      </c>
      <c r="W242">
        <v>1</v>
      </c>
      <c r="X242">
        <v>1</v>
      </c>
      <c r="Y242">
        <v>5</v>
      </c>
      <c r="Z242">
        <v>1</v>
      </c>
      <c r="AA242">
        <v>1</v>
      </c>
      <c r="AB242">
        <v>1</v>
      </c>
      <c r="AC242">
        <v>1</v>
      </c>
      <c r="AD242">
        <v>4</v>
      </c>
      <c r="AE242">
        <v>4</v>
      </c>
      <c r="AF242">
        <v>1</v>
      </c>
      <c r="AG242" t="s">
        <v>86</v>
      </c>
      <c r="AH242" s="6">
        <f t="shared" si="13"/>
        <v>6.8908762243297006E-2</v>
      </c>
      <c r="AI242" s="3">
        <f t="shared" si="14"/>
        <v>24</v>
      </c>
      <c r="AJ242" s="3" t="str">
        <f t="shared" si="15"/>
        <v>failed</v>
      </c>
      <c r="AK242" s="3">
        <f t="shared" si="16"/>
        <v>0</v>
      </c>
      <c r="AL242" s="3">
        <v>1.3321767195853911</v>
      </c>
      <c r="AM242" s="3">
        <v>0.31048672238156633</v>
      </c>
      <c r="AN242" s="3">
        <v>-4.0686698215378954</v>
      </c>
    </row>
    <row r="243" spans="1:40" x14ac:dyDescent="0.2">
      <c r="A243">
        <v>39381</v>
      </c>
      <c r="B243" s="1">
        <v>43609.436076388891</v>
      </c>
      <c r="C243" t="s">
        <v>2</v>
      </c>
      <c r="D243">
        <v>63</v>
      </c>
      <c r="E243">
        <v>4.7279747464945003E-2</v>
      </c>
      <c r="F243">
        <v>0.28720993606194001</v>
      </c>
      <c r="G243">
        <v>0.32890266225826997</v>
      </c>
      <c r="H243">
        <v>5</v>
      </c>
      <c r="I243">
        <v>0</v>
      </c>
      <c r="J243">
        <v>0</v>
      </c>
      <c r="K243">
        <v>0</v>
      </c>
      <c r="L243">
        <v>0</v>
      </c>
      <c r="M243">
        <v>0</v>
      </c>
      <c r="N243">
        <v>0</v>
      </c>
      <c r="O243">
        <v>0</v>
      </c>
      <c r="P243">
        <v>0</v>
      </c>
      <c r="Q243">
        <v>2</v>
      </c>
      <c r="R243">
        <v>0</v>
      </c>
      <c r="S243">
        <v>0</v>
      </c>
      <c r="T243">
        <v>0</v>
      </c>
      <c r="U243">
        <v>1</v>
      </c>
      <c r="V243">
        <v>0</v>
      </c>
      <c r="W243">
        <v>1</v>
      </c>
      <c r="X243">
        <v>0</v>
      </c>
      <c r="Y243">
        <v>3</v>
      </c>
      <c r="Z243">
        <v>3</v>
      </c>
      <c r="AA243">
        <v>3</v>
      </c>
      <c r="AB243">
        <v>5</v>
      </c>
      <c r="AC243">
        <v>5</v>
      </c>
      <c r="AD243">
        <v>5</v>
      </c>
      <c r="AE243">
        <v>5</v>
      </c>
      <c r="AF243">
        <v>4</v>
      </c>
      <c r="AG243" t="s">
        <v>96</v>
      </c>
      <c r="AH243" s="6">
        <f t="shared" si="13"/>
        <v>4.7279747464945003E-2</v>
      </c>
      <c r="AI243" s="3">
        <f t="shared" si="14"/>
        <v>24</v>
      </c>
      <c r="AJ243" s="3" t="str">
        <f t="shared" si="15"/>
        <v>failed</v>
      </c>
      <c r="AK243" s="3">
        <f t="shared" si="16"/>
        <v>0</v>
      </c>
      <c r="AL243" s="3">
        <v>8.7002871369706831</v>
      </c>
      <c r="AM243" s="3">
        <v>1.3458639692824479</v>
      </c>
      <c r="AN243" s="3">
        <v>-6.4293328204031752</v>
      </c>
    </row>
    <row r="244" spans="1:40" x14ac:dyDescent="0.2">
      <c r="A244">
        <v>28803</v>
      </c>
      <c r="B244" s="1">
        <v>43388.632152777776</v>
      </c>
      <c r="C244" t="s">
        <v>3</v>
      </c>
      <c r="D244">
        <v>35</v>
      </c>
      <c r="E244">
        <v>1.4737162298415001</v>
      </c>
      <c r="F244">
        <v>0.39986496354508999</v>
      </c>
      <c r="G244">
        <v>0.3267333531164</v>
      </c>
      <c r="H244">
        <v>2</v>
      </c>
      <c r="I244">
        <v>1</v>
      </c>
      <c r="J244">
        <v>0</v>
      </c>
      <c r="K244">
        <v>0</v>
      </c>
      <c r="L244">
        <v>0</v>
      </c>
      <c r="M244">
        <v>1</v>
      </c>
      <c r="N244">
        <v>1</v>
      </c>
      <c r="O244">
        <v>0</v>
      </c>
      <c r="P244">
        <v>0</v>
      </c>
      <c r="Q244">
        <v>2</v>
      </c>
      <c r="R244">
        <v>1</v>
      </c>
      <c r="S244">
        <v>0</v>
      </c>
      <c r="T244">
        <v>0</v>
      </c>
      <c r="U244">
        <v>1</v>
      </c>
      <c r="V244">
        <v>1</v>
      </c>
      <c r="W244">
        <v>1</v>
      </c>
      <c r="X244">
        <v>1</v>
      </c>
      <c r="Y244">
        <v>2</v>
      </c>
      <c r="Z244">
        <v>4</v>
      </c>
      <c r="AA244">
        <v>4</v>
      </c>
      <c r="AB244">
        <v>1</v>
      </c>
      <c r="AC244">
        <v>4</v>
      </c>
      <c r="AD244">
        <v>2</v>
      </c>
      <c r="AE244">
        <v>2</v>
      </c>
      <c r="AF244">
        <v>4</v>
      </c>
      <c r="AG244" t="s">
        <v>10</v>
      </c>
      <c r="AH244" s="6">
        <f t="shared" si="13"/>
        <v>1.4737162298415001</v>
      </c>
      <c r="AI244" s="3">
        <f t="shared" si="14"/>
        <v>25</v>
      </c>
      <c r="AJ244" s="3" t="str">
        <f t="shared" si="15"/>
        <v>failed</v>
      </c>
      <c r="AK244" s="3">
        <f t="shared" si="16"/>
        <v>0</v>
      </c>
      <c r="AL244" s="3">
        <v>8.9802336405143794</v>
      </c>
      <c r="AM244" s="3">
        <v>2.0818839619019509</v>
      </c>
      <c r="AN244" s="3">
        <v>-3.6056367924632942</v>
      </c>
    </row>
    <row r="245" spans="1:40" x14ac:dyDescent="0.2">
      <c r="A245">
        <v>38813</v>
      </c>
      <c r="B245" s="1">
        <v>43587.770995370367</v>
      </c>
      <c r="C245" t="s">
        <v>2</v>
      </c>
      <c r="D245">
        <v>23</v>
      </c>
      <c r="E245">
        <v>9.6903404651512001E-4</v>
      </c>
      <c r="F245">
        <v>4.7833958381658E-3</v>
      </c>
      <c r="G245">
        <v>4.4988393904091999E-3</v>
      </c>
      <c r="H245">
        <v>1</v>
      </c>
      <c r="I245">
        <v>1</v>
      </c>
      <c r="J245">
        <v>1</v>
      </c>
      <c r="K245">
        <v>1</v>
      </c>
      <c r="L245">
        <v>1</v>
      </c>
      <c r="M245">
        <v>1</v>
      </c>
      <c r="N245">
        <v>1</v>
      </c>
      <c r="O245">
        <v>0</v>
      </c>
      <c r="P245">
        <v>1</v>
      </c>
      <c r="Q245">
        <v>2</v>
      </c>
      <c r="R245">
        <v>0</v>
      </c>
      <c r="S245">
        <v>0</v>
      </c>
      <c r="T245">
        <v>1</v>
      </c>
      <c r="U245">
        <v>0</v>
      </c>
      <c r="V245">
        <v>0</v>
      </c>
      <c r="W245">
        <v>0</v>
      </c>
      <c r="X245">
        <v>0</v>
      </c>
      <c r="Y245">
        <v>1</v>
      </c>
      <c r="Z245">
        <v>1</v>
      </c>
      <c r="AA245">
        <v>1</v>
      </c>
      <c r="AB245">
        <v>1</v>
      </c>
      <c r="AC245">
        <v>1</v>
      </c>
      <c r="AD245">
        <v>1</v>
      </c>
      <c r="AE245">
        <v>1</v>
      </c>
      <c r="AF245">
        <v>1</v>
      </c>
      <c r="AH245" s="6">
        <f t="shared" si="13"/>
        <v>9.6903404651512001E-4</v>
      </c>
      <c r="AI245" s="3">
        <f t="shared" si="14"/>
        <v>25</v>
      </c>
      <c r="AJ245" s="3" t="str">
        <f t="shared" si="15"/>
        <v>failed</v>
      </c>
      <c r="AK245" s="3">
        <f t="shared" si="16"/>
        <v>0</v>
      </c>
      <c r="AL245" s="3">
        <v>1.1677496109620789E-3</v>
      </c>
      <c r="AM245" s="3">
        <v>3.7174399397506351E-4</v>
      </c>
      <c r="AN245" s="3">
        <v>-0.5345494955330663</v>
      </c>
    </row>
    <row r="246" spans="1:40" x14ac:dyDescent="0.2">
      <c r="A246">
        <v>29324</v>
      </c>
      <c r="B246" s="1">
        <v>43392.863020833334</v>
      </c>
      <c r="C246" t="s">
        <v>3</v>
      </c>
      <c r="D246">
        <v>23</v>
      </c>
      <c r="E246">
        <v>2.9257212156780001</v>
      </c>
      <c r="F246">
        <v>0.18249274726213999</v>
      </c>
      <c r="G246">
        <v>0.20643747465376999</v>
      </c>
      <c r="H246">
        <v>2</v>
      </c>
      <c r="I246">
        <v>0</v>
      </c>
      <c r="J246">
        <v>0</v>
      </c>
      <c r="K246">
        <v>1</v>
      </c>
      <c r="L246">
        <v>0</v>
      </c>
      <c r="M246">
        <v>1</v>
      </c>
      <c r="N246">
        <v>1</v>
      </c>
      <c r="O246">
        <v>1</v>
      </c>
      <c r="P246">
        <v>0</v>
      </c>
      <c r="Q246">
        <v>1</v>
      </c>
      <c r="R246">
        <v>1</v>
      </c>
      <c r="S246">
        <v>0</v>
      </c>
      <c r="T246">
        <v>1</v>
      </c>
      <c r="U246">
        <v>0</v>
      </c>
      <c r="V246">
        <v>0</v>
      </c>
      <c r="W246">
        <v>1</v>
      </c>
      <c r="X246">
        <v>1</v>
      </c>
      <c r="Y246">
        <v>3</v>
      </c>
      <c r="Z246">
        <v>2</v>
      </c>
      <c r="AA246">
        <v>2</v>
      </c>
      <c r="AB246">
        <v>2</v>
      </c>
      <c r="AC246">
        <v>2</v>
      </c>
      <c r="AD246">
        <v>2</v>
      </c>
      <c r="AE246">
        <v>2</v>
      </c>
      <c r="AF246">
        <v>3</v>
      </c>
      <c r="AG246" t="s">
        <v>33</v>
      </c>
      <c r="AH246" s="6">
        <f t="shared" si="13"/>
        <v>2.9257212156780001</v>
      </c>
      <c r="AI246" s="3">
        <f t="shared" si="14"/>
        <v>26</v>
      </c>
      <c r="AJ246" s="3" t="str">
        <f t="shared" si="15"/>
        <v>failed</v>
      </c>
      <c r="AK246" s="3">
        <f t="shared" si="16"/>
        <v>0</v>
      </c>
      <c r="AL246" s="3">
        <v>3.349566449403159</v>
      </c>
      <c r="AM246" s="3">
        <v>0.4968125824285598</v>
      </c>
      <c r="AN246" s="3">
        <v>-0.7999262757615313</v>
      </c>
    </row>
    <row r="247" spans="1:40" x14ac:dyDescent="0.2">
      <c r="A247">
        <v>46751</v>
      </c>
      <c r="B247" s="1">
        <v>43811.402187500003</v>
      </c>
      <c r="C247" t="s">
        <v>3</v>
      </c>
      <c r="D247">
        <v>28</v>
      </c>
      <c r="E247">
        <v>1.2797821673475001</v>
      </c>
      <c r="F247">
        <v>0.29013152642418</v>
      </c>
      <c r="G247">
        <v>0.20209182716113</v>
      </c>
      <c r="H247">
        <v>2</v>
      </c>
      <c r="I247">
        <v>1</v>
      </c>
      <c r="J247">
        <v>1</v>
      </c>
      <c r="K247">
        <v>0</v>
      </c>
      <c r="L247">
        <v>1</v>
      </c>
      <c r="M247">
        <v>0</v>
      </c>
      <c r="N247">
        <v>0</v>
      </c>
      <c r="O247">
        <v>0</v>
      </c>
      <c r="P247">
        <v>0</v>
      </c>
      <c r="Q247">
        <v>2</v>
      </c>
      <c r="R247">
        <v>1</v>
      </c>
      <c r="S247">
        <v>1</v>
      </c>
      <c r="T247">
        <v>1</v>
      </c>
      <c r="U247">
        <v>0</v>
      </c>
      <c r="V247">
        <v>1</v>
      </c>
      <c r="W247">
        <v>0</v>
      </c>
      <c r="X247">
        <v>1</v>
      </c>
      <c r="Y247">
        <v>4</v>
      </c>
      <c r="Z247">
        <v>2</v>
      </c>
      <c r="AA247">
        <v>2</v>
      </c>
      <c r="AB247">
        <v>2</v>
      </c>
      <c r="AC247">
        <v>2</v>
      </c>
      <c r="AD247">
        <v>2</v>
      </c>
      <c r="AE247">
        <v>2</v>
      </c>
      <c r="AF247">
        <v>4</v>
      </c>
      <c r="AG247" s="5" t="s">
        <v>113</v>
      </c>
      <c r="AH247" s="6">
        <f t="shared" si="13"/>
        <v>1.2797821673475001</v>
      </c>
      <c r="AI247" s="3">
        <f t="shared" si="14"/>
        <v>26</v>
      </c>
      <c r="AJ247" s="3" t="str">
        <f t="shared" si="15"/>
        <v>failed</v>
      </c>
      <c r="AK247" s="3">
        <f t="shared" si="16"/>
        <v>0</v>
      </c>
      <c r="AL247" s="3">
        <v>4.2499354435392362</v>
      </c>
      <c r="AM247" s="3">
        <v>0.75971536099351988</v>
      </c>
      <c r="AN247" s="3">
        <v>-3.9095606442754041</v>
      </c>
    </row>
    <row r="248" spans="1:40" x14ac:dyDescent="0.2">
      <c r="A248">
        <v>59854</v>
      </c>
      <c r="B248" s="1">
        <v>44223.801562499997</v>
      </c>
      <c r="C248" t="s">
        <v>3</v>
      </c>
      <c r="D248">
        <v>29</v>
      </c>
      <c r="E248">
        <v>0.98174456908329999</v>
      </c>
      <c r="F248">
        <v>0.32400313187092999</v>
      </c>
      <c r="G248">
        <v>0.18782342247202</v>
      </c>
      <c r="H248">
        <v>2</v>
      </c>
      <c r="I248">
        <v>0</v>
      </c>
      <c r="J248">
        <v>1</v>
      </c>
      <c r="K248">
        <v>0</v>
      </c>
      <c r="L248">
        <v>0</v>
      </c>
      <c r="M248">
        <v>0</v>
      </c>
      <c r="N248">
        <v>0</v>
      </c>
      <c r="O248">
        <v>0</v>
      </c>
      <c r="P248">
        <v>0</v>
      </c>
      <c r="Q248">
        <v>3</v>
      </c>
      <c r="R248">
        <v>0</v>
      </c>
      <c r="S248">
        <v>0</v>
      </c>
      <c r="T248">
        <v>0</v>
      </c>
      <c r="U248">
        <v>0</v>
      </c>
      <c r="V248">
        <v>1</v>
      </c>
      <c r="W248">
        <v>0</v>
      </c>
      <c r="X248">
        <v>0</v>
      </c>
      <c r="Y248">
        <v>3</v>
      </c>
      <c r="Z248">
        <v>3</v>
      </c>
      <c r="AA248">
        <v>3</v>
      </c>
      <c r="AB248">
        <v>3</v>
      </c>
      <c r="AC248">
        <v>3</v>
      </c>
      <c r="AD248">
        <v>3</v>
      </c>
      <c r="AE248">
        <v>3</v>
      </c>
      <c r="AF248">
        <v>3</v>
      </c>
      <c r="AH248" s="6">
        <f t="shared" si="13"/>
        <v>0.98174456908329999</v>
      </c>
      <c r="AI248" s="3">
        <f t="shared" si="14"/>
        <v>26</v>
      </c>
      <c r="AJ248" s="3" t="str">
        <f t="shared" si="15"/>
        <v>failed</v>
      </c>
      <c r="AK248" s="3">
        <f t="shared" si="16"/>
        <v>0</v>
      </c>
      <c r="AL248" s="3">
        <v>5.5355050307442593</v>
      </c>
      <c r="AM248" s="3">
        <v>0.87130616975741382</v>
      </c>
      <c r="AN248" s="3">
        <v>-5.1562233759204501</v>
      </c>
    </row>
    <row r="249" spans="1:40" x14ac:dyDescent="0.2">
      <c r="A249">
        <v>62807</v>
      </c>
      <c r="B249" s="1">
        <v>44357.761689814812</v>
      </c>
      <c r="C249" t="s">
        <v>3</v>
      </c>
      <c r="D249">
        <v>70</v>
      </c>
      <c r="E249">
        <v>4.2763343238080002E-2</v>
      </c>
      <c r="F249">
        <v>0.20907473729831</v>
      </c>
      <c r="G249">
        <v>0.3364826698335</v>
      </c>
      <c r="H249">
        <v>3</v>
      </c>
      <c r="I249">
        <v>0</v>
      </c>
      <c r="J249">
        <v>1</v>
      </c>
      <c r="K249">
        <v>0</v>
      </c>
      <c r="L249">
        <v>0</v>
      </c>
      <c r="M249">
        <v>0</v>
      </c>
      <c r="N249">
        <v>0</v>
      </c>
      <c r="O249">
        <v>0</v>
      </c>
      <c r="P249">
        <v>0</v>
      </c>
      <c r="Q249">
        <v>3</v>
      </c>
      <c r="R249">
        <v>0</v>
      </c>
      <c r="S249">
        <v>0</v>
      </c>
      <c r="T249">
        <v>0</v>
      </c>
      <c r="U249">
        <v>0</v>
      </c>
      <c r="V249">
        <v>0</v>
      </c>
      <c r="W249">
        <v>0</v>
      </c>
      <c r="X249">
        <v>1</v>
      </c>
      <c r="Y249">
        <v>1</v>
      </c>
      <c r="Z249">
        <v>5</v>
      </c>
      <c r="AA249">
        <v>5</v>
      </c>
      <c r="AB249">
        <v>3</v>
      </c>
      <c r="AC249">
        <v>4</v>
      </c>
      <c r="AD249">
        <v>4</v>
      </c>
      <c r="AE249">
        <v>4</v>
      </c>
      <c r="AF249">
        <v>3</v>
      </c>
      <c r="AG249" t="s">
        <v>161</v>
      </c>
      <c r="AH249" s="6">
        <f t="shared" si="13"/>
        <v>4.2763343238080002E-2</v>
      </c>
      <c r="AI249" s="3">
        <f t="shared" si="14"/>
        <v>26</v>
      </c>
      <c r="AJ249" s="3" t="str">
        <f t="shared" si="15"/>
        <v>failed</v>
      </c>
      <c r="AK249" s="3">
        <f t="shared" si="16"/>
        <v>0</v>
      </c>
      <c r="AL249" s="3">
        <v>4.3931744792593381</v>
      </c>
      <c r="AM249" s="3">
        <v>1.3473469183394049</v>
      </c>
      <c r="AN249" s="3">
        <v>-3.2288722947339412</v>
      </c>
    </row>
    <row r="250" spans="1:40" x14ac:dyDescent="0.2">
      <c r="A250">
        <v>30654</v>
      </c>
      <c r="B250" s="1">
        <v>43413.502164351848</v>
      </c>
      <c r="C250" t="s">
        <v>2</v>
      </c>
      <c r="D250">
        <v>50</v>
      </c>
      <c r="E250">
        <v>3.1190595761952999E-2</v>
      </c>
      <c r="F250">
        <v>6.0193288807969002E-2</v>
      </c>
      <c r="G250">
        <v>1.6837787618493999E-2</v>
      </c>
      <c r="H250">
        <v>1</v>
      </c>
      <c r="I250">
        <v>1</v>
      </c>
      <c r="J250">
        <v>1</v>
      </c>
      <c r="K250">
        <v>1</v>
      </c>
      <c r="L250">
        <v>0</v>
      </c>
      <c r="M250">
        <v>0</v>
      </c>
      <c r="N250">
        <v>0</v>
      </c>
      <c r="O250">
        <v>0</v>
      </c>
      <c r="P250">
        <v>0</v>
      </c>
      <c r="Q250">
        <v>2</v>
      </c>
      <c r="R250">
        <v>0</v>
      </c>
      <c r="S250">
        <v>0</v>
      </c>
      <c r="T250">
        <v>0</v>
      </c>
      <c r="U250">
        <v>1</v>
      </c>
      <c r="V250">
        <v>0</v>
      </c>
      <c r="W250">
        <v>0</v>
      </c>
      <c r="X250">
        <v>0</v>
      </c>
      <c r="Y250">
        <v>3</v>
      </c>
      <c r="Z250">
        <v>2</v>
      </c>
      <c r="AA250">
        <v>2</v>
      </c>
      <c r="AB250">
        <v>3</v>
      </c>
      <c r="AC250">
        <v>2</v>
      </c>
      <c r="AD250">
        <v>2</v>
      </c>
      <c r="AE250">
        <v>2</v>
      </c>
      <c r="AF250">
        <v>2</v>
      </c>
      <c r="AG250" t="s">
        <v>65</v>
      </c>
      <c r="AH250" s="6">
        <f t="shared" si="13"/>
        <v>3.1190595761952999E-2</v>
      </c>
      <c r="AI250" s="3">
        <f t="shared" si="14"/>
        <v>27</v>
      </c>
      <c r="AJ250" s="3" t="str">
        <f t="shared" si="15"/>
        <v>failed</v>
      </c>
      <c r="AK250" s="3">
        <f t="shared" si="16"/>
        <v>0</v>
      </c>
      <c r="AL250" s="3">
        <v>2.094613369010841E-2</v>
      </c>
      <c r="AM250" s="3">
        <v>1.6896854286619929E-2</v>
      </c>
      <c r="AN250" s="3">
        <v>0.60629404136814624</v>
      </c>
    </row>
    <row r="251" spans="1:40" x14ac:dyDescent="0.2">
      <c r="A251">
        <v>38837</v>
      </c>
      <c r="B251" s="1">
        <v>43587.920370370368</v>
      </c>
      <c r="C251" t="s">
        <v>2</v>
      </c>
      <c r="D251">
        <v>54</v>
      </c>
      <c r="E251" s="2">
        <v>1.6871026538923001E-5</v>
      </c>
      <c r="F251">
        <v>1.7854847973044E-2</v>
      </c>
      <c r="G251">
        <v>1.8840733422537E-2</v>
      </c>
      <c r="H251">
        <v>3</v>
      </c>
      <c r="I251">
        <v>0</v>
      </c>
      <c r="J251">
        <v>0</v>
      </c>
      <c r="K251">
        <v>0</v>
      </c>
      <c r="L251">
        <v>0</v>
      </c>
      <c r="M251">
        <v>0</v>
      </c>
      <c r="N251">
        <v>0</v>
      </c>
      <c r="O251">
        <v>0</v>
      </c>
      <c r="P251">
        <v>0</v>
      </c>
      <c r="Q251">
        <v>4</v>
      </c>
      <c r="R251">
        <v>0</v>
      </c>
      <c r="S251">
        <v>0</v>
      </c>
      <c r="T251">
        <v>0</v>
      </c>
      <c r="U251">
        <v>0</v>
      </c>
      <c r="V251">
        <v>1</v>
      </c>
      <c r="W251">
        <v>0</v>
      </c>
      <c r="X251">
        <v>0</v>
      </c>
      <c r="Y251">
        <v>3</v>
      </c>
      <c r="Z251">
        <v>4</v>
      </c>
      <c r="AA251">
        <v>4</v>
      </c>
      <c r="AB251">
        <v>5</v>
      </c>
      <c r="AC251">
        <v>3</v>
      </c>
      <c r="AD251">
        <v>5</v>
      </c>
      <c r="AE251">
        <v>5</v>
      </c>
      <c r="AF251">
        <v>3</v>
      </c>
      <c r="AG251" t="s">
        <v>90</v>
      </c>
      <c r="AH251" s="6">
        <f t="shared" si="13"/>
        <v>1.6871026538923001E-5</v>
      </c>
      <c r="AI251" s="3">
        <f t="shared" si="14"/>
        <v>27</v>
      </c>
      <c r="AJ251" s="3" t="str">
        <f t="shared" si="15"/>
        <v>failed</v>
      </c>
      <c r="AK251" s="3">
        <f t="shared" si="16"/>
        <v>0</v>
      </c>
      <c r="AL251" s="3">
        <v>6.5984946725347246E-4</v>
      </c>
      <c r="AM251" s="3">
        <v>9.5383681107107749E-4</v>
      </c>
      <c r="AN251" s="3">
        <v>-0.67409690342694173</v>
      </c>
    </row>
    <row r="252" spans="1:40" x14ac:dyDescent="0.2">
      <c r="A252">
        <v>46730</v>
      </c>
      <c r="B252" s="1">
        <v>43810.727650462963</v>
      </c>
      <c r="C252" t="s">
        <v>3</v>
      </c>
      <c r="D252">
        <v>43</v>
      </c>
      <c r="E252">
        <v>2.6700142074477</v>
      </c>
      <c r="F252">
        <v>0.20492884350389001</v>
      </c>
      <c r="G252">
        <v>0.25227623746070998</v>
      </c>
      <c r="H252">
        <v>5</v>
      </c>
      <c r="I252">
        <v>0</v>
      </c>
      <c r="J252">
        <v>0</v>
      </c>
      <c r="K252">
        <v>0</v>
      </c>
      <c r="L252">
        <v>0</v>
      </c>
      <c r="M252">
        <v>0</v>
      </c>
      <c r="N252">
        <v>0</v>
      </c>
      <c r="O252">
        <v>0</v>
      </c>
      <c r="P252">
        <v>0</v>
      </c>
      <c r="Q252">
        <v>2</v>
      </c>
      <c r="R252">
        <v>1</v>
      </c>
      <c r="S252">
        <v>0</v>
      </c>
      <c r="T252">
        <v>0</v>
      </c>
      <c r="U252">
        <v>1</v>
      </c>
      <c r="V252">
        <v>1</v>
      </c>
      <c r="W252">
        <v>0</v>
      </c>
      <c r="X252">
        <v>0</v>
      </c>
      <c r="Y252">
        <v>4</v>
      </c>
      <c r="Z252">
        <v>4</v>
      </c>
      <c r="AA252">
        <v>4</v>
      </c>
      <c r="AB252">
        <v>3</v>
      </c>
      <c r="AC252">
        <v>5</v>
      </c>
      <c r="AD252">
        <v>4</v>
      </c>
      <c r="AE252">
        <v>4</v>
      </c>
      <c r="AF252">
        <v>4</v>
      </c>
      <c r="AG252" t="s">
        <v>110</v>
      </c>
      <c r="AH252" s="6">
        <f t="shared" si="13"/>
        <v>2.6700142074477</v>
      </c>
      <c r="AI252" s="3">
        <f t="shared" si="14"/>
        <v>27</v>
      </c>
      <c r="AJ252" s="3" t="str">
        <f t="shared" si="15"/>
        <v>failed</v>
      </c>
      <c r="AK252" s="3">
        <f t="shared" si="16"/>
        <v>0</v>
      </c>
      <c r="AL252" s="3">
        <v>4.6358206196870562</v>
      </c>
      <c r="AM252" s="3">
        <v>0.73478452869857303</v>
      </c>
      <c r="AN252" s="3">
        <v>-2.6753508483923669</v>
      </c>
    </row>
    <row r="253" spans="1:40" x14ac:dyDescent="0.2">
      <c r="A253">
        <v>38908</v>
      </c>
      <c r="B253" s="1">
        <v>43590.59375</v>
      </c>
      <c r="C253" t="s">
        <v>2</v>
      </c>
      <c r="D253">
        <v>8</v>
      </c>
      <c r="E253">
        <v>0.56971208023439002</v>
      </c>
      <c r="F253">
        <v>0.18447203984721</v>
      </c>
      <c r="G253">
        <v>0.14840845263229999</v>
      </c>
      <c r="H253">
        <v>4</v>
      </c>
      <c r="I253">
        <v>0</v>
      </c>
      <c r="J253">
        <v>0</v>
      </c>
      <c r="K253">
        <v>0</v>
      </c>
      <c r="L253">
        <v>0</v>
      </c>
      <c r="M253">
        <v>0</v>
      </c>
      <c r="N253">
        <v>0</v>
      </c>
      <c r="O253">
        <v>0</v>
      </c>
      <c r="P253">
        <v>0</v>
      </c>
      <c r="Q253">
        <v>4</v>
      </c>
      <c r="R253">
        <v>0</v>
      </c>
      <c r="S253">
        <v>0</v>
      </c>
      <c r="T253">
        <v>0</v>
      </c>
      <c r="U253">
        <v>0</v>
      </c>
      <c r="V253">
        <v>0</v>
      </c>
      <c r="W253">
        <v>0</v>
      </c>
      <c r="X253">
        <v>0</v>
      </c>
      <c r="Y253">
        <v>4</v>
      </c>
      <c r="Z253">
        <v>4</v>
      </c>
      <c r="AA253">
        <v>4</v>
      </c>
      <c r="AB253">
        <v>4</v>
      </c>
      <c r="AC253">
        <v>4</v>
      </c>
      <c r="AD253">
        <v>4</v>
      </c>
      <c r="AE253">
        <v>4</v>
      </c>
      <c r="AF253">
        <v>4</v>
      </c>
      <c r="AG253" t="s">
        <v>91</v>
      </c>
      <c r="AH253" s="6">
        <f t="shared" si="13"/>
        <v>0.56971208023439002</v>
      </c>
      <c r="AI253" s="3">
        <f t="shared" si="14"/>
        <v>28</v>
      </c>
      <c r="AJ253" s="3" t="str">
        <f t="shared" si="15"/>
        <v>failed</v>
      </c>
      <c r="AK253" s="3">
        <f t="shared" si="16"/>
        <v>0</v>
      </c>
      <c r="AL253" s="3">
        <v>1.7475280849887851</v>
      </c>
      <c r="AM253" s="3">
        <v>0.38343432214491768</v>
      </c>
      <c r="AN253" s="3">
        <v>-3.0717542398545139</v>
      </c>
    </row>
    <row r="254" spans="1:40" x14ac:dyDescent="0.2">
      <c r="B254" s="1"/>
    </row>
    <row r="255" spans="1:40" x14ac:dyDescent="0.2">
      <c r="B255" s="1"/>
    </row>
    <row r="256" spans="1:40" x14ac:dyDescent="0.2">
      <c r="B256" s="1"/>
    </row>
    <row r="257" spans="2:2" x14ac:dyDescent="0.2">
      <c r="B257" s="1"/>
    </row>
    <row r="258" spans="2:2" x14ac:dyDescent="0.2">
      <c r="B258" s="1"/>
    </row>
    <row r="259" spans="2:2" x14ac:dyDescent="0.2">
      <c r="B259" s="1"/>
    </row>
    <row r="260" spans="2:2" x14ac:dyDescent="0.2">
      <c r="B260" s="1"/>
    </row>
    <row r="261" spans="2:2" x14ac:dyDescent="0.2">
      <c r="B261" s="1"/>
    </row>
    <row r="262" spans="2:2" x14ac:dyDescent="0.2">
      <c r="B262" s="1"/>
    </row>
    <row r="263" spans="2:2" x14ac:dyDescent="0.2">
      <c r="B263" s="1"/>
    </row>
    <row r="264" spans="2:2" x14ac:dyDescent="0.2">
      <c r="B264" s="1"/>
    </row>
    <row r="265" spans="2:2" x14ac:dyDescent="0.2">
      <c r="B265" s="1"/>
    </row>
    <row r="266" spans="2:2" x14ac:dyDescent="0.2">
      <c r="B266" s="1"/>
    </row>
    <row r="267" spans="2:2" x14ac:dyDescent="0.2">
      <c r="B267" s="1"/>
    </row>
    <row r="268" spans="2:2" x14ac:dyDescent="0.2">
      <c r="B268" s="1"/>
    </row>
    <row r="269" spans="2:2" x14ac:dyDescent="0.2">
      <c r="B269" s="1"/>
    </row>
    <row r="270" spans="2:2" x14ac:dyDescent="0.2">
      <c r="B270" s="1"/>
    </row>
    <row r="271" spans="2:2" x14ac:dyDescent="0.2">
      <c r="B271" s="1"/>
    </row>
    <row r="272" spans="2:2" x14ac:dyDescent="0.2">
      <c r="B272" s="1"/>
    </row>
    <row r="273" spans="2:2" x14ac:dyDescent="0.2">
      <c r="B273" s="1"/>
    </row>
    <row r="274" spans="2:2" x14ac:dyDescent="0.2">
      <c r="B274" s="1"/>
    </row>
    <row r="275" spans="2:2" x14ac:dyDescent="0.2">
      <c r="B275" s="1"/>
    </row>
    <row r="276" spans="2:2" x14ac:dyDescent="0.2">
      <c r="B276" s="1"/>
    </row>
    <row r="277" spans="2:2" x14ac:dyDescent="0.2">
      <c r="B277" s="1"/>
    </row>
    <row r="278" spans="2:2" x14ac:dyDescent="0.2">
      <c r="B278" s="1"/>
    </row>
    <row r="279" spans="2:2" x14ac:dyDescent="0.2">
      <c r="B279" s="1"/>
    </row>
    <row r="280" spans="2:2" x14ac:dyDescent="0.2">
      <c r="B280" s="1"/>
    </row>
    <row r="281" spans="2:2" x14ac:dyDescent="0.2">
      <c r="B281" s="1"/>
    </row>
    <row r="282" spans="2:2" x14ac:dyDescent="0.2">
      <c r="B282" s="1"/>
    </row>
    <row r="283" spans="2:2" x14ac:dyDescent="0.2">
      <c r="B283" s="1"/>
    </row>
    <row r="284" spans="2:2" x14ac:dyDescent="0.2">
      <c r="B284" s="1"/>
    </row>
    <row r="285" spans="2:2" x14ac:dyDescent="0.2">
      <c r="B285" s="1"/>
    </row>
    <row r="286" spans="2:2" x14ac:dyDescent="0.2">
      <c r="B286" s="1"/>
    </row>
    <row r="287" spans="2:2" x14ac:dyDescent="0.2">
      <c r="B287" s="1"/>
    </row>
    <row r="288" spans="2:2" x14ac:dyDescent="0.2">
      <c r="B288" s="1"/>
    </row>
    <row r="289" spans="2:2" x14ac:dyDescent="0.2">
      <c r="B289" s="1"/>
    </row>
    <row r="290" spans="2:2" x14ac:dyDescent="0.2">
      <c r="B290" s="1"/>
    </row>
    <row r="291" spans="2:2" x14ac:dyDescent="0.2">
      <c r="B291" s="1"/>
    </row>
    <row r="292" spans="2:2" x14ac:dyDescent="0.2">
      <c r="B292" s="1"/>
    </row>
    <row r="293" spans="2:2" x14ac:dyDescent="0.2">
      <c r="B293" s="1"/>
    </row>
    <row r="294" spans="2:2" x14ac:dyDescent="0.2">
      <c r="B294" s="1"/>
    </row>
    <row r="295" spans="2:2" x14ac:dyDescent="0.2">
      <c r="B295" s="1"/>
    </row>
    <row r="296" spans="2:2" x14ac:dyDescent="0.2">
      <c r="B296" s="1"/>
    </row>
    <row r="297" spans="2:2" x14ac:dyDescent="0.2">
      <c r="B297" s="1"/>
    </row>
    <row r="298" spans="2:2" x14ac:dyDescent="0.2">
      <c r="B298" s="1"/>
    </row>
    <row r="299" spans="2:2" x14ac:dyDescent="0.2">
      <c r="B299" s="1"/>
    </row>
    <row r="300" spans="2:2" x14ac:dyDescent="0.2">
      <c r="B300" s="1"/>
    </row>
    <row r="301" spans="2:2" x14ac:dyDescent="0.2">
      <c r="B301" s="1"/>
    </row>
    <row r="302" spans="2:2" x14ac:dyDescent="0.2">
      <c r="B302" s="1"/>
    </row>
    <row r="303" spans="2:2" x14ac:dyDescent="0.2">
      <c r="B303" s="1"/>
    </row>
    <row r="304" spans="2:2" x14ac:dyDescent="0.2">
      <c r="B304" s="1"/>
    </row>
    <row r="305" spans="2:2" x14ac:dyDescent="0.2">
      <c r="B305" s="1"/>
    </row>
    <row r="306" spans="2:2" x14ac:dyDescent="0.2">
      <c r="B306" s="1"/>
    </row>
    <row r="307" spans="2:2" x14ac:dyDescent="0.2">
      <c r="B307" s="1"/>
    </row>
    <row r="308" spans="2:2" x14ac:dyDescent="0.2">
      <c r="B308" s="1"/>
    </row>
    <row r="309" spans="2:2" x14ac:dyDescent="0.2">
      <c r="B309" s="1"/>
    </row>
    <row r="310" spans="2:2" x14ac:dyDescent="0.2">
      <c r="B310" s="1"/>
    </row>
    <row r="311" spans="2:2" x14ac:dyDescent="0.2">
      <c r="B311" s="1"/>
    </row>
    <row r="312" spans="2:2" x14ac:dyDescent="0.2">
      <c r="B312" s="1"/>
    </row>
    <row r="313" spans="2:2" x14ac:dyDescent="0.2">
      <c r="B313" s="1"/>
    </row>
    <row r="314" spans="2:2" x14ac:dyDescent="0.2">
      <c r="B314" s="1"/>
    </row>
    <row r="315" spans="2:2" x14ac:dyDescent="0.2">
      <c r="B315" s="1"/>
    </row>
    <row r="316" spans="2:2" x14ac:dyDescent="0.2">
      <c r="B316" s="1"/>
    </row>
    <row r="317" spans="2:2" x14ac:dyDescent="0.2">
      <c r="B317" s="1"/>
    </row>
    <row r="318" spans="2:2" x14ac:dyDescent="0.2">
      <c r="B318" s="1"/>
    </row>
    <row r="319" spans="2:2" x14ac:dyDescent="0.2">
      <c r="B319" s="1"/>
    </row>
    <row r="320" spans="2:2" x14ac:dyDescent="0.2">
      <c r="B320" s="1"/>
    </row>
    <row r="321" spans="2:2" x14ac:dyDescent="0.2">
      <c r="B321" s="1"/>
    </row>
    <row r="322" spans="2:2" x14ac:dyDescent="0.2">
      <c r="B322" s="1"/>
    </row>
    <row r="323" spans="2:2" x14ac:dyDescent="0.2">
      <c r="B323" s="1"/>
    </row>
    <row r="324" spans="2:2" x14ac:dyDescent="0.2">
      <c r="B324" s="1"/>
    </row>
    <row r="325" spans="2:2" x14ac:dyDescent="0.2">
      <c r="B325" s="1"/>
    </row>
    <row r="326" spans="2:2" x14ac:dyDescent="0.2">
      <c r="B326" s="1"/>
    </row>
    <row r="327" spans="2:2" x14ac:dyDescent="0.2">
      <c r="B327" s="1"/>
    </row>
    <row r="328" spans="2:2" x14ac:dyDescent="0.2">
      <c r="B328" s="1"/>
    </row>
    <row r="329" spans="2:2" x14ac:dyDescent="0.2">
      <c r="B329" s="1"/>
    </row>
    <row r="330" spans="2:2" x14ac:dyDescent="0.2">
      <c r="B330" s="1"/>
    </row>
    <row r="331" spans="2:2" x14ac:dyDescent="0.2">
      <c r="B331" s="1"/>
    </row>
    <row r="332" spans="2:2" x14ac:dyDescent="0.2">
      <c r="B332" s="1"/>
    </row>
    <row r="333" spans="2:2" x14ac:dyDescent="0.2">
      <c r="B333" s="1"/>
    </row>
    <row r="334" spans="2:2" x14ac:dyDescent="0.2">
      <c r="B334" s="1"/>
    </row>
    <row r="335" spans="2:2" x14ac:dyDescent="0.2">
      <c r="B335" s="1"/>
    </row>
    <row r="336" spans="2:2" x14ac:dyDescent="0.2">
      <c r="B336" s="1"/>
    </row>
    <row r="337" spans="2:2" x14ac:dyDescent="0.2">
      <c r="B337" s="1"/>
    </row>
    <row r="338" spans="2:2" x14ac:dyDescent="0.2">
      <c r="B338" s="1"/>
    </row>
    <row r="339" spans="2:2" x14ac:dyDescent="0.2">
      <c r="B339" s="1"/>
    </row>
    <row r="340" spans="2:2" x14ac:dyDescent="0.2">
      <c r="B340" s="1"/>
    </row>
    <row r="341" spans="2:2" x14ac:dyDescent="0.2">
      <c r="B341" s="1"/>
    </row>
    <row r="342" spans="2:2" x14ac:dyDescent="0.2">
      <c r="B342" s="1"/>
    </row>
    <row r="343" spans="2:2" x14ac:dyDescent="0.2">
      <c r="B343" s="1"/>
    </row>
    <row r="344" spans="2:2" x14ac:dyDescent="0.2">
      <c r="B344" s="1"/>
    </row>
    <row r="345" spans="2:2" x14ac:dyDescent="0.2">
      <c r="B345" s="1"/>
    </row>
    <row r="346" spans="2:2" x14ac:dyDescent="0.2">
      <c r="B346" s="1"/>
    </row>
    <row r="347" spans="2:2" x14ac:dyDescent="0.2">
      <c r="B347" s="1"/>
    </row>
    <row r="348" spans="2:2" x14ac:dyDescent="0.2">
      <c r="B348" s="1"/>
    </row>
    <row r="349" spans="2:2" x14ac:dyDescent="0.2">
      <c r="B349" s="1"/>
    </row>
    <row r="350" spans="2:2" x14ac:dyDescent="0.2">
      <c r="B350" s="1"/>
    </row>
    <row r="351" spans="2:2" x14ac:dyDescent="0.2">
      <c r="B351" s="1"/>
    </row>
    <row r="352" spans="2:2" x14ac:dyDescent="0.2">
      <c r="B352" s="1"/>
    </row>
    <row r="353" spans="2:2" x14ac:dyDescent="0.2">
      <c r="B353" s="1"/>
    </row>
    <row r="354" spans="2:2" x14ac:dyDescent="0.2">
      <c r="B354" s="1"/>
    </row>
    <row r="355" spans="2:2" x14ac:dyDescent="0.2">
      <c r="B355" s="1"/>
    </row>
    <row r="356" spans="2:2" x14ac:dyDescent="0.2">
      <c r="B356" s="1"/>
    </row>
    <row r="357" spans="2:2" x14ac:dyDescent="0.2">
      <c r="B357" s="1"/>
    </row>
    <row r="358" spans="2:2" x14ac:dyDescent="0.2">
      <c r="B358" s="1"/>
    </row>
    <row r="359" spans="2:2" x14ac:dyDescent="0.2">
      <c r="B359" s="1"/>
    </row>
    <row r="360" spans="2:2" x14ac:dyDescent="0.2">
      <c r="B360" s="1"/>
    </row>
    <row r="361" spans="2:2" x14ac:dyDescent="0.2">
      <c r="B361" s="1"/>
    </row>
    <row r="362" spans="2:2" x14ac:dyDescent="0.2">
      <c r="B362" s="1"/>
    </row>
    <row r="363" spans="2:2" x14ac:dyDescent="0.2">
      <c r="B363" s="1"/>
    </row>
    <row r="364" spans="2:2" x14ac:dyDescent="0.2">
      <c r="B364" s="1"/>
    </row>
    <row r="365" spans="2:2" x14ac:dyDescent="0.2">
      <c r="B365" s="1"/>
    </row>
    <row r="366" spans="2:2" x14ac:dyDescent="0.2">
      <c r="B366" s="1"/>
    </row>
    <row r="367" spans="2:2" x14ac:dyDescent="0.2">
      <c r="B367" s="1"/>
    </row>
    <row r="368" spans="2:2" x14ac:dyDescent="0.2">
      <c r="B368" s="1"/>
    </row>
    <row r="369" spans="2:2" x14ac:dyDescent="0.2">
      <c r="B369" s="1"/>
    </row>
    <row r="370" spans="2:2" x14ac:dyDescent="0.2">
      <c r="B370" s="1"/>
    </row>
    <row r="371" spans="2:2" x14ac:dyDescent="0.2">
      <c r="B371" s="1"/>
    </row>
    <row r="372" spans="2:2" x14ac:dyDescent="0.2">
      <c r="B372" s="1"/>
    </row>
    <row r="373" spans="2:2" x14ac:dyDescent="0.2">
      <c r="B373" s="1"/>
    </row>
    <row r="374" spans="2:2" x14ac:dyDescent="0.2">
      <c r="B374" s="1"/>
    </row>
    <row r="375" spans="2:2" x14ac:dyDescent="0.2">
      <c r="B375" s="1"/>
    </row>
    <row r="376" spans="2:2" x14ac:dyDescent="0.2">
      <c r="B376" s="1"/>
    </row>
    <row r="377" spans="2:2" x14ac:dyDescent="0.2">
      <c r="B377" s="1"/>
    </row>
    <row r="378" spans="2:2" x14ac:dyDescent="0.2">
      <c r="B378" s="1"/>
    </row>
    <row r="379" spans="2:2" x14ac:dyDescent="0.2">
      <c r="B379" s="1"/>
    </row>
    <row r="380" spans="2:2" x14ac:dyDescent="0.2">
      <c r="B380" s="1"/>
    </row>
    <row r="381" spans="2:2" x14ac:dyDescent="0.2">
      <c r="B381" s="1"/>
    </row>
    <row r="382" spans="2:2" x14ac:dyDescent="0.2">
      <c r="B382" s="1"/>
    </row>
    <row r="383" spans="2:2" x14ac:dyDescent="0.2">
      <c r="B383" s="1"/>
    </row>
    <row r="384" spans="2:2" x14ac:dyDescent="0.2">
      <c r="B384" s="1"/>
    </row>
    <row r="385" spans="2:2" x14ac:dyDescent="0.2">
      <c r="B385" s="1"/>
    </row>
    <row r="386" spans="2:2" x14ac:dyDescent="0.2">
      <c r="B386" s="1"/>
    </row>
    <row r="387" spans="2:2" x14ac:dyDescent="0.2">
      <c r="B387" s="1"/>
    </row>
    <row r="388" spans="2:2" x14ac:dyDescent="0.2">
      <c r="B388" s="1"/>
    </row>
    <row r="389" spans="2:2" x14ac:dyDescent="0.2">
      <c r="B389" s="1"/>
    </row>
    <row r="390" spans="2:2" x14ac:dyDescent="0.2">
      <c r="B390" s="1"/>
    </row>
    <row r="391" spans="2:2" x14ac:dyDescent="0.2">
      <c r="B391" s="1"/>
    </row>
    <row r="392" spans="2:2" x14ac:dyDescent="0.2">
      <c r="B392" s="1"/>
    </row>
    <row r="393" spans="2:2" x14ac:dyDescent="0.2">
      <c r="B393" s="1"/>
    </row>
    <row r="394" spans="2:2" x14ac:dyDescent="0.2">
      <c r="B394" s="1"/>
    </row>
    <row r="395" spans="2:2" x14ac:dyDescent="0.2">
      <c r="B395" s="1"/>
    </row>
    <row r="396" spans="2:2" x14ac:dyDescent="0.2">
      <c r="B396" s="1"/>
    </row>
    <row r="397" spans="2:2" x14ac:dyDescent="0.2">
      <c r="B397" s="1"/>
    </row>
    <row r="398" spans="2:2" x14ac:dyDescent="0.2">
      <c r="B398" s="1"/>
    </row>
    <row r="399" spans="2:2" x14ac:dyDescent="0.2">
      <c r="B399" s="1"/>
    </row>
    <row r="400" spans="2:2" x14ac:dyDescent="0.2">
      <c r="B400" s="1"/>
    </row>
    <row r="401" spans="2:2" x14ac:dyDescent="0.2">
      <c r="B401" s="1"/>
    </row>
    <row r="402" spans="2:2" x14ac:dyDescent="0.2">
      <c r="B402" s="1"/>
    </row>
    <row r="403" spans="2:2" x14ac:dyDescent="0.2">
      <c r="B403" s="1"/>
    </row>
    <row r="404" spans="2:2" x14ac:dyDescent="0.2">
      <c r="B404" s="1"/>
    </row>
    <row r="405" spans="2:2" x14ac:dyDescent="0.2">
      <c r="B405" s="1"/>
    </row>
    <row r="406" spans="2:2" x14ac:dyDescent="0.2">
      <c r="B406" s="1"/>
    </row>
    <row r="407" spans="2:2" x14ac:dyDescent="0.2">
      <c r="B407" s="1"/>
    </row>
    <row r="408" spans="2:2" x14ac:dyDescent="0.2">
      <c r="B408" s="1"/>
    </row>
    <row r="409" spans="2:2" x14ac:dyDescent="0.2">
      <c r="B409" s="1"/>
    </row>
    <row r="410" spans="2:2" x14ac:dyDescent="0.2">
      <c r="B410" s="1"/>
    </row>
    <row r="411" spans="2:2" x14ac:dyDescent="0.2">
      <c r="B411" s="1"/>
    </row>
    <row r="412" spans="2:2" x14ac:dyDescent="0.2">
      <c r="B412" s="1"/>
    </row>
    <row r="413" spans="2:2" x14ac:dyDescent="0.2">
      <c r="B413" s="1"/>
    </row>
    <row r="414" spans="2:2" x14ac:dyDescent="0.2">
      <c r="B414" s="1"/>
    </row>
    <row r="415" spans="2:2" x14ac:dyDescent="0.2">
      <c r="B415" s="1"/>
    </row>
    <row r="416" spans="2:2" x14ac:dyDescent="0.2">
      <c r="B416" s="1"/>
    </row>
    <row r="417" spans="2:2" x14ac:dyDescent="0.2">
      <c r="B417" s="1"/>
    </row>
    <row r="418" spans="2:2" x14ac:dyDescent="0.2">
      <c r="B418" s="1"/>
    </row>
    <row r="419" spans="2:2" x14ac:dyDescent="0.2">
      <c r="B419" s="1"/>
    </row>
    <row r="420" spans="2:2" x14ac:dyDescent="0.2">
      <c r="B420" s="1"/>
    </row>
    <row r="421" spans="2:2" x14ac:dyDescent="0.2">
      <c r="B421" s="1"/>
    </row>
    <row r="422" spans="2:2" x14ac:dyDescent="0.2">
      <c r="B422" s="1"/>
    </row>
    <row r="423" spans="2:2" x14ac:dyDescent="0.2">
      <c r="B423" s="1"/>
    </row>
    <row r="424" spans="2:2" x14ac:dyDescent="0.2">
      <c r="B424" s="1"/>
    </row>
    <row r="425" spans="2:2" x14ac:dyDescent="0.2">
      <c r="B425" s="1"/>
    </row>
    <row r="426" spans="2:2" x14ac:dyDescent="0.2">
      <c r="B426" s="1"/>
    </row>
    <row r="427" spans="2:2" x14ac:dyDescent="0.2">
      <c r="B427" s="1"/>
    </row>
    <row r="428" spans="2:2" x14ac:dyDescent="0.2">
      <c r="B428" s="1"/>
    </row>
    <row r="429" spans="2:2" x14ac:dyDescent="0.2">
      <c r="B429" s="1"/>
    </row>
    <row r="430" spans="2:2" x14ac:dyDescent="0.2">
      <c r="B430" s="1"/>
    </row>
    <row r="431" spans="2:2" x14ac:dyDescent="0.2">
      <c r="B431" s="1"/>
    </row>
    <row r="432" spans="2:2" x14ac:dyDescent="0.2">
      <c r="B432" s="1"/>
    </row>
    <row r="433" spans="2:2" x14ac:dyDescent="0.2">
      <c r="B433" s="1"/>
    </row>
    <row r="434" spans="2:2" x14ac:dyDescent="0.2">
      <c r="B434" s="1"/>
    </row>
    <row r="435" spans="2:2" x14ac:dyDescent="0.2">
      <c r="B435" s="1"/>
    </row>
    <row r="436" spans="2:2" x14ac:dyDescent="0.2">
      <c r="B436" s="1"/>
    </row>
    <row r="437" spans="2:2" x14ac:dyDescent="0.2">
      <c r="B437" s="1"/>
    </row>
    <row r="438" spans="2:2" x14ac:dyDescent="0.2">
      <c r="B438" s="1"/>
    </row>
    <row r="439" spans="2:2" x14ac:dyDescent="0.2">
      <c r="B439" s="1"/>
    </row>
    <row r="440" spans="2:2" x14ac:dyDescent="0.2">
      <c r="B440" s="1"/>
    </row>
    <row r="441" spans="2:2" x14ac:dyDescent="0.2">
      <c r="B441" s="1"/>
    </row>
    <row r="442" spans="2:2" x14ac:dyDescent="0.2">
      <c r="B442" s="1"/>
    </row>
    <row r="443" spans="2:2" x14ac:dyDescent="0.2">
      <c r="B443" s="1"/>
    </row>
    <row r="444" spans="2:2" x14ac:dyDescent="0.2">
      <c r="B444" s="1"/>
    </row>
    <row r="445" spans="2:2" x14ac:dyDescent="0.2">
      <c r="B445" s="1"/>
    </row>
    <row r="446" spans="2:2" x14ac:dyDescent="0.2">
      <c r="B446" s="1"/>
    </row>
    <row r="447" spans="2:2" x14ac:dyDescent="0.2">
      <c r="B447" s="1"/>
    </row>
    <row r="448" spans="2:2" x14ac:dyDescent="0.2">
      <c r="B448" s="1"/>
    </row>
    <row r="449" spans="2:2" x14ac:dyDescent="0.2">
      <c r="B449" s="1"/>
    </row>
    <row r="450" spans="2:2" x14ac:dyDescent="0.2">
      <c r="B450" s="1"/>
    </row>
    <row r="451" spans="2:2" x14ac:dyDescent="0.2">
      <c r="B451" s="1"/>
    </row>
    <row r="452" spans="2:2" x14ac:dyDescent="0.2">
      <c r="B452" s="1"/>
    </row>
    <row r="453" spans="2:2" x14ac:dyDescent="0.2">
      <c r="B453" s="1"/>
    </row>
    <row r="454" spans="2:2" x14ac:dyDescent="0.2">
      <c r="B454" s="1"/>
    </row>
    <row r="455" spans="2:2" x14ac:dyDescent="0.2">
      <c r="B455" s="1"/>
    </row>
    <row r="456" spans="2:2" x14ac:dyDescent="0.2">
      <c r="B456" s="1"/>
    </row>
    <row r="457" spans="2:2" x14ac:dyDescent="0.2">
      <c r="B457" s="1"/>
    </row>
    <row r="458" spans="2:2" x14ac:dyDescent="0.2">
      <c r="B458" s="1"/>
    </row>
    <row r="459" spans="2:2" x14ac:dyDescent="0.2">
      <c r="B459" s="1"/>
    </row>
    <row r="460" spans="2:2" x14ac:dyDescent="0.2">
      <c r="B460" s="1"/>
    </row>
    <row r="461" spans="2:2" x14ac:dyDescent="0.2">
      <c r="B461" s="1"/>
    </row>
    <row r="462" spans="2:2" x14ac:dyDescent="0.2">
      <c r="B462" s="1"/>
    </row>
    <row r="463" spans="2:2" x14ac:dyDescent="0.2">
      <c r="B463" s="1"/>
    </row>
    <row r="464" spans="2:2" x14ac:dyDescent="0.2">
      <c r="B464" s="1"/>
    </row>
    <row r="465" spans="2:2" x14ac:dyDescent="0.2">
      <c r="B465" s="1"/>
    </row>
    <row r="466" spans="2:2" x14ac:dyDescent="0.2">
      <c r="B466" s="1"/>
    </row>
    <row r="467" spans="2:2" x14ac:dyDescent="0.2">
      <c r="B467" s="1"/>
    </row>
    <row r="468" spans="2:2" x14ac:dyDescent="0.2">
      <c r="B468" s="1"/>
    </row>
    <row r="469" spans="2:2" x14ac:dyDescent="0.2">
      <c r="B469" s="1"/>
    </row>
    <row r="470" spans="2:2" x14ac:dyDescent="0.2">
      <c r="B470" s="1"/>
    </row>
    <row r="471" spans="2:2" x14ac:dyDescent="0.2">
      <c r="B471" s="1"/>
    </row>
    <row r="472" spans="2:2" x14ac:dyDescent="0.2">
      <c r="B472" s="1"/>
    </row>
    <row r="473" spans="2:2" x14ac:dyDescent="0.2">
      <c r="B473" s="1"/>
    </row>
    <row r="474" spans="2:2" x14ac:dyDescent="0.2">
      <c r="B474" s="1"/>
    </row>
    <row r="475" spans="2:2" x14ac:dyDescent="0.2">
      <c r="B475" s="1"/>
    </row>
    <row r="476" spans="2:2" x14ac:dyDescent="0.2">
      <c r="B476" s="1"/>
    </row>
    <row r="477" spans="2:2" x14ac:dyDescent="0.2">
      <c r="B477" s="1"/>
    </row>
    <row r="478" spans="2:2" x14ac:dyDescent="0.2">
      <c r="B478" s="1"/>
    </row>
    <row r="479" spans="2:2" x14ac:dyDescent="0.2">
      <c r="B479" s="1"/>
    </row>
    <row r="480" spans="2:2" x14ac:dyDescent="0.2">
      <c r="B480" s="1"/>
    </row>
    <row r="481" spans="2:2" x14ac:dyDescent="0.2">
      <c r="B481" s="1"/>
    </row>
    <row r="482" spans="2:2" x14ac:dyDescent="0.2">
      <c r="B482" s="1"/>
    </row>
    <row r="483" spans="2:2" x14ac:dyDescent="0.2">
      <c r="B483" s="1"/>
    </row>
    <row r="484" spans="2:2" x14ac:dyDescent="0.2">
      <c r="B484" s="1"/>
    </row>
    <row r="485" spans="2:2" x14ac:dyDescent="0.2">
      <c r="B485" s="1"/>
    </row>
    <row r="486" spans="2:2" x14ac:dyDescent="0.2">
      <c r="B486" s="1"/>
    </row>
    <row r="487" spans="2:2" x14ac:dyDescent="0.2">
      <c r="B487" s="1"/>
    </row>
    <row r="488" spans="2:2" x14ac:dyDescent="0.2">
      <c r="B488" s="1"/>
    </row>
    <row r="489" spans="2:2" x14ac:dyDescent="0.2">
      <c r="B489" s="1"/>
    </row>
    <row r="490" spans="2:2" x14ac:dyDescent="0.2">
      <c r="B490" s="1"/>
    </row>
    <row r="491" spans="2:2" x14ac:dyDescent="0.2">
      <c r="B491" s="1"/>
    </row>
    <row r="492" spans="2:2" x14ac:dyDescent="0.2">
      <c r="B492" s="1"/>
    </row>
    <row r="493" spans="2:2" x14ac:dyDescent="0.2">
      <c r="B493" s="1"/>
    </row>
    <row r="494" spans="2:2" x14ac:dyDescent="0.2">
      <c r="B494" s="1"/>
    </row>
    <row r="495" spans="2:2" x14ac:dyDescent="0.2">
      <c r="B495" s="1"/>
    </row>
    <row r="496" spans="2:2" x14ac:dyDescent="0.2">
      <c r="B496" s="1"/>
    </row>
    <row r="497" spans="2:2" x14ac:dyDescent="0.2">
      <c r="B497" s="1"/>
    </row>
    <row r="498" spans="2:2" x14ac:dyDescent="0.2">
      <c r="B498" s="1"/>
    </row>
    <row r="499" spans="2:2" x14ac:dyDescent="0.2">
      <c r="B499" s="1"/>
    </row>
    <row r="500" spans="2:2" x14ac:dyDescent="0.2">
      <c r="B500" s="1"/>
    </row>
    <row r="501" spans="2:2" x14ac:dyDescent="0.2">
      <c r="B501" s="1"/>
    </row>
    <row r="502" spans="2:2" x14ac:dyDescent="0.2">
      <c r="B502" s="1"/>
    </row>
    <row r="503" spans="2:2" x14ac:dyDescent="0.2">
      <c r="B503" s="1"/>
    </row>
    <row r="504" spans="2:2" x14ac:dyDescent="0.2">
      <c r="B504" s="1"/>
    </row>
    <row r="505" spans="2:2" x14ac:dyDescent="0.2">
      <c r="B505" s="1"/>
    </row>
    <row r="506" spans="2:2" x14ac:dyDescent="0.2">
      <c r="B506" s="1"/>
    </row>
    <row r="507" spans="2:2" x14ac:dyDescent="0.2">
      <c r="B507" s="1"/>
    </row>
    <row r="508" spans="2:2" x14ac:dyDescent="0.2">
      <c r="B508" s="1"/>
    </row>
    <row r="509" spans="2:2" x14ac:dyDescent="0.2">
      <c r="B509" s="1"/>
    </row>
    <row r="510" spans="2:2" x14ac:dyDescent="0.2">
      <c r="B510" s="1"/>
    </row>
    <row r="511" spans="2:2" x14ac:dyDescent="0.2">
      <c r="B511" s="1"/>
    </row>
    <row r="512" spans="2:2" x14ac:dyDescent="0.2">
      <c r="B512" s="1"/>
    </row>
    <row r="513" spans="2:2" x14ac:dyDescent="0.2">
      <c r="B513" s="1"/>
    </row>
    <row r="514" spans="2:2" x14ac:dyDescent="0.2">
      <c r="B514" s="1"/>
    </row>
    <row r="515" spans="2:2" x14ac:dyDescent="0.2">
      <c r="B515" s="1"/>
    </row>
    <row r="516" spans="2:2" x14ac:dyDescent="0.2">
      <c r="B516" s="1"/>
    </row>
    <row r="517" spans="2:2" x14ac:dyDescent="0.2">
      <c r="B517" s="1"/>
    </row>
    <row r="518" spans="2:2" x14ac:dyDescent="0.2">
      <c r="B518" s="1"/>
    </row>
    <row r="519" spans="2:2" x14ac:dyDescent="0.2">
      <c r="B519" s="1"/>
    </row>
    <row r="520" spans="2:2" x14ac:dyDescent="0.2">
      <c r="B520" s="1"/>
    </row>
    <row r="521" spans="2:2" x14ac:dyDescent="0.2">
      <c r="B521" s="1"/>
    </row>
    <row r="522" spans="2:2" x14ac:dyDescent="0.2">
      <c r="B522" s="1"/>
    </row>
    <row r="523" spans="2:2" x14ac:dyDescent="0.2">
      <c r="B523" s="1"/>
    </row>
    <row r="524" spans="2:2" x14ac:dyDescent="0.2">
      <c r="B524" s="1"/>
    </row>
    <row r="525" spans="2:2" x14ac:dyDescent="0.2">
      <c r="B525" s="1"/>
    </row>
    <row r="526" spans="2:2" x14ac:dyDescent="0.2">
      <c r="B526" s="1"/>
    </row>
    <row r="527" spans="2:2" x14ac:dyDescent="0.2">
      <c r="B527" s="1"/>
    </row>
    <row r="528" spans="2:2" x14ac:dyDescent="0.2">
      <c r="B528" s="1"/>
    </row>
    <row r="529" spans="2:2" x14ac:dyDescent="0.2">
      <c r="B529" s="1"/>
    </row>
    <row r="530" spans="2:2" x14ac:dyDescent="0.2">
      <c r="B530" s="1"/>
    </row>
    <row r="531" spans="2:2" x14ac:dyDescent="0.2">
      <c r="B531" s="1"/>
    </row>
    <row r="532" spans="2:2" x14ac:dyDescent="0.2">
      <c r="B532" s="1"/>
    </row>
    <row r="533" spans="2:2" x14ac:dyDescent="0.2">
      <c r="B533" s="1"/>
    </row>
    <row r="534" spans="2:2" x14ac:dyDescent="0.2">
      <c r="B534" s="1"/>
    </row>
    <row r="535" spans="2:2" x14ac:dyDescent="0.2">
      <c r="B535" s="1"/>
    </row>
    <row r="536" spans="2:2" x14ac:dyDescent="0.2">
      <c r="B536" s="1"/>
    </row>
    <row r="537" spans="2:2" x14ac:dyDescent="0.2">
      <c r="B537" s="1"/>
    </row>
    <row r="538" spans="2:2" x14ac:dyDescent="0.2">
      <c r="B538" s="1"/>
    </row>
    <row r="539" spans="2:2" x14ac:dyDescent="0.2">
      <c r="B539" s="1"/>
    </row>
    <row r="540" spans="2:2" x14ac:dyDescent="0.2">
      <c r="B540" s="1"/>
    </row>
    <row r="541" spans="2:2" x14ac:dyDescent="0.2">
      <c r="B541" s="1"/>
    </row>
    <row r="542" spans="2:2" x14ac:dyDescent="0.2">
      <c r="B542" s="1"/>
    </row>
    <row r="543" spans="2:2" x14ac:dyDescent="0.2">
      <c r="B543" s="1"/>
    </row>
    <row r="544" spans="2:2" x14ac:dyDescent="0.2">
      <c r="B544" s="1"/>
    </row>
    <row r="545" spans="2:2" x14ac:dyDescent="0.2">
      <c r="B545" s="1"/>
    </row>
    <row r="546" spans="2:2" x14ac:dyDescent="0.2">
      <c r="B546" s="1"/>
    </row>
    <row r="547" spans="2:2" x14ac:dyDescent="0.2">
      <c r="B547" s="1"/>
    </row>
    <row r="548" spans="2:2" x14ac:dyDescent="0.2">
      <c r="B548" s="1"/>
    </row>
    <row r="549" spans="2:2" x14ac:dyDescent="0.2">
      <c r="B549" s="1"/>
    </row>
    <row r="550" spans="2:2" x14ac:dyDescent="0.2">
      <c r="B550" s="1"/>
    </row>
    <row r="551" spans="2:2" x14ac:dyDescent="0.2">
      <c r="B551" s="1"/>
    </row>
    <row r="552" spans="2:2" x14ac:dyDescent="0.2">
      <c r="B552" s="1"/>
    </row>
    <row r="553" spans="2:2" x14ac:dyDescent="0.2">
      <c r="B553" s="1"/>
    </row>
    <row r="554" spans="2:2" x14ac:dyDescent="0.2">
      <c r="B554" s="1"/>
    </row>
    <row r="555" spans="2:2" x14ac:dyDescent="0.2">
      <c r="B555" s="1"/>
    </row>
    <row r="556" spans="2:2" x14ac:dyDescent="0.2">
      <c r="B556" s="1"/>
    </row>
    <row r="557" spans="2:2" x14ac:dyDescent="0.2">
      <c r="B557" s="1"/>
    </row>
    <row r="558" spans="2:2" x14ac:dyDescent="0.2">
      <c r="B558" s="1"/>
    </row>
    <row r="559" spans="2:2" x14ac:dyDescent="0.2">
      <c r="B559" s="1"/>
    </row>
    <row r="560" spans="2:2" x14ac:dyDescent="0.2">
      <c r="B560" s="1"/>
    </row>
    <row r="561" spans="2:2" x14ac:dyDescent="0.2">
      <c r="B561" s="1"/>
    </row>
    <row r="562" spans="2:2" x14ac:dyDescent="0.2">
      <c r="B562" s="1"/>
    </row>
    <row r="563" spans="2:2" x14ac:dyDescent="0.2">
      <c r="B563" s="1"/>
    </row>
    <row r="564" spans="2:2" x14ac:dyDescent="0.2">
      <c r="B564" s="1"/>
    </row>
    <row r="565" spans="2:2" x14ac:dyDescent="0.2">
      <c r="B565" s="1"/>
    </row>
    <row r="566" spans="2:2" x14ac:dyDescent="0.2">
      <c r="B566" s="1"/>
    </row>
    <row r="567" spans="2:2" x14ac:dyDescent="0.2">
      <c r="B567" s="1"/>
    </row>
    <row r="568" spans="2:2" x14ac:dyDescent="0.2">
      <c r="B568" s="1"/>
    </row>
    <row r="569" spans="2:2" x14ac:dyDescent="0.2">
      <c r="B569" s="1"/>
    </row>
    <row r="570" spans="2:2" x14ac:dyDescent="0.2">
      <c r="B570" s="1"/>
    </row>
    <row r="571" spans="2:2" x14ac:dyDescent="0.2">
      <c r="B571" s="1"/>
    </row>
    <row r="572" spans="2:2" x14ac:dyDescent="0.2">
      <c r="B572" s="1"/>
    </row>
    <row r="573" spans="2:2" x14ac:dyDescent="0.2">
      <c r="B573" s="1"/>
    </row>
    <row r="574" spans="2:2" x14ac:dyDescent="0.2">
      <c r="B574" s="1"/>
    </row>
    <row r="575" spans="2:2" x14ac:dyDescent="0.2">
      <c r="B575" s="1"/>
    </row>
    <row r="576" spans="2:2" x14ac:dyDescent="0.2">
      <c r="B576" s="1"/>
    </row>
    <row r="577" spans="2:2" x14ac:dyDescent="0.2">
      <c r="B577" s="1"/>
    </row>
    <row r="578" spans="2:2" x14ac:dyDescent="0.2">
      <c r="B578" s="1"/>
    </row>
    <row r="579" spans="2:2" x14ac:dyDescent="0.2">
      <c r="B579" s="1"/>
    </row>
    <row r="580" spans="2:2" x14ac:dyDescent="0.2">
      <c r="B580" s="1"/>
    </row>
    <row r="581" spans="2:2" x14ac:dyDescent="0.2">
      <c r="B581" s="1"/>
    </row>
    <row r="582" spans="2:2" x14ac:dyDescent="0.2">
      <c r="B582" s="1"/>
    </row>
    <row r="583" spans="2:2" x14ac:dyDescent="0.2">
      <c r="B583" s="1"/>
    </row>
    <row r="584" spans="2:2" x14ac:dyDescent="0.2">
      <c r="B584" s="1"/>
    </row>
    <row r="585" spans="2:2" x14ac:dyDescent="0.2">
      <c r="B585" s="1"/>
    </row>
    <row r="586" spans="2:2" x14ac:dyDescent="0.2">
      <c r="B586" s="1"/>
    </row>
    <row r="587" spans="2:2" x14ac:dyDescent="0.2">
      <c r="B587" s="1"/>
    </row>
    <row r="588" spans="2:2" x14ac:dyDescent="0.2">
      <c r="B588" s="1"/>
    </row>
    <row r="589" spans="2:2" x14ac:dyDescent="0.2">
      <c r="B589" s="1"/>
    </row>
    <row r="590" spans="2:2" x14ac:dyDescent="0.2">
      <c r="B590" s="1"/>
    </row>
    <row r="591" spans="2:2" x14ac:dyDescent="0.2">
      <c r="B591" s="1"/>
    </row>
    <row r="592" spans="2:2" x14ac:dyDescent="0.2">
      <c r="B592" s="1"/>
    </row>
    <row r="593" spans="2:2" x14ac:dyDescent="0.2">
      <c r="B593" s="1"/>
    </row>
    <row r="594" spans="2:2" x14ac:dyDescent="0.2">
      <c r="B594" s="1"/>
    </row>
    <row r="595" spans="2:2" x14ac:dyDescent="0.2">
      <c r="B595" s="1"/>
    </row>
    <row r="596" spans="2:2" x14ac:dyDescent="0.2">
      <c r="B596" s="1"/>
    </row>
    <row r="597" spans="2:2" x14ac:dyDescent="0.2">
      <c r="B597" s="1"/>
    </row>
    <row r="598" spans="2:2" x14ac:dyDescent="0.2">
      <c r="B598" s="1"/>
    </row>
    <row r="599" spans="2:2" x14ac:dyDescent="0.2">
      <c r="B599" s="1"/>
    </row>
    <row r="600" spans="2:2" x14ac:dyDescent="0.2">
      <c r="B600" s="1"/>
    </row>
    <row r="601" spans="2:2" x14ac:dyDescent="0.2">
      <c r="B601" s="1"/>
    </row>
    <row r="602" spans="2:2" x14ac:dyDescent="0.2">
      <c r="B602" s="1"/>
    </row>
    <row r="603" spans="2:2" x14ac:dyDescent="0.2">
      <c r="B603" s="1"/>
    </row>
    <row r="604" spans="2:2" x14ac:dyDescent="0.2">
      <c r="B604" s="1"/>
    </row>
    <row r="605" spans="2:2" x14ac:dyDescent="0.2">
      <c r="B605" s="1"/>
    </row>
    <row r="606" spans="2:2" x14ac:dyDescent="0.2">
      <c r="B606" s="1"/>
    </row>
    <row r="607" spans="2:2" x14ac:dyDescent="0.2">
      <c r="B607" s="1"/>
    </row>
    <row r="608" spans="2:2" x14ac:dyDescent="0.2">
      <c r="B608" s="1"/>
    </row>
    <row r="609" spans="2:2" x14ac:dyDescent="0.2">
      <c r="B609" s="1"/>
    </row>
    <row r="610" spans="2:2" x14ac:dyDescent="0.2">
      <c r="B610" s="1"/>
    </row>
    <row r="611" spans="2:2" x14ac:dyDescent="0.2">
      <c r="B611" s="1"/>
    </row>
    <row r="612" spans="2:2" x14ac:dyDescent="0.2">
      <c r="B612" s="1"/>
    </row>
    <row r="613" spans="2:2" x14ac:dyDescent="0.2">
      <c r="B613" s="1"/>
    </row>
    <row r="614" spans="2:2" x14ac:dyDescent="0.2">
      <c r="B614" s="1"/>
    </row>
    <row r="615" spans="2:2" x14ac:dyDescent="0.2">
      <c r="B615" s="1"/>
    </row>
    <row r="616" spans="2:2" x14ac:dyDescent="0.2">
      <c r="B616" s="1"/>
    </row>
    <row r="617" spans="2:2" x14ac:dyDescent="0.2">
      <c r="B617" s="1"/>
    </row>
    <row r="618" spans="2:2" x14ac:dyDescent="0.2">
      <c r="B618" s="1"/>
    </row>
    <row r="619" spans="2:2" x14ac:dyDescent="0.2">
      <c r="B619" s="1"/>
    </row>
    <row r="620" spans="2:2" x14ac:dyDescent="0.2">
      <c r="B620" s="1"/>
    </row>
    <row r="621" spans="2:2" x14ac:dyDescent="0.2">
      <c r="B621" s="1"/>
    </row>
    <row r="622" spans="2:2" x14ac:dyDescent="0.2">
      <c r="B622" s="1"/>
    </row>
    <row r="623" spans="2:2" x14ac:dyDescent="0.2">
      <c r="B623" s="1"/>
    </row>
    <row r="624" spans="2:2" x14ac:dyDescent="0.2">
      <c r="B624" s="1"/>
    </row>
    <row r="625" spans="2:2" x14ac:dyDescent="0.2">
      <c r="B625" s="1"/>
    </row>
    <row r="626" spans="2:2" x14ac:dyDescent="0.2">
      <c r="B626" s="1"/>
    </row>
    <row r="627" spans="2:2" x14ac:dyDescent="0.2">
      <c r="B627" s="1"/>
    </row>
    <row r="628" spans="2:2" x14ac:dyDescent="0.2">
      <c r="B628" s="1"/>
    </row>
    <row r="629" spans="2:2" x14ac:dyDescent="0.2">
      <c r="B629" s="1"/>
    </row>
    <row r="630" spans="2:2" x14ac:dyDescent="0.2">
      <c r="B630" s="1"/>
    </row>
    <row r="631" spans="2:2" x14ac:dyDescent="0.2">
      <c r="B631" s="1"/>
    </row>
    <row r="632" spans="2:2" x14ac:dyDescent="0.2">
      <c r="B632" s="1"/>
    </row>
    <row r="633" spans="2:2" x14ac:dyDescent="0.2">
      <c r="B633" s="1"/>
    </row>
    <row r="634" spans="2:2" x14ac:dyDescent="0.2">
      <c r="B634" s="1"/>
    </row>
    <row r="635" spans="2:2" x14ac:dyDescent="0.2">
      <c r="B635" s="1"/>
    </row>
    <row r="636" spans="2:2" x14ac:dyDescent="0.2">
      <c r="B636" s="1"/>
    </row>
    <row r="637" spans="2:2" x14ac:dyDescent="0.2">
      <c r="B637" s="1"/>
    </row>
    <row r="638" spans="2:2" x14ac:dyDescent="0.2">
      <c r="B638" s="1"/>
    </row>
    <row r="639" spans="2:2" x14ac:dyDescent="0.2">
      <c r="B639" s="1"/>
    </row>
    <row r="640" spans="2:2" x14ac:dyDescent="0.2">
      <c r="B640" s="1"/>
    </row>
    <row r="641" spans="2:2" x14ac:dyDescent="0.2">
      <c r="B641" s="1"/>
    </row>
    <row r="642" spans="2:2" x14ac:dyDescent="0.2">
      <c r="B642" s="1"/>
    </row>
    <row r="643" spans="2:2" x14ac:dyDescent="0.2">
      <c r="B643" s="1"/>
    </row>
    <row r="644" spans="2:2" x14ac:dyDescent="0.2">
      <c r="B644" s="1"/>
    </row>
    <row r="645" spans="2:2" x14ac:dyDescent="0.2">
      <c r="B645" s="1"/>
    </row>
    <row r="646" spans="2:2" x14ac:dyDescent="0.2">
      <c r="B646" s="1"/>
    </row>
    <row r="647" spans="2:2" x14ac:dyDescent="0.2">
      <c r="B647" s="1"/>
    </row>
    <row r="648" spans="2:2" x14ac:dyDescent="0.2">
      <c r="B648" s="1"/>
    </row>
    <row r="649" spans="2:2" x14ac:dyDescent="0.2">
      <c r="B649" s="1"/>
    </row>
    <row r="650" spans="2:2" x14ac:dyDescent="0.2">
      <c r="B650" s="1"/>
    </row>
    <row r="651" spans="2:2" x14ac:dyDescent="0.2">
      <c r="B651" s="1"/>
    </row>
    <row r="652" spans="2:2" x14ac:dyDescent="0.2">
      <c r="B652" s="1"/>
    </row>
    <row r="653" spans="2:2" x14ac:dyDescent="0.2">
      <c r="B653" s="1"/>
    </row>
    <row r="654" spans="2:2" x14ac:dyDescent="0.2">
      <c r="B654" s="1"/>
    </row>
    <row r="655" spans="2:2" x14ac:dyDescent="0.2">
      <c r="B655" s="1"/>
    </row>
    <row r="656" spans="2:2" x14ac:dyDescent="0.2">
      <c r="B656" s="1"/>
    </row>
    <row r="657" spans="2:2" x14ac:dyDescent="0.2">
      <c r="B657" s="1"/>
    </row>
    <row r="658" spans="2:2" x14ac:dyDescent="0.2">
      <c r="B658" s="1"/>
    </row>
    <row r="659" spans="2:2" x14ac:dyDescent="0.2">
      <c r="B659" s="1"/>
    </row>
    <row r="660" spans="2:2" x14ac:dyDescent="0.2">
      <c r="B660" s="1"/>
    </row>
    <row r="661" spans="2:2" x14ac:dyDescent="0.2">
      <c r="B661" s="1"/>
    </row>
    <row r="662" spans="2:2" x14ac:dyDescent="0.2">
      <c r="B662" s="1"/>
    </row>
    <row r="663" spans="2:2" x14ac:dyDescent="0.2">
      <c r="B663" s="1"/>
    </row>
    <row r="664" spans="2:2" x14ac:dyDescent="0.2">
      <c r="B664" s="1"/>
    </row>
    <row r="665" spans="2:2" x14ac:dyDescent="0.2">
      <c r="B665" s="1"/>
    </row>
    <row r="666" spans="2:2" x14ac:dyDescent="0.2">
      <c r="B666" s="1"/>
    </row>
    <row r="667" spans="2:2" x14ac:dyDescent="0.2">
      <c r="B667" s="1"/>
    </row>
    <row r="668" spans="2:2" x14ac:dyDescent="0.2">
      <c r="B668" s="1"/>
    </row>
    <row r="669" spans="2:2" x14ac:dyDescent="0.2">
      <c r="B669" s="1"/>
    </row>
    <row r="670" spans="2:2" x14ac:dyDescent="0.2">
      <c r="B670" s="1"/>
    </row>
    <row r="671" spans="2:2" x14ac:dyDescent="0.2">
      <c r="B671" s="1"/>
    </row>
    <row r="672" spans="2:2" x14ac:dyDescent="0.2">
      <c r="B672" s="1"/>
    </row>
    <row r="673" spans="2:2" x14ac:dyDescent="0.2">
      <c r="B673" s="1"/>
    </row>
    <row r="674" spans="2:2" x14ac:dyDescent="0.2">
      <c r="B674" s="1"/>
    </row>
    <row r="675" spans="2:2" x14ac:dyDescent="0.2">
      <c r="B675" s="1"/>
    </row>
    <row r="676" spans="2:2" x14ac:dyDescent="0.2">
      <c r="B676" s="1"/>
    </row>
    <row r="677" spans="2:2" x14ac:dyDescent="0.2">
      <c r="B677" s="1"/>
    </row>
    <row r="678" spans="2:2" x14ac:dyDescent="0.2">
      <c r="B678" s="1"/>
    </row>
    <row r="679" spans="2:2" x14ac:dyDescent="0.2">
      <c r="B679" s="1"/>
    </row>
    <row r="680" spans="2:2" x14ac:dyDescent="0.2">
      <c r="B680" s="1"/>
    </row>
    <row r="681" spans="2:2" x14ac:dyDescent="0.2">
      <c r="B681" s="1"/>
    </row>
    <row r="682" spans="2:2" x14ac:dyDescent="0.2">
      <c r="B682" s="1"/>
    </row>
    <row r="683" spans="2:2" x14ac:dyDescent="0.2">
      <c r="B683" s="1"/>
    </row>
    <row r="684" spans="2:2" x14ac:dyDescent="0.2">
      <c r="B684" s="1"/>
    </row>
    <row r="685" spans="2:2" x14ac:dyDescent="0.2">
      <c r="B685" s="1"/>
    </row>
    <row r="686" spans="2:2" x14ac:dyDescent="0.2">
      <c r="B686" s="1"/>
    </row>
    <row r="687" spans="2:2" x14ac:dyDescent="0.2">
      <c r="B687" s="1"/>
    </row>
    <row r="688" spans="2:2" x14ac:dyDescent="0.2">
      <c r="B688" s="1"/>
    </row>
    <row r="689" spans="2:2" x14ac:dyDescent="0.2">
      <c r="B689" s="1"/>
    </row>
    <row r="690" spans="2:2" x14ac:dyDescent="0.2">
      <c r="B690" s="1"/>
    </row>
    <row r="691" spans="2:2" x14ac:dyDescent="0.2">
      <c r="B691" s="1"/>
    </row>
    <row r="692" spans="2:2" x14ac:dyDescent="0.2">
      <c r="B692" s="1"/>
    </row>
    <row r="693" spans="2:2" x14ac:dyDescent="0.2">
      <c r="B693" s="1"/>
    </row>
    <row r="694" spans="2:2" x14ac:dyDescent="0.2">
      <c r="B694" s="1"/>
    </row>
    <row r="695" spans="2:2" x14ac:dyDescent="0.2">
      <c r="B695" s="1"/>
    </row>
    <row r="696" spans="2:2" x14ac:dyDescent="0.2">
      <c r="B696" s="1"/>
    </row>
    <row r="697" spans="2:2" x14ac:dyDescent="0.2">
      <c r="B697" s="1"/>
    </row>
    <row r="698" spans="2:2" x14ac:dyDescent="0.2">
      <c r="B698" s="1"/>
    </row>
    <row r="699" spans="2:2" x14ac:dyDescent="0.2">
      <c r="B699" s="1"/>
    </row>
    <row r="700" spans="2:2" x14ac:dyDescent="0.2">
      <c r="B700" s="1"/>
    </row>
    <row r="701" spans="2:2" x14ac:dyDescent="0.2">
      <c r="B701" s="1"/>
    </row>
    <row r="702" spans="2:2" x14ac:dyDescent="0.2">
      <c r="B702" s="1"/>
    </row>
    <row r="703" spans="2:2" x14ac:dyDescent="0.2">
      <c r="B703" s="1"/>
    </row>
    <row r="704" spans="2:2" x14ac:dyDescent="0.2">
      <c r="B704" s="1"/>
    </row>
    <row r="705" spans="2:2" x14ac:dyDescent="0.2">
      <c r="B705" s="1"/>
    </row>
    <row r="706" spans="2:2" x14ac:dyDescent="0.2">
      <c r="B706" s="1"/>
    </row>
    <row r="707" spans="2:2" x14ac:dyDescent="0.2">
      <c r="B707" s="1"/>
    </row>
    <row r="708" spans="2:2" x14ac:dyDescent="0.2">
      <c r="B708" s="1"/>
    </row>
    <row r="709" spans="2:2" x14ac:dyDescent="0.2">
      <c r="B709" s="1"/>
    </row>
    <row r="710" spans="2:2" x14ac:dyDescent="0.2">
      <c r="B710" s="1"/>
    </row>
    <row r="711" spans="2:2" x14ac:dyDescent="0.2">
      <c r="B711" s="1"/>
    </row>
    <row r="712" spans="2:2" x14ac:dyDescent="0.2">
      <c r="B712" s="1"/>
    </row>
    <row r="713" spans="2:2" x14ac:dyDescent="0.2">
      <c r="B713" s="1"/>
    </row>
    <row r="714" spans="2:2" x14ac:dyDescent="0.2">
      <c r="B714" s="1"/>
    </row>
    <row r="715" spans="2:2" x14ac:dyDescent="0.2">
      <c r="B715" s="1"/>
    </row>
    <row r="716" spans="2:2" x14ac:dyDescent="0.2">
      <c r="B716" s="1"/>
    </row>
    <row r="717" spans="2:2" x14ac:dyDescent="0.2">
      <c r="B717" s="1"/>
    </row>
    <row r="718" spans="2:2" x14ac:dyDescent="0.2">
      <c r="B718" s="1"/>
    </row>
    <row r="719" spans="2:2" x14ac:dyDescent="0.2">
      <c r="B719" s="1"/>
    </row>
    <row r="720" spans="2:2" x14ac:dyDescent="0.2">
      <c r="B720" s="1"/>
    </row>
    <row r="721" spans="2:2" x14ac:dyDescent="0.2">
      <c r="B721" s="1"/>
    </row>
    <row r="722" spans="2:2" x14ac:dyDescent="0.2">
      <c r="B722" s="1"/>
    </row>
    <row r="723" spans="2:2" x14ac:dyDescent="0.2">
      <c r="B723" s="1"/>
    </row>
    <row r="724" spans="2:2" x14ac:dyDescent="0.2">
      <c r="B724" s="1"/>
    </row>
    <row r="725" spans="2:2" x14ac:dyDescent="0.2">
      <c r="B725" s="1"/>
    </row>
    <row r="726" spans="2:2" x14ac:dyDescent="0.2">
      <c r="B726" s="1"/>
    </row>
    <row r="727" spans="2:2" x14ac:dyDescent="0.2">
      <c r="B727" s="1"/>
    </row>
    <row r="728" spans="2:2" x14ac:dyDescent="0.2">
      <c r="B728" s="1"/>
    </row>
    <row r="729" spans="2:2" x14ac:dyDescent="0.2">
      <c r="B729" s="1"/>
    </row>
    <row r="730" spans="2:2" x14ac:dyDescent="0.2">
      <c r="B730" s="1"/>
    </row>
    <row r="731" spans="2:2" x14ac:dyDescent="0.2">
      <c r="B731" s="1"/>
    </row>
    <row r="732" spans="2:2" x14ac:dyDescent="0.2">
      <c r="B732" s="1"/>
    </row>
    <row r="733" spans="2:2" x14ac:dyDescent="0.2">
      <c r="B733" s="1"/>
    </row>
    <row r="734" spans="2:2" x14ac:dyDescent="0.2">
      <c r="B734" s="1"/>
    </row>
    <row r="735" spans="2:2" x14ac:dyDescent="0.2">
      <c r="B735" s="1"/>
    </row>
    <row r="736" spans="2:2" x14ac:dyDescent="0.2">
      <c r="B736" s="1"/>
    </row>
    <row r="737" spans="2:2" x14ac:dyDescent="0.2">
      <c r="B737" s="1"/>
    </row>
    <row r="738" spans="2:2" x14ac:dyDescent="0.2">
      <c r="B738" s="1"/>
    </row>
    <row r="739" spans="2:2" x14ac:dyDescent="0.2">
      <c r="B739" s="1"/>
    </row>
    <row r="740" spans="2:2" x14ac:dyDescent="0.2">
      <c r="B740" s="1"/>
    </row>
    <row r="741" spans="2:2" x14ac:dyDescent="0.2">
      <c r="B741" s="1"/>
    </row>
    <row r="742" spans="2:2" x14ac:dyDescent="0.2">
      <c r="B742" s="1"/>
    </row>
    <row r="743" spans="2:2" x14ac:dyDescent="0.2">
      <c r="B743" s="1"/>
    </row>
    <row r="744" spans="2:2" x14ac:dyDescent="0.2">
      <c r="B744" s="1"/>
    </row>
    <row r="745" spans="2:2" x14ac:dyDescent="0.2">
      <c r="B745" s="1"/>
    </row>
    <row r="746" spans="2:2" x14ac:dyDescent="0.2">
      <c r="B746" s="1"/>
    </row>
    <row r="747" spans="2:2" x14ac:dyDescent="0.2">
      <c r="B747" s="1"/>
    </row>
    <row r="748" spans="2:2" x14ac:dyDescent="0.2">
      <c r="B748" s="1"/>
    </row>
    <row r="749" spans="2:2" x14ac:dyDescent="0.2">
      <c r="B749" s="1"/>
    </row>
    <row r="750" spans="2:2" x14ac:dyDescent="0.2">
      <c r="B750" s="1"/>
    </row>
    <row r="751" spans="2:2" x14ac:dyDescent="0.2">
      <c r="B751" s="1"/>
    </row>
    <row r="752" spans="2:2" x14ac:dyDescent="0.2">
      <c r="B752" s="1"/>
    </row>
    <row r="753" spans="2:2" x14ac:dyDescent="0.2">
      <c r="B753" s="1"/>
    </row>
    <row r="754" spans="2:2" x14ac:dyDescent="0.2">
      <c r="B754" s="1"/>
    </row>
    <row r="755" spans="2:2" x14ac:dyDescent="0.2">
      <c r="B755" s="1"/>
    </row>
    <row r="756" spans="2:2" x14ac:dyDescent="0.2">
      <c r="B756" s="1"/>
    </row>
    <row r="757" spans="2:2" x14ac:dyDescent="0.2">
      <c r="B757" s="1"/>
    </row>
    <row r="758" spans="2:2" x14ac:dyDescent="0.2">
      <c r="B758" s="1"/>
    </row>
    <row r="759" spans="2:2" x14ac:dyDescent="0.2">
      <c r="B759" s="1"/>
    </row>
    <row r="760" spans="2:2" x14ac:dyDescent="0.2">
      <c r="B760" s="1"/>
    </row>
    <row r="761" spans="2:2" x14ac:dyDescent="0.2">
      <c r="B761" s="1"/>
    </row>
    <row r="762" spans="2:2" x14ac:dyDescent="0.2">
      <c r="B762" s="1"/>
    </row>
    <row r="763" spans="2:2" x14ac:dyDescent="0.2">
      <c r="B763" s="1"/>
    </row>
    <row r="764" spans="2:2" x14ac:dyDescent="0.2">
      <c r="B764" s="1"/>
    </row>
    <row r="765" spans="2:2" x14ac:dyDescent="0.2">
      <c r="B765" s="1"/>
    </row>
    <row r="766" spans="2:2" x14ac:dyDescent="0.2">
      <c r="B766" s="1"/>
    </row>
    <row r="767" spans="2:2" x14ac:dyDescent="0.2">
      <c r="B767" s="1"/>
    </row>
    <row r="768" spans="2:2" x14ac:dyDescent="0.2">
      <c r="B768" s="1"/>
    </row>
    <row r="769" spans="2:2" x14ac:dyDescent="0.2">
      <c r="B769" s="1"/>
    </row>
    <row r="770" spans="2:2" x14ac:dyDescent="0.2">
      <c r="B770" s="1"/>
    </row>
    <row r="771" spans="2:2" x14ac:dyDescent="0.2">
      <c r="B771" s="1"/>
    </row>
    <row r="772" spans="2:2" x14ac:dyDescent="0.2">
      <c r="B772" s="1"/>
    </row>
    <row r="773" spans="2:2" x14ac:dyDescent="0.2">
      <c r="B773" s="1"/>
    </row>
    <row r="774" spans="2:2" x14ac:dyDescent="0.2">
      <c r="B774" s="1"/>
    </row>
    <row r="775" spans="2:2" x14ac:dyDescent="0.2">
      <c r="B775" s="1"/>
    </row>
    <row r="776" spans="2:2" x14ac:dyDescent="0.2">
      <c r="B776" s="1"/>
    </row>
    <row r="777" spans="2:2" x14ac:dyDescent="0.2">
      <c r="B777" s="1"/>
    </row>
    <row r="778" spans="2:2" x14ac:dyDescent="0.2">
      <c r="B778" s="1"/>
    </row>
    <row r="779" spans="2:2" x14ac:dyDescent="0.2">
      <c r="B779" s="1"/>
    </row>
    <row r="780" spans="2:2" x14ac:dyDescent="0.2">
      <c r="B780" s="1"/>
    </row>
    <row r="781" spans="2:2" x14ac:dyDescent="0.2">
      <c r="B781" s="1"/>
    </row>
    <row r="782" spans="2:2" x14ac:dyDescent="0.2">
      <c r="B782" s="1"/>
    </row>
    <row r="783" spans="2:2" x14ac:dyDescent="0.2">
      <c r="B783" s="1"/>
    </row>
    <row r="784" spans="2:2" x14ac:dyDescent="0.2">
      <c r="B784" s="1"/>
    </row>
    <row r="785" spans="2:2" x14ac:dyDescent="0.2">
      <c r="B785" s="1"/>
    </row>
    <row r="786" spans="2:2" x14ac:dyDescent="0.2">
      <c r="B786" s="1"/>
    </row>
    <row r="787" spans="2:2" x14ac:dyDescent="0.2">
      <c r="B787" s="1"/>
    </row>
    <row r="788" spans="2:2" x14ac:dyDescent="0.2">
      <c r="B788" s="1"/>
    </row>
    <row r="789" spans="2:2" x14ac:dyDescent="0.2">
      <c r="B789" s="1"/>
    </row>
    <row r="790" spans="2:2" x14ac:dyDescent="0.2">
      <c r="B790" s="1"/>
    </row>
    <row r="791" spans="2:2" x14ac:dyDescent="0.2">
      <c r="B791" s="1"/>
    </row>
    <row r="792" spans="2:2" x14ac:dyDescent="0.2">
      <c r="B792" s="1"/>
    </row>
    <row r="793" spans="2:2" x14ac:dyDescent="0.2">
      <c r="B793" s="1"/>
    </row>
    <row r="794" spans="2:2" x14ac:dyDescent="0.2">
      <c r="B794" s="1"/>
    </row>
    <row r="795" spans="2:2" x14ac:dyDescent="0.2">
      <c r="B795" s="1"/>
    </row>
    <row r="796" spans="2:2" x14ac:dyDescent="0.2">
      <c r="B796" s="1"/>
    </row>
    <row r="797" spans="2:2" x14ac:dyDescent="0.2">
      <c r="B797" s="1"/>
    </row>
    <row r="798" spans="2:2" x14ac:dyDescent="0.2">
      <c r="B798" s="1"/>
    </row>
    <row r="799" spans="2:2" x14ac:dyDescent="0.2">
      <c r="B799" s="1"/>
    </row>
    <row r="800" spans="2:2" x14ac:dyDescent="0.2">
      <c r="B800" s="1"/>
    </row>
    <row r="801" spans="2:2" x14ac:dyDescent="0.2">
      <c r="B801" s="1"/>
    </row>
    <row r="802" spans="2:2" x14ac:dyDescent="0.2">
      <c r="B802" s="1"/>
    </row>
    <row r="803" spans="2:2" x14ac:dyDescent="0.2">
      <c r="B803" s="1"/>
    </row>
    <row r="804" spans="2:2" x14ac:dyDescent="0.2">
      <c r="B804" s="1"/>
    </row>
    <row r="805" spans="2:2" x14ac:dyDescent="0.2">
      <c r="B805" s="1"/>
    </row>
  </sheetData>
  <sortState xmlns:xlrd2="http://schemas.microsoft.com/office/spreadsheetml/2017/richdata2" ref="A2:AQ253">
    <sortCondition ref="AI2:AI253"/>
  </sortState>
  <conditionalFormatting sqref="AH1:AH1048576">
    <cfRule type="colorScale" priority="1">
      <colorScale>
        <cfvo type="min"/>
        <cfvo type="percentile" val="50"/>
        <cfvo type="max"/>
        <color rgb="FF00B050"/>
        <color rgb="FFFFFF00"/>
        <color rgb="FFFF0000"/>
      </colorScale>
    </cfRule>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bf-ss-2_results-1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Jamie</dc:creator>
  <cp:lastModifiedBy>Rémy Lachelin</cp:lastModifiedBy>
  <dcterms:created xsi:type="dcterms:W3CDTF">2021-09-11T15:08:54Z</dcterms:created>
  <dcterms:modified xsi:type="dcterms:W3CDTF">2025-06-16T14:02:50Z</dcterms:modified>
</cp:coreProperties>
</file>